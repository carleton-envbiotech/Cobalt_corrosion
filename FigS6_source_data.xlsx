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ropbox/Carleton/Research_program/E_waste_biogeochemistry/Corrosion_project/Corrosion_manuscript/AEM_submission/Github_page/Revisions/"/>
    </mc:Choice>
  </mc:AlternateContent>
  <xr:revisionPtr revIDLastSave="0" documentId="13_ncr:1_{55B3A76D-DE50-BC47-8BC1-3AC64A6C8247}" xr6:coauthVersionLast="47" xr6:coauthVersionMax="47" xr10:uidLastSave="{00000000-0000-0000-0000-000000000000}"/>
  <bookViews>
    <workbookView xWindow="0" yWindow="740" windowWidth="34560" windowHeight="21600" activeTab="1" xr2:uid="{E7DBA7EB-B25C-A34D-9A20-07F3F403641C}"/>
  </bookViews>
  <sheets>
    <sheet name="OD600" sheetId="1" r:id="rId1"/>
    <sheet name="Growth curves" sheetId="3" r:id="rId2"/>
    <sheet name="Sheet1" sheetId="5" r:id="rId3"/>
    <sheet name="Plate coun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3" l="1"/>
  <c r="G45" i="3"/>
  <c r="G46" i="3"/>
  <c r="G43" i="3"/>
  <c r="G42" i="3"/>
  <c r="G41" i="3"/>
  <c r="G40" i="3"/>
  <c r="G39" i="3"/>
  <c r="G38" i="3"/>
  <c r="G21" i="3"/>
  <c r="G20" i="3"/>
  <c r="G22" i="3"/>
  <c r="G19" i="3"/>
  <c r="G18" i="3"/>
  <c r="G17" i="3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2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17" i="4"/>
</calcChain>
</file>

<file path=xl/sharedStrings.xml><?xml version="1.0" encoding="utf-8"?>
<sst xmlns="http://schemas.openxmlformats.org/spreadsheetml/2006/main" count="84" uniqueCount="77">
  <si>
    <t>µM Co2+</t>
  </si>
  <si>
    <t>Replicate</t>
  </si>
  <si>
    <t>OD600</t>
  </si>
  <si>
    <t>Hours elapsed</t>
  </si>
  <si>
    <t>Date</t>
  </si>
  <si>
    <t>Time</t>
  </si>
  <si>
    <t>Sample_name</t>
  </si>
  <si>
    <t>Comment</t>
  </si>
  <si>
    <t>Replicate_number</t>
  </si>
  <si>
    <t>Colony_count</t>
  </si>
  <si>
    <t>Volume_plated_mL</t>
  </si>
  <si>
    <t>Dilution_applied</t>
  </si>
  <si>
    <t>CFU_mL</t>
  </si>
  <si>
    <t>0.1 F-A 32hr</t>
  </si>
  <si>
    <t>2025-12-16_32hr_10%inoc+0µMCo2+_1_F-A</t>
  </si>
  <si>
    <t>0.2 F-A 32hr</t>
  </si>
  <si>
    <t>2025-12-16_32hr_10%inoc+0µMCo2+_2_F-A</t>
  </si>
  <si>
    <t>0.3 F-A 32hr</t>
  </si>
  <si>
    <t>2025-12-16_32hr_10%inoc+0µMCo2+_3_F-A</t>
  </si>
  <si>
    <t>2.1 F-A 32hr</t>
  </si>
  <si>
    <t>2025-12-16_32hr_10%inoc+2µMCo2+_1_F-A</t>
  </si>
  <si>
    <t>2.2 F-A 32hr</t>
  </si>
  <si>
    <t>2025-12-16_32hr_10%inoc+2µMCo2+_2_F-A</t>
  </si>
  <si>
    <t>2.3 F-A 32hr</t>
  </si>
  <si>
    <t>2025-12-16_32hr_10%inoc+2µMCo2+_3_F-A</t>
  </si>
  <si>
    <t>20.1 F-A 32hr</t>
  </si>
  <si>
    <t>2025-12-16_32hr_10%inoc+20µMCo2+_1_F-A</t>
  </si>
  <si>
    <t>20.2 F-A 32hr</t>
  </si>
  <si>
    <t>2025-12-16_32hr_10%inoc+20µMCo2+_2_F-A</t>
  </si>
  <si>
    <t>20.3 F-A 32hr</t>
  </si>
  <si>
    <t>2025-12-16_32hr_10%inoc+20µMCo2+_3_F-A</t>
  </si>
  <si>
    <t>200.1 F-A 32hr</t>
  </si>
  <si>
    <t>2025-12-16_32hr_10%inoc+200µMCo2+_1_F-A</t>
  </si>
  <si>
    <t>200.2 F-A 32hr</t>
  </si>
  <si>
    <t>2025-12-16_32hr_10%inoc+200µMCo2+_2_F-A</t>
  </si>
  <si>
    <t>200.3 F-A 32hr</t>
  </si>
  <si>
    <t>2025-12-16_32hr_10%inoc+200µMCo2+_3_F-A</t>
  </si>
  <si>
    <t>2000.1 F-A 32hr</t>
  </si>
  <si>
    <t>2025-12-16_32hr_10%inoc+2000µMCo2+_1_F-A</t>
  </si>
  <si>
    <t>2000.2 F-A 32hr</t>
  </si>
  <si>
    <t>2025-12-16_32hr_10%inoc+2000µMCo2+_2_F-A</t>
  </si>
  <si>
    <t>2000.3 F-A 32hr</t>
  </si>
  <si>
    <t>2025-12-16_32hr_10%inoc+2000µMCo2+_3_F-A</t>
  </si>
  <si>
    <t>0.1 F-A 0hr</t>
  </si>
  <si>
    <t>0.2 F-A 0hr</t>
  </si>
  <si>
    <t>0.3 F-A 0hr</t>
  </si>
  <si>
    <t>2.1 F-A 0hr</t>
  </si>
  <si>
    <t>2.2 F-A 0hr</t>
  </si>
  <si>
    <t>2.3 F-A 0hr</t>
  </si>
  <si>
    <t>20.1 F-A 0hr</t>
  </si>
  <si>
    <t>20.2 F-A 0hr</t>
  </si>
  <si>
    <t>20.3 F-A 0hr</t>
  </si>
  <si>
    <t>200.1 F-A 0hr</t>
  </si>
  <si>
    <t>200.2 F-A 0hr</t>
  </si>
  <si>
    <t>200.3 F-A 0hr</t>
  </si>
  <si>
    <t>2000.1 F-A 0hr</t>
  </si>
  <si>
    <t>2000.2 F-A 0hr</t>
  </si>
  <si>
    <t>2000.3 F-A 0hr</t>
  </si>
  <si>
    <t>2025-12-16_0hr_10%inoc+0µMCo2+_1_F-A</t>
  </si>
  <si>
    <t>2025-12-16_0hr_10%inoc+0µMCo2+_2_F-A</t>
  </si>
  <si>
    <t>2025-12-16_0hr_10%inoc+0µMCo2+_3_F-A</t>
  </si>
  <si>
    <t>2025-12-16_0hr_10%inoc+2µMCo2+_1_F-A</t>
  </si>
  <si>
    <t>2025-12-16_0hr_10%inoc+2µMCo2+_2_F-A</t>
  </si>
  <si>
    <t>2025-12-16_0hr_10%inoc+2µMCo2+_3_F-A</t>
  </si>
  <si>
    <t>2025-12-16_0hr_10%inoc+20µMCo2+_1_F-A</t>
  </si>
  <si>
    <t>2025-12-16_0hr_10%inoc+20µMCo2+_2_F-A</t>
  </si>
  <si>
    <t>2025-12-16_0hr_10%inoc+20µMCo2+_3_F-A</t>
  </si>
  <si>
    <t>2025-12-16_0hr_10%inoc+200µMCo2+_1_F-A</t>
  </si>
  <si>
    <t>2025-12-16_0hr_10%inoc+200µMCo2+_2_F-A</t>
  </si>
  <si>
    <t>2025-12-16_0hr_10%inoc+200µMCo2+_3_F-A</t>
  </si>
  <si>
    <t>2025-12-16_0hr_10%inoc+2000µMCo2+_1_F-A</t>
  </si>
  <si>
    <t>2025-12-16_0hr_10%inoc+2000µMCo2+_2_F-A</t>
  </si>
  <si>
    <t>2025-12-16_0hr_10%inoc+2000µMCo2+_3_F-A</t>
  </si>
  <si>
    <t>Growth rate (hr^-1)</t>
  </si>
  <si>
    <t>Total Co(2+) recovered (µM)</t>
  </si>
  <si>
    <t>Total_cobalt_recovered_uM</t>
  </si>
  <si>
    <t>Growth_rate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</si>
</sst>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11" fontId="1" fillId="0" borderId="0" xfId="0" applyNumberFormat="1" applyFont="1"/>
    <xf numFmtId="11" fontId="0" fillId="0" borderId="0" xfId="0" applyNumberForma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v>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('Growth curves'!$C$2:$C$4,'Growth curves'!$C$17:$C$19,'Growth curves'!$C$32:$C$34,'Growth curves'!$C$47:$C$49,'Growth curves'!$C$62:$C$64,'Growth curves'!$C$77:$C$79,'Growth curves'!$C$92:$C$94,'Growth curves'!$C$107:$C$109)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49.5</c:v>
                </c:pt>
                <c:pt idx="19">
                  <c:v>49.5</c:v>
                </c:pt>
                <c:pt idx="20">
                  <c:v>49.5</c:v>
                </c:pt>
                <c:pt idx="21">
                  <c:v>55</c:v>
                </c:pt>
                <c:pt idx="22">
                  <c:v>55</c:v>
                </c:pt>
                <c:pt idx="23">
                  <c:v>55</c:v>
                </c:pt>
              </c:numCache>
            </c:numRef>
          </c:xVal>
          <c:yVal>
            <c:numRef>
              <c:f>('Growth curves'!$F$2:$F$4,'Growth curves'!$F$17:$F$19,'Growth curves'!$F$32:$F$34,'Growth curves'!$F$47:$F$49,'Growth curves'!$F$62:$F$64,'Growth curves'!$F$77:$F$79,'Growth curves'!$F$92:$F$94,'Growth curves'!$F$107:$F$109)</c:f>
              <c:numCache>
                <c:formatCode>General</c:formatCode>
                <c:ptCount val="24"/>
                <c:pt idx="0">
                  <c:v>0.40799999999999997</c:v>
                </c:pt>
                <c:pt idx="1">
                  <c:v>0.40799999999999997</c:v>
                </c:pt>
                <c:pt idx="2">
                  <c:v>0.40200000000000002</c:v>
                </c:pt>
                <c:pt idx="3">
                  <c:v>1.651</c:v>
                </c:pt>
                <c:pt idx="4">
                  <c:v>1.7010000000000001</c:v>
                </c:pt>
                <c:pt idx="5">
                  <c:v>1.6819999999999999</c:v>
                </c:pt>
                <c:pt idx="6">
                  <c:v>2.2360000000000002</c:v>
                </c:pt>
                <c:pt idx="7">
                  <c:v>2.2240000000000002</c:v>
                </c:pt>
                <c:pt idx="8">
                  <c:v>2.2250000000000001</c:v>
                </c:pt>
                <c:pt idx="9">
                  <c:v>2.0720000000000001</c:v>
                </c:pt>
                <c:pt idx="10">
                  <c:v>2.06</c:v>
                </c:pt>
                <c:pt idx="11">
                  <c:v>2.077</c:v>
                </c:pt>
                <c:pt idx="12">
                  <c:v>2.0499999999999998</c:v>
                </c:pt>
                <c:pt idx="13">
                  <c:v>2.0539999999999998</c:v>
                </c:pt>
                <c:pt idx="14">
                  <c:v>2.0630000000000002</c:v>
                </c:pt>
                <c:pt idx="15">
                  <c:v>2.0470000000000002</c:v>
                </c:pt>
                <c:pt idx="16">
                  <c:v>2.036</c:v>
                </c:pt>
                <c:pt idx="17">
                  <c:v>2.0419999999999998</c:v>
                </c:pt>
                <c:pt idx="18">
                  <c:v>1.998</c:v>
                </c:pt>
                <c:pt idx="19">
                  <c:v>1.9990000000000001</c:v>
                </c:pt>
                <c:pt idx="20">
                  <c:v>1.9850000000000001</c:v>
                </c:pt>
                <c:pt idx="21">
                  <c:v>1.9870000000000001</c:v>
                </c:pt>
                <c:pt idx="22">
                  <c:v>2</c:v>
                </c:pt>
                <c:pt idx="23">
                  <c:v>1.9870000000000001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B0-824B-80B3-A5BE7269F2A0}"/>
            </c:ext>
          </c:extLst>
        </c:ser>
        <c:ser>
          <c:idx val="0"/>
          <c:order val="1"/>
          <c:tx>
            <c:v>2µM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('Growth curves'!$C$2:$C$4,'Growth curves'!$C$17:$C$19,'Growth curves'!$C$32:$C$34,'Growth curves'!$C$47:$C$49,'Growth curves'!$C$62:$C$64,'Growth curves'!$C$77:$C$79,'Growth curves'!$C$92:$C$94,'Growth curves'!$C$107:$C$109)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49.5</c:v>
                </c:pt>
                <c:pt idx="19">
                  <c:v>49.5</c:v>
                </c:pt>
                <c:pt idx="20">
                  <c:v>49.5</c:v>
                </c:pt>
                <c:pt idx="21">
                  <c:v>55</c:v>
                </c:pt>
                <c:pt idx="22">
                  <c:v>55</c:v>
                </c:pt>
                <c:pt idx="23">
                  <c:v>55</c:v>
                </c:pt>
              </c:numCache>
            </c:numRef>
          </c:xVal>
          <c:yVal>
            <c:numRef>
              <c:f>('Growth curves'!$F$5:$F$7,'Growth curves'!$F$20:$F$22,'Growth curves'!$F$35:$F$37,'Growth curves'!$F$50:$F$52,'Growth curves'!$F$65:$F$67,'Growth curves'!$F$80:$F$82,'Growth curves'!$F$95:$F$97,'Growth curves'!$F$110:$F$112)</c:f>
              <c:numCache>
                <c:formatCode>General</c:formatCode>
                <c:ptCount val="24"/>
                <c:pt idx="0">
                  <c:v>0.39700000000000002</c:v>
                </c:pt>
                <c:pt idx="1">
                  <c:v>0.40300000000000002</c:v>
                </c:pt>
                <c:pt idx="2">
                  <c:v>0.41699999999999998</c:v>
                </c:pt>
                <c:pt idx="3">
                  <c:v>1.657</c:v>
                </c:pt>
                <c:pt idx="4">
                  <c:v>1.6539999999999999</c:v>
                </c:pt>
                <c:pt idx="5">
                  <c:v>1.667</c:v>
                </c:pt>
                <c:pt idx="6">
                  <c:v>2.2240000000000002</c:v>
                </c:pt>
                <c:pt idx="7">
                  <c:v>2.2040000000000002</c:v>
                </c:pt>
                <c:pt idx="8">
                  <c:v>2.198</c:v>
                </c:pt>
                <c:pt idx="9">
                  <c:v>2.1040000000000001</c:v>
                </c:pt>
                <c:pt idx="10">
                  <c:v>2.0659999999999998</c:v>
                </c:pt>
                <c:pt idx="11">
                  <c:v>2.0459999999999998</c:v>
                </c:pt>
                <c:pt idx="12">
                  <c:v>2.0830000000000002</c:v>
                </c:pt>
                <c:pt idx="13">
                  <c:v>2.0510000000000002</c:v>
                </c:pt>
                <c:pt idx="14">
                  <c:v>2.028</c:v>
                </c:pt>
                <c:pt idx="15">
                  <c:v>2.073</c:v>
                </c:pt>
                <c:pt idx="16">
                  <c:v>2.04</c:v>
                </c:pt>
                <c:pt idx="17">
                  <c:v>2.0099999999999998</c:v>
                </c:pt>
                <c:pt idx="18">
                  <c:v>2.0249999999999999</c:v>
                </c:pt>
                <c:pt idx="19">
                  <c:v>1.9890000000000001</c:v>
                </c:pt>
                <c:pt idx="20">
                  <c:v>1.982</c:v>
                </c:pt>
                <c:pt idx="21">
                  <c:v>2.0219999999999998</c:v>
                </c:pt>
                <c:pt idx="22">
                  <c:v>1.984</c:v>
                </c:pt>
                <c:pt idx="23">
                  <c:v>1.9810000000000001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B0-824B-80B3-A5BE7269F2A0}"/>
            </c:ext>
          </c:extLst>
        </c:ser>
        <c:ser>
          <c:idx val="1"/>
          <c:order val="2"/>
          <c:tx>
            <c:v>20µM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('Growth curves'!$C$2:$C$4,'Growth curves'!$C$17:$C$19,'Growth curves'!$C$32:$C$34,'Growth curves'!$C$47:$C$49,'Growth curves'!$C$62:$C$64,'Growth curves'!$C$77:$C$79,'Growth curves'!$C$92:$C$94,'Growth curves'!$C$107:$C$109)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49.5</c:v>
                </c:pt>
                <c:pt idx="19">
                  <c:v>49.5</c:v>
                </c:pt>
                <c:pt idx="20">
                  <c:v>49.5</c:v>
                </c:pt>
                <c:pt idx="21">
                  <c:v>55</c:v>
                </c:pt>
                <c:pt idx="22">
                  <c:v>55</c:v>
                </c:pt>
                <c:pt idx="23">
                  <c:v>55</c:v>
                </c:pt>
              </c:numCache>
            </c:numRef>
          </c:xVal>
          <c:yVal>
            <c:numRef>
              <c:f>('Growth curves'!$F$8:$F$10,'Growth curves'!$F$23:$F$25,'Growth curves'!$F$38:$F$40,'Growth curves'!$F$53:$F$55,'Growth curves'!$F$68:$F$70,'Growth curves'!$F$83:$F$85,'Growth curves'!$F$98:$F$100,'Growth curves'!$F$113:$F$115)</c:f>
              <c:numCache>
                <c:formatCode>General</c:formatCode>
                <c:ptCount val="24"/>
                <c:pt idx="0">
                  <c:v>0.40100000000000002</c:v>
                </c:pt>
                <c:pt idx="1">
                  <c:v>0.40899999999999997</c:v>
                </c:pt>
                <c:pt idx="2">
                  <c:v>0.39800000000000002</c:v>
                </c:pt>
                <c:pt idx="3">
                  <c:v>0.875</c:v>
                </c:pt>
                <c:pt idx="4">
                  <c:v>0.81100000000000005</c:v>
                </c:pt>
                <c:pt idx="5">
                  <c:v>0.81499999999999995</c:v>
                </c:pt>
                <c:pt idx="6">
                  <c:v>1.46</c:v>
                </c:pt>
                <c:pt idx="7">
                  <c:v>1.363</c:v>
                </c:pt>
                <c:pt idx="8">
                  <c:v>1.369</c:v>
                </c:pt>
                <c:pt idx="9">
                  <c:v>1.956</c:v>
                </c:pt>
                <c:pt idx="10">
                  <c:v>1.98</c:v>
                </c:pt>
                <c:pt idx="11">
                  <c:v>1.9870000000000001</c:v>
                </c:pt>
                <c:pt idx="12">
                  <c:v>1.9359999999999999</c:v>
                </c:pt>
                <c:pt idx="13">
                  <c:v>1.9330000000000001</c:v>
                </c:pt>
                <c:pt idx="14">
                  <c:v>1.9379999999999999</c:v>
                </c:pt>
                <c:pt idx="15">
                  <c:v>1.9079999999999999</c:v>
                </c:pt>
                <c:pt idx="16">
                  <c:v>1.915</c:v>
                </c:pt>
                <c:pt idx="17">
                  <c:v>1.9139999999999999</c:v>
                </c:pt>
                <c:pt idx="18">
                  <c:v>1.8779999999999999</c:v>
                </c:pt>
                <c:pt idx="19">
                  <c:v>1.857</c:v>
                </c:pt>
                <c:pt idx="20">
                  <c:v>1.8660000000000001</c:v>
                </c:pt>
                <c:pt idx="21">
                  <c:v>1.901</c:v>
                </c:pt>
                <c:pt idx="22">
                  <c:v>1.845</c:v>
                </c:pt>
                <c:pt idx="23">
                  <c:v>1.877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B0-824B-80B3-A5BE7269F2A0}"/>
            </c:ext>
          </c:extLst>
        </c:ser>
        <c:ser>
          <c:idx val="2"/>
          <c:order val="3"/>
          <c:tx>
            <c:v>200µM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('Growth curves'!$C$2:$C$4,'Growth curves'!$C$17:$C$19,'Growth curves'!$C$32:$C$34,'Growth curves'!$C$47:$C$49,'Growth curves'!$C$62:$C$64,'Growth curves'!$C$77:$C$79,'Growth curves'!$C$92:$C$94,'Growth curves'!$C$107:$C$109)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49.5</c:v>
                </c:pt>
                <c:pt idx="19">
                  <c:v>49.5</c:v>
                </c:pt>
                <c:pt idx="20">
                  <c:v>49.5</c:v>
                </c:pt>
                <c:pt idx="21">
                  <c:v>55</c:v>
                </c:pt>
                <c:pt idx="22">
                  <c:v>55</c:v>
                </c:pt>
                <c:pt idx="23">
                  <c:v>55</c:v>
                </c:pt>
              </c:numCache>
            </c:numRef>
          </c:xVal>
          <c:yVal>
            <c:numRef>
              <c:f>('Growth curves'!$F$11:$F$13,'Growth curves'!$F$26:$F$28,'Growth curves'!$F$41:$F$43,'Growth curves'!$F$56:$F$58,'Growth curves'!$F$71:$F$73,'Growth curves'!$F$86:$F$88,'Growth curves'!$F$101:$F$103,'Growth curves'!$F$116:$F$118)</c:f>
              <c:numCache>
                <c:formatCode>General</c:formatCode>
                <c:ptCount val="24"/>
                <c:pt idx="0">
                  <c:v>0.41299999999999998</c:v>
                </c:pt>
                <c:pt idx="1">
                  <c:v>0.39500000000000002</c:v>
                </c:pt>
                <c:pt idx="2">
                  <c:v>0.41799999999999998</c:v>
                </c:pt>
                <c:pt idx="3">
                  <c:v>0.47399999999999998</c:v>
                </c:pt>
                <c:pt idx="4">
                  <c:v>0.47199999999999998</c:v>
                </c:pt>
                <c:pt idx="5">
                  <c:v>0.47399999999999998</c:v>
                </c:pt>
                <c:pt idx="6">
                  <c:v>0.48799999999999999</c:v>
                </c:pt>
                <c:pt idx="7">
                  <c:v>0.48599999999999999</c:v>
                </c:pt>
                <c:pt idx="8">
                  <c:v>0.47799999999999998</c:v>
                </c:pt>
                <c:pt idx="9">
                  <c:v>0.47699999999999998</c:v>
                </c:pt>
                <c:pt idx="10">
                  <c:v>0.48099999999999998</c:v>
                </c:pt>
                <c:pt idx="11">
                  <c:v>0.47599999999999998</c:v>
                </c:pt>
                <c:pt idx="12">
                  <c:v>0.46600000000000003</c:v>
                </c:pt>
                <c:pt idx="13">
                  <c:v>0.47499999999999998</c:v>
                </c:pt>
                <c:pt idx="14">
                  <c:v>0.46600000000000003</c:v>
                </c:pt>
                <c:pt idx="15">
                  <c:v>0.438</c:v>
                </c:pt>
                <c:pt idx="16">
                  <c:v>0.46700000000000003</c:v>
                </c:pt>
                <c:pt idx="17">
                  <c:v>0.439</c:v>
                </c:pt>
                <c:pt idx="18">
                  <c:v>0.41899999999999998</c:v>
                </c:pt>
                <c:pt idx="19">
                  <c:v>0.42299999999999999</c:v>
                </c:pt>
                <c:pt idx="20">
                  <c:v>0.42</c:v>
                </c:pt>
                <c:pt idx="21">
                  <c:v>0.41599999999999998</c:v>
                </c:pt>
                <c:pt idx="22">
                  <c:v>0.41699999999999998</c:v>
                </c:pt>
                <c:pt idx="23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B0-824B-80B3-A5BE7269F2A0}"/>
            </c:ext>
          </c:extLst>
        </c:ser>
        <c:ser>
          <c:idx val="4"/>
          <c:order val="4"/>
          <c:tx>
            <c:v>2000µM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('Growth curves'!$C$2:$C$4,'Growth curves'!$C$17:$C$19,'Growth curves'!$C$32:$C$34,'Growth curves'!$C$47:$C$49,'Growth curves'!$C$62:$C$64,'Growth curves'!$C$77:$C$79,'Growth curves'!$C$92:$C$94,'Growth curves'!$C$107:$C$109)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49.5</c:v>
                </c:pt>
                <c:pt idx="19">
                  <c:v>49.5</c:v>
                </c:pt>
                <c:pt idx="20">
                  <c:v>49.5</c:v>
                </c:pt>
                <c:pt idx="21">
                  <c:v>55</c:v>
                </c:pt>
                <c:pt idx="22">
                  <c:v>55</c:v>
                </c:pt>
                <c:pt idx="23">
                  <c:v>55</c:v>
                </c:pt>
              </c:numCache>
            </c:numRef>
          </c:xVal>
          <c:yVal>
            <c:numRef>
              <c:f>('Growth curves'!$F$14:$F$16,'Growth curves'!$F$29:$F$31,'Growth curves'!$F$44:$F$46,'Growth curves'!$F$59:$F$61,'Growth curves'!$F$74:$F$76,'Growth curves'!$F$89:$F$91,'Growth curves'!$F$104:$F$106,'Growth curves'!$F$119:$F$121)</c:f>
              <c:numCache>
                <c:formatCode>General</c:formatCode>
                <c:ptCount val="24"/>
                <c:pt idx="0">
                  <c:v>0.40100000000000002</c:v>
                </c:pt>
                <c:pt idx="1">
                  <c:v>0.41599999999999998</c:v>
                </c:pt>
                <c:pt idx="2">
                  <c:v>0.41799999999999998</c:v>
                </c:pt>
                <c:pt idx="3">
                  <c:v>0.53</c:v>
                </c:pt>
                <c:pt idx="4">
                  <c:v>0.42099999999999999</c:v>
                </c:pt>
                <c:pt idx="5">
                  <c:v>0.44</c:v>
                </c:pt>
                <c:pt idx="6">
                  <c:v>0.6</c:v>
                </c:pt>
                <c:pt idx="7">
                  <c:v>0.5</c:v>
                </c:pt>
                <c:pt idx="8">
                  <c:v>0.434</c:v>
                </c:pt>
                <c:pt idx="9">
                  <c:v>0.60699999999999998</c:v>
                </c:pt>
                <c:pt idx="10">
                  <c:v>0.52400000000000002</c:v>
                </c:pt>
                <c:pt idx="11">
                  <c:v>0.437</c:v>
                </c:pt>
                <c:pt idx="12">
                  <c:v>0.60599999999999998</c:v>
                </c:pt>
                <c:pt idx="13">
                  <c:v>0.48599999999999999</c:v>
                </c:pt>
                <c:pt idx="14">
                  <c:v>0.41599999999999998</c:v>
                </c:pt>
                <c:pt idx="15">
                  <c:v>0.52800000000000002</c:v>
                </c:pt>
                <c:pt idx="16">
                  <c:v>0.44600000000000001</c:v>
                </c:pt>
                <c:pt idx="17">
                  <c:v>0.39700000000000002</c:v>
                </c:pt>
                <c:pt idx="18">
                  <c:v>0.44</c:v>
                </c:pt>
                <c:pt idx="19">
                  <c:v>0.39200000000000002</c:v>
                </c:pt>
                <c:pt idx="20">
                  <c:v>0.40500000000000003</c:v>
                </c:pt>
                <c:pt idx="21">
                  <c:v>0.41099999999999998</c:v>
                </c:pt>
                <c:pt idx="22">
                  <c:v>0.38300000000000001</c:v>
                </c:pt>
                <c:pt idx="23">
                  <c:v>0.39900000000000002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2B0-824B-80B3-A5BE7269F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879039"/>
        <c:axId val="762476767"/>
      </c:scatterChart>
      <c:valAx>
        <c:axId val="1158879039"/>
        <c:scaling>
          <c:orientation val="minMax"/>
          <c:max val="6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76767"/>
        <c:crosses val="autoZero"/>
        <c:crossBetween val="midCat"/>
      </c:valAx>
      <c:valAx>
        <c:axId val="762476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OD600nm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879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v>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868951950669857"/>
                  <c:y val="6.82739715946721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('Growth curves'!$C$2:$C$4,'Growth curves'!$C$17:$C$19,'Growth curves'!$C$32:$C$34)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</c:numCache>
            </c:numRef>
          </c:xVal>
          <c:yVal>
            <c:numRef>
              <c:f>('Growth curves'!$F$2:$F$4,'Growth curves'!$F$17:$F$19,'Growth curves'!$F$32:$F$34)</c:f>
              <c:numCache>
                <c:formatCode>General</c:formatCode>
                <c:ptCount val="9"/>
                <c:pt idx="0">
                  <c:v>0.40799999999999997</c:v>
                </c:pt>
                <c:pt idx="1">
                  <c:v>0.40799999999999997</c:v>
                </c:pt>
                <c:pt idx="2">
                  <c:v>0.40200000000000002</c:v>
                </c:pt>
                <c:pt idx="3">
                  <c:v>1.651</c:v>
                </c:pt>
                <c:pt idx="4">
                  <c:v>1.7010000000000001</c:v>
                </c:pt>
                <c:pt idx="5">
                  <c:v>1.6819999999999999</c:v>
                </c:pt>
                <c:pt idx="6">
                  <c:v>2.2360000000000002</c:v>
                </c:pt>
                <c:pt idx="7">
                  <c:v>2.2240000000000002</c:v>
                </c:pt>
                <c:pt idx="8">
                  <c:v>2.2250000000000001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90-1040-967F-46953A75BDD2}"/>
            </c:ext>
          </c:extLst>
        </c:ser>
        <c:ser>
          <c:idx val="0"/>
          <c:order val="1"/>
          <c:tx>
            <c:v>2µM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594415231383654"/>
                  <c:y val="9.24310103760394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('Growth curves'!$C$2:$C$4,'Growth curves'!$C$17:$C$19,'Growth curves'!$C$32:$C$34)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</c:numCache>
            </c:numRef>
          </c:xVal>
          <c:yVal>
            <c:numRef>
              <c:f>('Growth curves'!$F$5:$F$7,'Growth curves'!$F$20:$F$22,'Growth curves'!$F$35:$F$37)</c:f>
              <c:numCache>
                <c:formatCode>General</c:formatCode>
                <c:ptCount val="9"/>
                <c:pt idx="0">
                  <c:v>0.39700000000000002</c:v>
                </c:pt>
                <c:pt idx="1">
                  <c:v>0.40300000000000002</c:v>
                </c:pt>
                <c:pt idx="2">
                  <c:v>0.41699999999999998</c:v>
                </c:pt>
                <c:pt idx="3">
                  <c:v>1.657</c:v>
                </c:pt>
                <c:pt idx="4">
                  <c:v>1.6539999999999999</c:v>
                </c:pt>
                <c:pt idx="5">
                  <c:v>1.667</c:v>
                </c:pt>
                <c:pt idx="6">
                  <c:v>2.2240000000000002</c:v>
                </c:pt>
                <c:pt idx="7">
                  <c:v>2.2040000000000002</c:v>
                </c:pt>
                <c:pt idx="8">
                  <c:v>2.198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90-1040-967F-46953A75BDD2}"/>
            </c:ext>
          </c:extLst>
        </c:ser>
        <c:ser>
          <c:idx val="1"/>
          <c:order val="2"/>
          <c:tx>
            <c:v>20µM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34173827419626"/>
                  <c:y val="-4.808095289287837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('Growth curves'!$C$2:$C$4,'Growth curves'!$C$17:$C$19,'Growth curves'!$C$32:$C$34)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</c:numCache>
            </c:numRef>
          </c:xVal>
          <c:yVal>
            <c:numRef>
              <c:f>('Growth curves'!$F$8:$F$10,'Growth curves'!$F$23:$F$25,'Growth curves'!$F$38:$F$40)</c:f>
              <c:numCache>
                <c:formatCode>General</c:formatCode>
                <c:ptCount val="9"/>
                <c:pt idx="0">
                  <c:v>0.40100000000000002</c:v>
                </c:pt>
                <c:pt idx="1">
                  <c:v>0.40899999999999997</c:v>
                </c:pt>
                <c:pt idx="2">
                  <c:v>0.39800000000000002</c:v>
                </c:pt>
                <c:pt idx="3">
                  <c:v>0.875</c:v>
                </c:pt>
                <c:pt idx="4">
                  <c:v>0.81100000000000005</c:v>
                </c:pt>
                <c:pt idx="5">
                  <c:v>0.81499999999999995</c:v>
                </c:pt>
                <c:pt idx="6">
                  <c:v>1.46</c:v>
                </c:pt>
                <c:pt idx="7">
                  <c:v>1.363</c:v>
                </c:pt>
                <c:pt idx="8">
                  <c:v>1.369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90-1040-967F-46953A75BDD2}"/>
            </c:ext>
          </c:extLst>
        </c:ser>
        <c:ser>
          <c:idx val="2"/>
          <c:order val="3"/>
          <c:tx>
            <c:v>200µM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067828217847355"/>
                  <c:y val="-6.97108130057080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('Growth curves'!$C$2:$C$4,'Growth curves'!$C$17:$C$19,'Growth curves'!$C$32:$C$34)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</c:numCache>
            </c:numRef>
          </c:xVal>
          <c:yVal>
            <c:numRef>
              <c:f>('Growth curves'!$F$11:$F$13,'Growth curves'!$F$26:$F$28,'Growth curves'!$F$41:$F$43)</c:f>
              <c:numCache>
                <c:formatCode>General</c:formatCode>
                <c:ptCount val="9"/>
                <c:pt idx="0">
                  <c:v>0.41299999999999998</c:v>
                </c:pt>
                <c:pt idx="1">
                  <c:v>0.39500000000000002</c:v>
                </c:pt>
                <c:pt idx="2">
                  <c:v>0.41799999999999998</c:v>
                </c:pt>
                <c:pt idx="3">
                  <c:v>0.47399999999999998</c:v>
                </c:pt>
                <c:pt idx="4">
                  <c:v>0.47199999999999998</c:v>
                </c:pt>
                <c:pt idx="5">
                  <c:v>0.47399999999999998</c:v>
                </c:pt>
                <c:pt idx="6">
                  <c:v>0.48799999999999999</c:v>
                </c:pt>
                <c:pt idx="7">
                  <c:v>0.48599999999999999</c:v>
                </c:pt>
                <c:pt idx="8">
                  <c:v>0.47799999999999998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C90-1040-967F-46953A75BDD2}"/>
            </c:ext>
          </c:extLst>
        </c:ser>
        <c:ser>
          <c:idx val="4"/>
          <c:order val="4"/>
          <c:tx>
            <c:v>2000µM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930873189672901"/>
                  <c:y val="1.44664735040365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('Growth curves'!$C$2:$C$4,'Growth curves'!$C$17:$C$19,'Growth curves'!$C$32:$C$34)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</c:numCache>
            </c:numRef>
          </c:xVal>
          <c:yVal>
            <c:numRef>
              <c:f>('Growth curves'!$F$14:$F$16,'Growth curves'!$F$29:$F$31,'Growth curves'!$F$44:$F$46)</c:f>
              <c:numCache>
                <c:formatCode>General</c:formatCode>
                <c:ptCount val="9"/>
                <c:pt idx="0">
                  <c:v>0.40100000000000002</c:v>
                </c:pt>
                <c:pt idx="1">
                  <c:v>0.41599999999999998</c:v>
                </c:pt>
                <c:pt idx="2">
                  <c:v>0.41799999999999998</c:v>
                </c:pt>
                <c:pt idx="3">
                  <c:v>0.53</c:v>
                </c:pt>
                <c:pt idx="4">
                  <c:v>0.42099999999999999</c:v>
                </c:pt>
                <c:pt idx="5">
                  <c:v>0.44</c:v>
                </c:pt>
                <c:pt idx="6">
                  <c:v>0.6</c:v>
                </c:pt>
                <c:pt idx="7">
                  <c:v>0.5</c:v>
                </c:pt>
                <c:pt idx="8">
                  <c:v>0.434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C90-1040-967F-46953A75B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879039"/>
        <c:axId val="762476767"/>
      </c:scatterChart>
      <c:valAx>
        <c:axId val="1158879039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76767"/>
        <c:crosses val="autoZero"/>
        <c:crossBetween val="midCat"/>
      </c:valAx>
      <c:valAx>
        <c:axId val="762476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OD600nm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879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v>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868951950669857"/>
                  <c:y val="6.82739715946721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('Growth curves'!$C$2:$C$4,'Growth curves'!$C$17:$C$19)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</c:numCache>
            </c:numRef>
          </c:xVal>
          <c:yVal>
            <c:numRef>
              <c:f>('Growth curves'!$F$2:$F$4,'Growth curves'!$F$17:$F$19)</c:f>
              <c:numCache>
                <c:formatCode>General</c:formatCode>
                <c:ptCount val="6"/>
                <c:pt idx="0">
                  <c:v>0.40799999999999997</c:v>
                </c:pt>
                <c:pt idx="1">
                  <c:v>0.40799999999999997</c:v>
                </c:pt>
                <c:pt idx="2">
                  <c:v>0.40200000000000002</c:v>
                </c:pt>
                <c:pt idx="3">
                  <c:v>1.651</c:v>
                </c:pt>
                <c:pt idx="4">
                  <c:v>1.7010000000000001</c:v>
                </c:pt>
                <c:pt idx="5">
                  <c:v>1.6819999999999999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21-6F44-A29B-5A9ABA05607B}"/>
            </c:ext>
          </c:extLst>
        </c:ser>
        <c:ser>
          <c:idx val="0"/>
          <c:order val="1"/>
          <c:tx>
            <c:v>2µM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594415231383654"/>
                  <c:y val="9.24310103760394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('Growth curves'!$C$2:$C$4,'Growth curves'!$C$17:$C$19)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</c:numCache>
            </c:numRef>
          </c:xVal>
          <c:yVal>
            <c:numRef>
              <c:f>('Growth curves'!$F$5:$F$7,'Growth curves'!$F$20:$F$22)</c:f>
              <c:numCache>
                <c:formatCode>General</c:formatCode>
                <c:ptCount val="6"/>
                <c:pt idx="0">
                  <c:v>0.39700000000000002</c:v>
                </c:pt>
                <c:pt idx="1">
                  <c:v>0.40300000000000002</c:v>
                </c:pt>
                <c:pt idx="2">
                  <c:v>0.41699999999999998</c:v>
                </c:pt>
                <c:pt idx="3">
                  <c:v>1.657</c:v>
                </c:pt>
                <c:pt idx="4">
                  <c:v>1.6539999999999999</c:v>
                </c:pt>
                <c:pt idx="5">
                  <c:v>1.667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21-6F44-A29B-5A9ABA05607B}"/>
            </c:ext>
          </c:extLst>
        </c:ser>
        <c:ser>
          <c:idx val="1"/>
          <c:order val="2"/>
          <c:tx>
            <c:v>20µM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34173827419626"/>
                  <c:y val="-4.808095289287837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('Growth curves'!$C$2:$C$4,'Growth curves'!$C$17:$C$19,'Growth curves'!$C$32:$C$34)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</c:numCache>
            </c:numRef>
          </c:xVal>
          <c:yVal>
            <c:numRef>
              <c:f>('Growth curves'!$F$8:$F$10,'Growth curves'!$F$23:$F$25,'Growth curves'!$F$38:$F$40)</c:f>
              <c:numCache>
                <c:formatCode>General</c:formatCode>
                <c:ptCount val="9"/>
                <c:pt idx="0">
                  <c:v>0.40100000000000002</c:v>
                </c:pt>
                <c:pt idx="1">
                  <c:v>0.40899999999999997</c:v>
                </c:pt>
                <c:pt idx="2">
                  <c:v>0.39800000000000002</c:v>
                </c:pt>
                <c:pt idx="3">
                  <c:v>0.875</c:v>
                </c:pt>
                <c:pt idx="4">
                  <c:v>0.81100000000000005</c:v>
                </c:pt>
                <c:pt idx="5">
                  <c:v>0.81499999999999995</c:v>
                </c:pt>
                <c:pt idx="6">
                  <c:v>1.46</c:v>
                </c:pt>
                <c:pt idx="7">
                  <c:v>1.363</c:v>
                </c:pt>
                <c:pt idx="8">
                  <c:v>1.369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021-6F44-A29B-5A9ABA05607B}"/>
            </c:ext>
          </c:extLst>
        </c:ser>
        <c:ser>
          <c:idx val="2"/>
          <c:order val="3"/>
          <c:tx>
            <c:v>200µM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067828217847355"/>
                  <c:y val="-6.97108130057080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('Growth curves'!$C$2:$C$4,'Growth curves'!$C$17:$C$19,'Growth curves'!$C$32:$C$34)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</c:numCache>
            </c:numRef>
          </c:xVal>
          <c:yVal>
            <c:numRef>
              <c:f>('Growth curves'!$F$11:$F$13,'Growth curves'!$F$26:$F$28,'Growth curves'!$F$41:$F$43)</c:f>
              <c:numCache>
                <c:formatCode>General</c:formatCode>
                <c:ptCount val="9"/>
                <c:pt idx="0">
                  <c:v>0.41299999999999998</c:v>
                </c:pt>
                <c:pt idx="1">
                  <c:v>0.39500000000000002</c:v>
                </c:pt>
                <c:pt idx="2">
                  <c:v>0.41799999999999998</c:v>
                </c:pt>
                <c:pt idx="3">
                  <c:v>0.47399999999999998</c:v>
                </c:pt>
                <c:pt idx="4">
                  <c:v>0.47199999999999998</c:v>
                </c:pt>
                <c:pt idx="5">
                  <c:v>0.47399999999999998</c:v>
                </c:pt>
                <c:pt idx="6">
                  <c:v>0.48799999999999999</c:v>
                </c:pt>
                <c:pt idx="7">
                  <c:v>0.48599999999999999</c:v>
                </c:pt>
                <c:pt idx="8">
                  <c:v>0.47799999999999998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021-6F44-A29B-5A9ABA05607B}"/>
            </c:ext>
          </c:extLst>
        </c:ser>
        <c:ser>
          <c:idx val="4"/>
          <c:order val="4"/>
          <c:tx>
            <c:v>2000µM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930873189672901"/>
                  <c:y val="1.44664735040365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('Growth curves'!$C$2:$C$4,'Growth curves'!$C$17:$C$19,'Growth curves'!$C$32:$C$34)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</c:numCache>
            </c:numRef>
          </c:xVal>
          <c:yVal>
            <c:numRef>
              <c:f>('Growth curves'!$F$14:$F$16,'Growth curves'!$F$29:$F$31,'Growth curves'!$F$44:$F$46)</c:f>
              <c:numCache>
                <c:formatCode>General</c:formatCode>
                <c:ptCount val="9"/>
                <c:pt idx="0">
                  <c:v>0.40100000000000002</c:v>
                </c:pt>
                <c:pt idx="1">
                  <c:v>0.41599999999999998</c:v>
                </c:pt>
                <c:pt idx="2">
                  <c:v>0.41799999999999998</c:v>
                </c:pt>
                <c:pt idx="3">
                  <c:v>0.53</c:v>
                </c:pt>
                <c:pt idx="4">
                  <c:v>0.42099999999999999</c:v>
                </c:pt>
                <c:pt idx="5">
                  <c:v>0.44</c:v>
                </c:pt>
                <c:pt idx="6">
                  <c:v>0.6</c:v>
                </c:pt>
                <c:pt idx="7">
                  <c:v>0.5</c:v>
                </c:pt>
                <c:pt idx="8">
                  <c:v>0.434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021-6F44-A29B-5A9ABA056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879039"/>
        <c:axId val="762476767"/>
      </c:scatterChart>
      <c:valAx>
        <c:axId val="1158879039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76767"/>
        <c:crosses val="autoZero"/>
        <c:crossBetween val="midCat"/>
      </c:valAx>
      <c:valAx>
        <c:axId val="762476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OD600nm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879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'Growth curves'!$Y$1</c:f>
              <c:strCache>
                <c:ptCount val="1"/>
                <c:pt idx="0">
                  <c:v>Growth rate (hr^-1)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'Growth curves'!$X$2:$X$16</c:f>
              <c:numCache>
                <c:formatCode>General</c:formatCode>
                <c:ptCount val="15"/>
                <c:pt idx="0">
                  <c:v>1.3574692497157164</c:v>
                </c:pt>
                <c:pt idx="1">
                  <c:v>1.3574692497157164</c:v>
                </c:pt>
                <c:pt idx="2">
                  <c:v>1.3574692497157164</c:v>
                </c:pt>
                <c:pt idx="3">
                  <c:v>2.8846221556458973</c:v>
                </c:pt>
                <c:pt idx="4">
                  <c:v>2.8846221556458973</c:v>
                </c:pt>
                <c:pt idx="5">
                  <c:v>2.8846221556458973</c:v>
                </c:pt>
                <c:pt idx="6">
                  <c:v>15.7805800279452</c:v>
                </c:pt>
                <c:pt idx="7">
                  <c:v>16.289630996588595</c:v>
                </c:pt>
                <c:pt idx="8">
                  <c:v>16.119947340374132</c:v>
                </c:pt>
                <c:pt idx="9">
                  <c:v>170.70175815175133</c:v>
                </c:pt>
                <c:pt idx="10">
                  <c:v>162.89630996588596</c:v>
                </c:pt>
                <c:pt idx="11">
                  <c:v>159.16326952916771</c:v>
                </c:pt>
                <c:pt idx="12">
                  <c:v>1523.4198654934626</c:v>
                </c:pt>
                <c:pt idx="13">
                  <c:v>1596.7232049781112</c:v>
                </c:pt>
                <c:pt idx="14">
                  <c:v>1623.8725899724257</c:v>
                </c:pt>
              </c:numCache>
            </c:numRef>
          </c:xVal>
          <c:yVal>
            <c:numRef>
              <c:f>'Growth curves'!$Y$2:$Y$16</c:f>
              <c:numCache>
                <c:formatCode>General</c:formatCode>
                <c:ptCount val="15"/>
                <c:pt idx="0">
                  <c:v>0.20716666666666669</c:v>
                </c:pt>
                <c:pt idx="1">
                  <c:v>0.21550000000000002</c:v>
                </c:pt>
                <c:pt idx="2">
                  <c:v>0.21333333333333329</c:v>
                </c:pt>
                <c:pt idx="3">
                  <c:v>0.21</c:v>
                </c:pt>
                <c:pt idx="4">
                  <c:v>0.20849999999999999</c:v>
                </c:pt>
                <c:pt idx="5">
                  <c:v>0.20833333333333334</c:v>
                </c:pt>
                <c:pt idx="6">
                  <c:v>8.8249999999999995E-2</c:v>
                </c:pt>
                <c:pt idx="7">
                  <c:v>7.9500000000000001E-2</c:v>
                </c:pt>
                <c:pt idx="8">
                  <c:v>8.0916666666666665E-2</c:v>
                </c:pt>
                <c:pt idx="9">
                  <c:v>6.2500000000000012E-3</c:v>
                </c:pt>
                <c:pt idx="10">
                  <c:v>7.5833333333333308E-3</c:v>
                </c:pt>
                <c:pt idx="11">
                  <c:v>5.0000000000000001E-3</c:v>
                </c:pt>
                <c:pt idx="12">
                  <c:v>1.6583333333333328E-2</c:v>
                </c:pt>
                <c:pt idx="13">
                  <c:v>7.0000000000000019E-3</c:v>
                </c:pt>
                <c:pt idx="14">
                  <c:v>1.3333333333333346E-3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00-414D-99AE-8E9099836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816736"/>
        <c:axId val="1027800352"/>
      </c:scatterChart>
      <c:valAx>
        <c:axId val="2105816736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Co(2+) concentration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800352"/>
        <c:crosses val="autoZero"/>
        <c:crossBetween val="midCat"/>
      </c:valAx>
      <c:valAx>
        <c:axId val="1027800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rate</a:t>
                </a:r>
                <a:r>
                  <a:rPr lang="en-US" baseline="0"/>
                  <a:t> (hr^-1)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816736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298450</xdr:colOff>
      <xdr:row>2</xdr:row>
      <xdr:rowOff>63500</xdr:rowOff>
    </xdr:from>
    <xdr:to>
      <xdr:col>21</xdr:col>
      <xdr:colOff>469900</xdr:colOff>
      <xdr:row>29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137D4-0739-3C4A-99A9-CA3AEDFEB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292100</xdr:colOff>
      <xdr:row>30</xdr:row>
      <xdr:rowOff>139700</xdr:rowOff>
    </xdr:from>
    <xdr:to>
      <xdr:col>21</xdr:col>
      <xdr:colOff>463550</xdr:colOff>
      <xdr:row>57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DF5AD8-FCC2-8041-A74A-25D4C3DB3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292100</xdr:colOff>
      <xdr:row>58</xdr:row>
      <xdr:rowOff>177800</xdr:rowOff>
    </xdr:from>
    <xdr:to>
      <xdr:col>21</xdr:col>
      <xdr:colOff>463550</xdr:colOff>
      <xdr:row>85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D72884-2319-D944-BBC5-B84C8AA49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234950</xdr:colOff>
      <xdr:row>1</xdr:row>
      <xdr:rowOff>165100</xdr:rowOff>
    </xdr:from>
    <xdr:to>
      <xdr:col>33</xdr:col>
      <xdr:colOff>622300</xdr:colOff>
      <xdr:row>27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99E9E9-8CF7-4BFD-769D-070AE7DAE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CB66-CE3B-1E4C-B16E-F4AB4F44E106}">
  <dimension ref="A1:F141"/>
  <sheetViews>
    <sheetView workbookViewId="0">
      <selection activeCell="C107" sqref="C107"/>
    </sheetView>
  </sheetViews>
  <sheetFormatPr baseColWidth="10" defaultRowHeight="16" x14ac:dyDescent="0.2"/>
  <cols>
    <col min="3" max="3" width="12.83203125" bestFit="1" customWidth="1"/>
  </cols>
  <sheetData>
    <row r="1" spans="1:6" s="1" customFormat="1" x14ac:dyDescent="0.2">
      <c r="A1" s="1" t="s">
        <v>4</v>
      </c>
      <c r="B1" s="1" t="s">
        <v>5</v>
      </c>
      <c r="C1" s="1" t="s">
        <v>3</v>
      </c>
      <c r="D1" s="1" t="s">
        <v>0</v>
      </c>
      <c r="E1" s="1" t="s">
        <v>1</v>
      </c>
      <c r="F1" s="1" t="s">
        <v>2</v>
      </c>
    </row>
    <row r="2" spans="1:6" x14ac:dyDescent="0.2">
      <c r="A2" s="2">
        <v>46006</v>
      </c>
      <c r="B2" s="3">
        <v>0.38055555555555554</v>
      </c>
      <c r="C2">
        <v>0</v>
      </c>
      <c r="D2">
        <v>0</v>
      </c>
      <c r="E2">
        <v>1</v>
      </c>
      <c r="F2">
        <v>0.40799999999999997</v>
      </c>
    </row>
    <row r="3" spans="1:6" x14ac:dyDescent="0.2">
      <c r="A3" s="2">
        <v>46006</v>
      </c>
      <c r="B3" s="3">
        <v>0.38055555555555554</v>
      </c>
      <c r="C3">
        <v>0</v>
      </c>
      <c r="D3">
        <v>0</v>
      </c>
      <c r="E3">
        <v>2</v>
      </c>
      <c r="F3">
        <v>0.40799999999999997</v>
      </c>
    </row>
    <row r="4" spans="1:6" x14ac:dyDescent="0.2">
      <c r="A4" s="2">
        <v>46006</v>
      </c>
      <c r="B4" s="3">
        <v>0.38055555555555554</v>
      </c>
      <c r="C4">
        <v>0</v>
      </c>
      <c r="D4">
        <v>0</v>
      </c>
      <c r="E4">
        <v>3</v>
      </c>
      <c r="F4">
        <v>0.40200000000000002</v>
      </c>
    </row>
    <row r="5" spans="1:6" x14ac:dyDescent="0.2">
      <c r="A5" s="2">
        <v>46006</v>
      </c>
      <c r="B5" s="3">
        <v>0.38055555555555598</v>
      </c>
      <c r="C5">
        <v>0</v>
      </c>
      <c r="D5">
        <v>2</v>
      </c>
      <c r="E5">
        <v>1</v>
      </c>
      <c r="F5">
        <v>0.39700000000000002</v>
      </c>
    </row>
    <row r="6" spans="1:6" x14ac:dyDescent="0.2">
      <c r="A6" s="2">
        <v>46006</v>
      </c>
      <c r="B6" s="3">
        <v>0.38055555555555598</v>
      </c>
      <c r="C6">
        <v>0</v>
      </c>
      <c r="D6">
        <v>2</v>
      </c>
      <c r="E6">
        <v>2</v>
      </c>
      <c r="F6">
        <v>0.40300000000000002</v>
      </c>
    </row>
    <row r="7" spans="1:6" x14ac:dyDescent="0.2">
      <c r="A7" s="2">
        <v>46006</v>
      </c>
      <c r="B7" s="3">
        <v>0.38055555555555598</v>
      </c>
      <c r="C7">
        <v>0</v>
      </c>
      <c r="D7">
        <v>2</v>
      </c>
      <c r="E7">
        <v>3</v>
      </c>
      <c r="F7">
        <v>0.41699999999999998</v>
      </c>
    </row>
    <row r="8" spans="1:6" x14ac:dyDescent="0.2">
      <c r="A8" s="2">
        <v>46006</v>
      </c>
      <c r="B8" s="3">
        <v>0.38055555555555598</v>
      </c>
      <c r="C8">
        <v>0</v>
      </c>
      <c r="D8">
        <v>20</v>
      </c>
      <c r="E8">
        <v>1</v>
      </c>
      <c r="F8">
        <v>0.40100000000000002</v>
      </c>
    </row>
    <row r="9" spans="1:6" x14ac:dyDescent="0.2">
      <c r="A9" s="2">
        <v>46006</v>
      </c>
      <c r="B9" s="3">
        <v>0.38055555555555598</v>
      </c>
      <c r="C9">
        <v>0</v>
      </c>
      <c r="D9">
        <v>20</v>
      </c>
      <c r="E9">
        <v>2</v>
      </c>
      <c r="F9">
        <v>0.40899999999999997</v>
      </c>
    </row>
    <row r="10" spans="1:6" x14ac:dyDescent="0.2">
      <c r="A10" s="2">
        <v>46006</v>
      </c>
      <c r="B10" s="3">
        <v>0.38055555555555598</v>
      </c>
      <c r="C10">
        <v>0</v>
      </c>
      <c r="D10">
        <v>20</v>
      </c>
      <c r="E10">
        <v>3</v>
      </c>
      <c r="F10">
        <v>0.39800000000000002</v>
      </c>
    </row>
    <row r="11" spans="1:6" x14ac:dyDescent="0.2">
      <c r="A11" s="2">
        <v>46006</v>
      </c>
      <c r="B11" s="3">
        <v>0.38055555555555598</v>
      </c>
      <c r="C11">
        <v>0</v>
      </c>
      <c r="D11">
        <v>200</v>
      </c>
      <c r="E11">
        <v>1</v>
      </c>
      <c r="F11">
        <v>0.41299999999999998</v>
      </c>
    </row>
    <row r="12" spans="1:6" x14ac:dyDescent="0.2">
      <c r="A12" s="2">
        <v>46006</v>
      </c>
      <c r="B12" s="3">
        <v>0.38055555555555598</v>
      </c>
      <c r="C12">
        <v>0</v>
      </c>
      <c r="D12">
        <v>200</v>
      </c>
      <c r="E12">
        <v>2</v>
      </c>
      <c r="F12">
        <v>0.39500000000000002</v>
      </c>
    </row>
    <row r="13" spans="1:6" x14ac:dyDescent="0.2">
      <c r="A13" s="2">
        <v>46006</v>
      </c>
      <c r="B13" s="3">
        <v>0.38055555555555598</v>
      </c>
      <c r="C13">
        <v>0</v>
      </c>
      <c r="D13">
        <v>200</v>
      </c>
      <c r="E13">
        <v>3</v>
      </c>
      <c r="F13">
        <v>0.41799999999999998</v>
      </c>
    </row>
    <row r="14" spans="1:6" x14ac:dyDescent="0.2">
      <c r="A14" s="2">
        <v>46006</v>
      </c>
      <c r="B14" s="3">
        <v>0.38055555555555598</v>
      </c>
      <c r="C14">
        <v>0</v>
      </c>
      <c r="D14">
        <v>2000</v>
      </c>
      <c r="E14">
        <v>1</v>
      </c>
      <c r="F14">
        <v>0.40100000000000002</v>
      </c>
    </row>
    <row r="15" spans="1:6" x14ac:dyDescent="0.2">
      <c r="A15" s="2">
        <v>46006</v>
      </c>
      <c r="B15" s="3">
        <v>0.38055555555555598</v>
      </c>
      <c r="C15">
        <v>0</v>
      </c>
      <c r="D15">
        <v>2000</v>
      </c>
      <c r="E15">
        <v>2</v>
      </c>
      <c r="F15">
        <v>0.41599999999999998</v>
      </c>
    </row>
    <row r="16" spans="1:6" x14ac:dyDescent="0.2">
      <c r="A16" s="2">
        <v>46006</v>
      </c>
      <c r="B16" s="3">
        <v>0.38055555555555598</v>
      </c>
      <c r="C16">
        <v>0</v>
      </c>
      <c r="D16">
        <v>2000</v>
      </c>
      <c r="E16">
        <v>3</v>
      </c>
      <c r="F16">
        <v>0.41799999999999998</v>
      </c>
    </row>
    <row r="17" spans="1:6" x14ac:dyDescent="0.2">
      <c r="A17" s="2">
        <v>46006</v>
      </c>
      <c r="B17" s="3">
        <v>0.63055555555555554</v>
      </c>
      <c r="C17">
        <v>6</v>
      </c>
      <c r="D17">
        <v>0</v>
      </c>
      <c r="E17">
        <v>1</v>
      </c>
      <c r="F17">
        <v>1.651</v>
      </c>
    </row>
    <row r="18" spans="1:6" x14ac:dyDescent="0.2">
      <c r="A18" s="2">
        <v>46006</v>
      </c>
      <c r="B18" s="3">
        <v>0.63055555555555554</v>
      </c>
      <c r="C18">
        <v>6</v>
      </c>
      <c r="D18">
        <v>0</v>
      </c>
      <c r="E18">
        <v>2</v>
      </c>
      <c r="F18">
        <v>1.7010000000000001</v>
      </c>
    </row>
    <row r="19" spans="1:6" x14ac:dyDescent="0.2">
      <c r="A19" s="2">
        <v>46006</v>
      </c>
      <c r="B19" s="3">
        <v>0.63055555555555598</v>
      </c>
      <c r="C19">
        <v>6</v>
      </c>
      <c r="D19">
        <v>0</v>
      </c>
      <c r="E19">
        <v>3</v>
      </c>
      <c r="F19">
        <v>1.6819999999999999</v>
      </c>
    </row>
    <row r="20" spans="1:6" x14ac:dyDescent="0.2">
      <c r="A20" s="2">
        <v>46006</v>
      </c>
      <c r="B20" s="3">
        <v>0.63055555555555598</v>
      </c>
      <c r="C20">
        <v>6</v>
      </c>
      <c r="D20">
        <v>2</v>
      </c>
      <c r="E20">
        <v>1</v>
      </c>
      <c r="F20">
        <v>1.657</v>
      </c>
    </row>
    <row r="21" spans="1:6" x14ac:dyDescent="0.2">
      <c r="A21" s="2">
        <v>46006</v>
      </c>
      <c r="B21" s="3">
        <v>0.63055555555555598</v>
      </c>
      <c r="C21">
        <v>6</v>
      </c>
      <c r="D21">
        <v>2</v>
      </c>
      <c r="E21">
        <v>2</v>
      </c>
      <c r="F21">
        <v>1.6539999999999999</v>
      </c>
    </row>
    <row r="22" spans="1:6" x14ac:dyDescent="0.2">
      <c r="A22" s="2">
        <v>46006</v>
      </c>
      <c r="B22" s="3">
        <v>0.63055555555555598</v>
      </c>
      <c r="C22">
        <v>6</v>
      </c>
      <c r="D22">
        <v>2</v>
      </c>
      <c r="E22">
        <v>3</v>
      </c>
      <c r="F22">
        <v>1.667</v>
      </c>
    </row>
    <row r="23" spans="1:6" x14ac:dyDescent="0.2">
      <c r="A23" s="2">
        <v>46006</v>
      </c>
      <c r="B23" s="3">
        <v>0.63055555555555598</v>
      </c>
      <c r="C23">
        <v>6</v>
      </c>
      <c r="D23">
        <v>20</v>
      </c>
      <c r="E23">
        <v>1</v>
      </c>
      <c r="F23">
        <v>0.875</v>
      </c>
    </row>
    <row r="24" spans="1:6" x14ac:dyDescent="0.2">
      <c r="A24" s="2">
        <v>46006</v>
      </c>
      <c r="B24" s="3">
        <v>0.63055555555555598</v>
      </c>
      <c r="C24">
        <v>6</v>
      </c>
      <c r="D24">
        <v>20</v>
      </c>
      <c r="E24">
        <v>2</v>
      </c>
      <c r="F24">
        <v>0.81100000000000005</v>
      </c>
    </row>
    <row r="25" spans="1:6" x14ac:dyDescent="0.2">
      <c r="A25" s="2">
        <v>46006</v>
      </c>
      <c r="B25" s="3">
        <v>0.63055555555555598</v>
      </c>
      <c r="C25">
        <v>6</v>
      </c>
      <c r="D25">
        <v>20</v>
      </c>
      <c r="E25">
        <v>3</v>
      </c>
      <c r="F25">
        <v>0.81499999999999995</v>
      </c>
    </row>
    <row r="26" spans="1:6" x14ac:dyDescent="0.2">
      <c r="A26" s="2">
        <v>46006</v>
      </c>
      <c r="B26" s="3">
        <v>0.63055555555555598</v>
      </c>
      <c r="C26">
        <v>6</v>
      </c>
      <c r="D26">
        <v>200</v>
      </c>
      <c r="E26">
        <v>1</v>
      </c>
      <c r="F26">
        <v>0.47399999999999998</v>
      </c>
    </row>
    <row r="27" spans="1:6" x14ac:dyDescent="0.2">
      <c r="A27" s="2">
        <v>46006</v>
      </c>
      <c r="B27" s="3">
        <v>0.63055555555555598</v>
      </c>
      <c r="C27">
        <v>6</v>
      </c>
      <c r="D27">
        <v>200</v>
      </c>
      <c r="E27">
        <v>2</v>
      </c>
      <c r="F27">
        <v>0.47199999999999998</v>
      </c>
    </row>
    <row r="28" spans="1:6" x14ac:dyDescent="0.2">
      <c r="A28" s="2">
        <v>46006</v>
      </c>
      <c r="B28" s="3">
        <v>0.63055555555555598</v>
      </c>
      <c r="C28">
        <v>6</v>
      </c>
      <c r="D28">
        <v>200</v>
      </c>
      <c r="E28">
        <v>3</v>
      </c>
      <c r="F28">
        <v>0.47399999999999998</v>
      </c>
    </row>
    <row r="29" spans="1:6" x14ac:dyDescent="0.2">
      <c r="A29" s="2">
        <v>46006</v>
      </c>
      <c r="B29" s="3">
        <v>0.63055555555555598</v>
      </c>
      <c r="C29">
        <v>6</v>
      </c>
      <c r="D29">
        <v>2000</v>
      </c>
      <c r="E29">
        <v>1</v>
      </c>
      <c r="F29">
        <v>0.53</v>
      </c>
    </row>
    <row r="30" spans="1:6" x14ac:dyDescent="0.2">
      <c r="A30" s="2">
        <v>46006</v>
      </c>
      <c r="B30" s="3">
        <v>0.63055555555555598</v>
      </c>
      <c r="C30">
        <v>6</v>
      </c>
      <c r="D30">
        <v>2000</v>
      </c>
      <c r="E30">
        <v>2</v>
      </c>
      <c r="F30">
        <v>0.42099999999999999</v>
      </c>
    </row>
    <row r="31" spans="1:6" x14ac:dyDescent="0.2">
      <c r="A31" s="2">
        <v>46006</v>
      </c>
      <c r="B31" s="3">
        <v>0.63055555555555598</v>
      </c>
      <c r="C31">
        <v>6</v>
      </c>
      <c r="D31">
        <v>2000</v>
      </c>
      <c r="E31">
        <v>3</v>
      </c>
      <c r="F31">
        <v>0.44</v>
      </c>
    </row>
    <row r="32" spans="1:6" x14ac:dyDescent="0.2">
      <c r="A32" s="2">
        <v>46006</v>
      </c>
      <c r="B32" s="3">
        <v>0.875</v>
      </c>
      <c r="C32">
        <v>12</v>
      </c>
      <c r="D32">
        <v>0</v>
      </c>
      <c r="E32">
        <v>1</v>
      </c>
      <c r="F32">
        <v>2.2360000000000002</v>
      </c>
    </row>
    <row r="33" spans="1:6" x14ac:dyDescent="0.2">
      <c r="A33" s="2">
        <v>46006</v>
      </c>
      <c r="B33" s="3">
        <v>0.875</v>
      </c>
      <c r="C33">
        <v>12</v>
      </c>
      <c r="D33">
        <v>0</v>
      </c>
      <c r="E33">
        <v>2</v>
      </c>
      <c r="F33">
        <v>2.2240000000000002</v>
      </c>
    </row>
    <row r="34" spans="1:6" x14ac:dyDescent="0.2">
      <c r="A34" s="2">
        <v>46006</v>
      </c>
      <c r="B34" s="3">
        <v>0.875</v>
      </c>
      <c r="C34">
        <v>12</v>
      </c>
      <c r="D34">
        <v>0</v>
      </c>
      <c r="E34">
        <v>3</v>
      </c>
      <c r="F34">
        <v>2.2250000000000001</v>
      </c>
    </row>
    <row r="35" spans="1:6" x14ac:dyDescent="0.2">
      <c r="A35" s="2">
        <v>46006</v>
      </c>
      <c r="B35" s="3">
        <v>0.875</v>
      </c>
      <c r="C35">
        <v>12</v>
      </c>
      <c r="D35">
        <v>2</v>
      </c>
      <c r="E35">
        <v>1</v>
      </c>
      <c r="F35">
        <v>2.2240000000000002</v>
      </c>
    </row>
    <row r="36" spans="1:6" x14ac:dyDescent="0.2">
      <c r="A36" s="2">
        <v>46006</v>
      </c>
      <c r="B36" s="3">
        <v>0.875</v>
      </c>
      <c r="C36">
        <v>12</v>
      </c>
      <c r="D36">
        <v>2</v>
      </c>
      <c r="E36">
        <v>2</v>
      </c>
      <c r="F36">
        <v>2.2040000000000002</v>
      </c>
    </row>
    <row r="37" spans="1:6" x14ac:dyDescent="0.2">
      <c r="A37" s="2">
        <v>46006</v>
      </c>
      <c r="B37" s="3">
        <v>0.875</v>
      </c>
      <c r="C37">
        <v>12</v>
      </c>
      <c r="D37">
        <v>2</v>
      </c>
      <c r="E37">
        <v>3</v>
      </c>
      <c r="F37">
        <v>2.198</v>
      </c>
    </row>
    <row r="38" spans="1:6" x14ac:dyDescent="0.2">
      <c r="A38" s="2">
        <v>46006</v>
      </c>
      <c r="B38" s="3">
        <v>0.875</v>
      </c>
      <c r="C38">
        <v>12</v>
      </c>
      <c r="D38">
        <v>20</v>
      </c>
      <c r="E38">
        <v>1</v>
      </c>
      <c r="F38">
        <v>1.46</v>
      </c>
    </row>
    <row r="39" spans="1:6" x14ac:dyDescent="0.2">
      <c r="A39" s="2">
        <v>46006</v>
      </c>
      <c r="B39" s="3">
        <v>0.875</v>
      </c>
      <c r="C39">
        <v>12</v>
      </c>
      <c r="D39">
        <v>20</v>
      </c>
      <c r="E39">
        <v>2</v>
      </c>
      <c r="F39">
        <v>1.363</v>
      </c>
    </row>
    <row r="40" spans="1:6" x14ac:dyDescent="0.2">
      <c r="A40" s="2">
        <v>46006</v>
      </c>
      <c r="B40" s="3">
        <v>0.875</v>
      </c>
      <c r="C40">
        <v>12</v>
      </c>
      <c r="D40">
        <v>20</v>
      </c>
      <c r="E40">
        <v>3</v>
      </c>
      <c r="F40">
        <v>1.369</v>
      </c>
    </row>
    <row r="41" spans="1:6" x14ac:dyDescent="0.2">
      <c r="A41" s="2">
        <v>46006</v>
      </c>
      <c r="B41" s="3">
        <v>0.875</v>
      </c>
      <c r="C41">
        <v>12</v>
      </c>
      <c r="D41">
        <v>200</v>
      </c>
      <c r="E41">
        <v>1</v>
      </c>
      <c r="F41">
        <v>0.48799999999999999</v>
      </c>
    </row>
    <row r="42" spans="1:6" x14ac:dyDescent="0.2">
      <c r="A42" s="2">
        <v>46006</v>
      </c>
      <c r="B42" s="3">
        <v>0.875</v>
      </c>
      <c r="C42">
        <v>12</v>
      </c>
      <c r="D42">
        <v>200</v>
      </c>
      <c r="E42">
        <v>2</v>
      </c>
      <c r="F42">
        <v>0.48599999999999999</v>
      </c>
    </row>
    <row r="43" spans="1:6" x14ac:dyDescent="0.2">
      <c r="A43" s="2">
        <v>46006</v>
      </c>
      <c r="B43" s="3">
        <v>0.875</v>
      </c>
      <c r="C43">
        <v>12</v>
      </c>
      <c r="D43">
        <v>200</v>
      </c>
      <c r="E43">
        <v>3</v>
      </c>
      <c r="F43">
        <v>0.47799999999999998</v>
      </c>
    </row>
    <row r="44" spans="1:6" x14ac:dyDescent="0.2">
      <c r="A44" s="2">
        <v>46006</v>
      </c>
      <c r="B44" s="3">
        <v>0.875</v>
      </c>
      <c r="C44">
        <v>12</v>
      </c>
      <c r="D44">
        <v>2000</v>
      </c>
      <c r="E44">
        <v>1</v>
      </c>
      <c r="F44">
        <v>0.6</v>
      </c>
    </row>
    <row r="45" spans="1:6" x14ac:dyDescent="0.2">
      <c r="A45" s="2">
        <v>46006</v>
      </c>
      <c r="B45" s="3">
        <v>0.875</v>
      </c>
      <c r="C45">
        <v>12</v>
      </c>
      <c r="D45">
        <v>2000</v>
      </c>
      <c r="E45">
        <v>2</v>
      </c>
      <c r="F45">
        <v>0.5</v>
      </c>
    </row>
    <row r="46" spans="1:6" x14ac:dyDescent="0.2">
      <c r="A46" s="2">
        <v>46006</v>
      </c>
      <c r="B46" s="3">
        <v>0.875</v>
      </c>
      <c r="C46">
        <v>12</v>
      </c>
      <c r="D46">
        <v>2000</v>
      </c>
      <c r="E46">
        <v>3</v>
      </c>
      <c r="F46">
        <v>0.434</v>
      </c>
    </row>
    <row r="47" spans="1:6" x14ac:dyDescent="0.2">
      <c r="A47" s="2">
        <v>46007</v>
      </c>
      <c r="B47" s="3">
        <v>0.38541666666666669</v>
      </c>
      <c r="C47">
        <v>24</v>
      </c>
      <c r="D47">
        <v>0</v>
      </c>
      <c r="E47">
        <v>1</v>
      </c>
      <c r="F47">
        <v>2.0720000000000001</v>
      </c>
    </row>
    <row r="48" spans="1:6" x14ac:dyDescent="0.2">
      <c r="A48" s="2">
        <v>46007</v>
      </c>
      <c r="B48" s="3">
        <v>0.38541666666666669</v>
      </c>
      <c r="C48">
        <v>24</v>
      </c>
      <c r="D48">
        <v>0</v>
      </c>
      <c r="E48">
        <v>2</v>
      </c>
      <c r="F48">
        <v>2.06</v>
      </c>
    </row>
    <row r="49" spans="1:6" x14ac:dyDescent="0.2">
      <c r="A49" s="2">
        <v>46007</v>
      </c>
      <c r="B49" s="3">
        <v>0.38541666666666669</v>
      </c>
      <c r="C49">
        <v>24</v>
      </c>
      <c r="D49">
        <v>0</v>
      </c>
      <c r="E49">
        <v>3</v>
      </c>
      <c r="F49">
        <v>2.077</v>
      </c>
    </row>
    <row r="50" spans="1:6" x14ac:dyDescent="0.2">
      <c r="A50" s="2">
        <v>46007</v>
      </c>
      <c r="B50" s="3">
        <v>0.38541666666666702</v>
      </c>
      <c r="C50">
        <v>24</v>
      </c>
      <c r="D50">
        <v>2</v>
      </c>
      <c r="E50">
        <v>1</v>
      </c>
      <c r="F50">
        <v>2.1040000000000001</v>
      </c>
    </row>
    <row r="51" spans="1:6" x14ac:dyDescent="0.2">
      <c r="A51" s="2">
        <v>46007</v>
      </c>
      <c r="B51" s="3">
        <v>0.38541666666666702</v>
      </c>
      <c r="C51">
        <v>24</v>
      </c>
      <c r="D51">
        <v>2</v>
      </c>
      <c r="E51">
        <v>2</v>
      </c>
      <c r="F51">
        <v>2.0659999999999998</v>
      </c>
    </row>
    <row r="52" spans="1:6" x14ac:dyDescent="0.2">
      <c r="A52" s="2">
        <v>46007</v>
      </c>
      <c r="B52" s="3">
        <v>0.38541666666666702</v>
      </c>
      <c r="C52">
        <v>24</v>
      </c>
      <c r="D52">
        <v>2</v>
      </c>
      <c r="E52">
        <v>3</v>
      </c>
      <c r="F52">
        <v>2.0459999999999998</v>
      </c>
    </row>
    <row r="53" spans="1:6" x14ac:dyDescent="0.2">
      <c r="A53" s="2">
        <v>46007</v>
      </c>
      <c r="B53" s="3">
        <v>0.38541666666666702</v>
      </c>
      <c r="C53">
        <v>24</v>
      </c>
      <c r="D53">
        <v>20</v>
      </c>
      <c r="E53">
        <v>1</v>
      </c>
      <c r="F53">
        <v>1.956</v>
      </c>
    </row>
    <row r="54" spans="1:6" x14ac:dyDescent="0.2">
      <c r="A54" s="2">
        <v>46007</v>
      </c>
      <c r="B54" s="3">
        <v>0.38541666666666702</v>
      </c>
      <c r="C54">
        <v>24</v>
      </c>
      <c r="D54">
        <v>20</v>
      </c>
      <c r="E54">
        <v>2</v>
      </c>
      <c r="F54">
        <v>1.98</v>
      </c>
    </row>
    <row r="55" spans="1:6" x14ac:dyDescent="0.2">
      <c r="A55" s="2">
        <v>46007</v>
      </c>
      <c r="B55" s="3">
        <v>0.38541666666666702</v>
      </c>
      <c r="C55">
        <v>24</v>
      </c>
      <c r="D55">
        <v>20</v>
      </c>
      <c r="E55">
        <v>3</v>
      </c>
      <c r="F55">
        <v>1.9870000000000001</v>
      </c>
    </row>
    <row r="56" spans="1:6" x14ac:dyDescent="0.2">
      <c r="A56" s="2">
        <v>46007</v>
      </c>
      <c r="B56" s="3">
        <v>0.38541666666666702</v>
      </c>
      <c r="C56">
        <v>24</v>
      </c>
      <c r="D56">
        <v>200</v>
      </c>
      <c r="E56">
        <v>1</v>
      </c>
      <c r="F56">
        <v>0.47699999999999998</v>
      </c>
    </row>
    <row r="57" spans="1:6" x14ac:dyDescent="0.2">
      <c r="A57" s="2">
        <v>46007</v>
      </c>
      <c r="B57" s="3">
        <v>0.38541666666666702</v>
      </c>
      <c r="C57">
        <v>24</v>
      </c>
      <c r="D57">
        <v>200</v>
      </c>
      <c r="E57">
        <v>2</v>
      </c>
      <c r="F57">
        <v>0.48099999999999998</v>
      </c>
    </row>
    <row r="58" spans="1:6" x14ac:dyDescent="0.2">
      <c r="A58" s="2">
        <v>46007</v>
      </c>
      <c r="B58" s="3">
        <v>0.38541666666666702</v>
      </c>
      <c r="C58">
        <v>24</v>
      </c>
      <c r="D58">
        <v>200</v>
      </c>
      <c r="E58">
        <v>3</v>
      </c>
      <c r="F58">
        <v>0.47599999999999998</v>
      </c>
    </row>
    <row r="59" spans="1:6" x14ac:dyDescent="0.2">
      <c r="A59" s="2">
        <v>46007</v>
      </c>
      <c r="B59" s="3">
        <v>0.38541666666666702</v>
      </c>
      <c r="C59">
        <v>24</v>
      </c>
      <c r="D59">
        <v>2000</v>
      </c>
      <c r="E59">
        <v>1</v>
      </c>
      <c r="F59">
        <v>0.60699999999999998</v>
      </c>
    </row>
    <row r="60" spans="1:6" x14ac:dyDescent="0.2">
      <c r="A60" s="2">
        <v>46007</v>
      </c>
      <c r="B60" s="3">
        <v>0.38541666666666702</v>
      </c>
      <c r="C60">
        <v>24</v>
      </c>
      <c r="D60">
        <v>2000</v>
      </c>
      <c r="E60">
        <v>2</v>
      </c>
      <c r="F60">
        <v>0.52400000000000002</v>
      </c>
    </row>
    <row r="61" spans="1:6" x14ac:dyDescent="0.2">
      <c r="A61" s="2">
        <v>46007</v>
      </c>
      <c r="B61" s="3">
        <v>0.38541666666666702</v>
      </c>
      <c r="C61">
        <v>24</v>
      </c>
      <c r="D61">
        <v>2000</v>
      </c>
      <c r="E61">
        <v>3</v>
      </c>
      <c r="F61">
        <v>0.437</v>
      </c>
    </row>
    <row r="62" spans="1:6" x14ac:dyDescent="0.2">
      <c r="A62" s="2">
        <v>46007</v>
      </c>
      <c r="B62" s="3">
        <v>0.54999999999999993</v>
      </c>
      <c r="C62">
        <v>28</v>
      </c>
      <c r="D62">
        <v>0</v>
      </c>
      <c r="E62">
        <v>1</v>
      </c>
      <c r="F62">
        <v>2.0499999999999998</v>
      </c>
    </row>
    <row r="63" spans="1:6" x14ac:dyDescent="0.2">
      <c r="A63" s="2">
        <v>46007</v>
      </c>
      <c r="B63" s="3">
        <v>0.54999999999999993</v>
      </c>
      <c r="C63">
        <v>28</v>
      </c>
      <c r="D63">
        <v>0</v>
      </c>
      <c r="E63">
        <v>2</v>
      </c>
      <c r="F63">
        <v>2.0539999999999998</v>
      </c>
    </row>
    <row r="64" spans="1:6" x14ac:dyDescent="0.2">
      <c r="A64" s="2">
        <v>46007</v>
      </c>
      <c r="B64" s="3">
        <v>0.55000000000000004</v>
      </c>
      <c r="C64">
        <v>28</v>
      </c>
      <c r="D64">
        <v>0</v>
      </c>
      <c r="E64">
        <v>3</v>
      </c>
      <c r="F64">
        <v>2.0630000000000002</v>
      </c>
    </row>
    <row r="65" spans="1:6" x14ac:dyDescent="0.2">
      <c r="A65" s="2">
        <v>46007</v>
      </c>
      <c r="B65" s="3">
        <v>0.55000000000000004</v>
      </c>
      <c r="C65">
        <v>28</v>
      </c>
      <c r="D65">
        <v>2</v>
      </c>
      <c r="E65">
        <v>1</v>
      </c>
      <c r="F65">
        <v>2.0830000000000002</v>
      </c>
    </row>
    <row r="66" spans="1:6" x14ac:dyDescent="0.2">
      <c r="A66" s="2">
        <v>46007</v>
      </c>
      <c r="B66" s="3">
        <v>0.55000000000000004</v>
      </c>
      <c r="C66">
        <v>28</v>
      </c>
      <c r="D66">
        <v>2</v>
      </c>
      <c r="E66">
        <v>2</v>
      </c>
      <c r="F66">
        <v>2.0510000000000002</v>
      </c>
    </row>
    <row r="67" spans="1:6" x14ac:dyDescent="0.2">
      <c r="A67" s="2">
        <v>46007</v>
      </c>
      <c r="B67" s="3">
        <v>0.55000000000000004</v>
      </c>
      <c r="C67">
        <v>28</v>
      </c>
      <c r="D67">
        <v>2</v>
      </c>
      <c r="E67">
        <v>3</v>
      </c>
      <c r="F67">
        <v>2.028</v>
      </c>
    </row>
    <row r="68" spans="1:6" x14ac:dyDescent="0.2">
      <c r="A68" s="2">
        <v>46007</v>
      </c>
      <c r="B68" s="3">
        <v>0.55000000000000004</v>
      </c>
      <c r="C68">
        <v>28</v>
      </c>
      <c r="D68">
        <v>20</v>
      </c>
      <c r="E68">
        <v>1</v>
      </c>
      <c r="F68">
        <v>1.9359999999999999</v>
      </c>
    </row>
    <row r="69" spans="1:6" x14ac:dyDescent="0.2">
      <c r="A69" s="2">
        <v>46007</v>
      </c>
      <c r="B69" s="3">
        <v>0.55000000000000004</v>
      </c>
      <c r="C69">
        <v>28</v>
      </c>
      <c r="D69">
        <v>20</v>
      </c>
      <c r="E69">
        <v>2</v>
      </c>
      <c r="F69">
        <v>1.9330000000000001</v>
      </c>
    </row>
    <row r="70" spans="1:6" x14ac:dyDescent="0.2">
      <c r="A70" s="2">
        <v>46007</v>
      </c>
      <c r="B70" s="3">
        <v>0.55000000000000004</v>
      </c>
      <c r="C70">
        <v>28</v>
      </c>
      <c r="D70">
        <v>20</v>
      </c>
      <c r="E70">
        <v>3</v>
      </c>
      <c r="F70">
        <v>1.9379999999999999</v>
      </c>
    </row>
    <row r="71" spans="1:6" x14ac:dyDescent="0.2">
      <c r="A71" s="2">
        <v>46007</v>
      </c>
      <c r="B71" s="3">
        <v>0.55000000000000004</v>
      </c>
      <c r="C71">
        <v>28</v>
      </c>
      <c r="D71">
        <v>200</v>
      </c>
      <c r="E71">
        <v>1</v>
      </c>
      <c r="F71">
        <v>0.46600000000000003</v>
      </c>
    </row>
    <row r="72" spans="1:6" x14ac:dyDescent="0.2">
      <c r="A72" s="2">
        <v>46007</v>
      </c>
      <c r="B72" s="3">
        <v>0.55000000000000004</v>
      </c>
      <c r="C72">
        <v>28</v>
      </c>
      <c r="D72">
        <v>200</v>
      </c>
      <c r="E72">
        <v>2</v>
      </c>
      <c r="F72">
        <v>0.47499999999999998</v>
      </c>
    </row>
    <row r="73" spans="1:6" x14ac:dyDescent="0.2">
      <c r="A73" s="2">
        <v>46007</v>
      </c>
      <c r="B73" s="3">
        <v>0.55000000000000004</v>
      </c>
      <c r="C73">
        <v>28</v>
      </c>
      <c r="D73">
        <v>200</v>
      </c>
      <c r="E73">
        <v>3</v>
      </c>
      <c r="F73">
        <v>0.46600000000000003</v>
      </c>
    </row>
    <row r="74" spans="1:6" x14ac:dyDescent="0.2">
      <c r="A74" s="2">
        <v>46007</v>
      </c>
      <c r="B74" s="3">
        <v>0.55000000000000004</v>
      </c>
      <c r="C74">
        <v>28</v>
      </c>
      <c r="D74">
        <v>2000</v>
      </c>
      <c r="E74">
        <v>1</v>
      </c>
      <c r="F74">
        <v>0.60599999999999998</v>
      </c>
    </row>
    <row r="75" spans="1:6" x14ac:dyDescent="0.2">
      <c r="A75" s="2">
        <v>46007</v>
      </c>
      <c r="B75" s="3">
        <v>0.55000000000000004</v>
      </c>
      <c r="C75">
        <v>28</v>
      </c>
      <c r="D75">
        <v>2000</v>
      </c>
      <c r="E75">
        <v>2</v>
      </c>
      <c r="F75">
        <v>0.48599999999999999</v>
      </c>
    </row>
    <row r="76" spans="1:6" x14ac:dyDescent="0.2">
      <c r="A76" s="2">
        <v>46007</v>
      </c>
      <c r="B76" s="3">
        <v>0.55000000000000004</v>
      </c>
      <c r="C76">
        <v>28</v>
      </c>
      <c r="D76">
        <v>2000</v>
      </c>
      <c r="E76">
        <v>3</v>
      </c>
      <c r="F76">
        <v>0.41599999999999998</v>
      </c>
    </row>
    <row r="77" spans="1:6" x14ac:dyDescent="0.2">
      <c r="A77" s="2">
        <v>46007</v>
      </c>
      <c r="B77" s="3">
        <v>0.71875</v>
      </c>
      <c r="C77">
        <v>32</v>
      </c>
      <c r="D77">
        <v>0</v>
      </c>
      <c r="E77">
        <v>1</v>
      </c>
      <c r="F77">
        <v>2.0470000000000002</v>
      </c>
    </row>
    <row r="78" spans="1:6" x14ac:dyDescent="0.2">
      <c r="A78" s="2">
        <v>46007</v>
      </c>
      <c r="B78" s="3">
        <v>0.71875</v>
      </c>
      <c r="C78">
        <v>32</v>
      </c>
      <c r="D78">
        <v>0</v>
      </c>
      <c r="E78">
        <v>2</v>
      </c>
      <c r="F78">
        <v>2.036</v>
      </c>
    </row>
    <row r="79" spans="1:6" x14ac:dyDescent="0.2">
      <c r="A79" s="2">
        <v>46007</v>
      </c>
      <c r="B79" s="3">
        <v>0.71875</v>
      </c>
      <c r="C79">
        <v>32</v>
      </c>
      <c r="D79">
        <v>0</v>
      </c>
      <c r="E79">
        <v>3</v>
      </c>
      <c r="F79">
        <v>2.0419999999999998</v>
      </c>
    </row>
    <row r="80" spans="1:6" x14ac:dyDescent="0.2">
      <c r="A80" s="2">
        <v>46007</v>
      </c>
      <c r="B80" s="3">
        <v>0.71875</v>
      </c>
      <c r="C80">
        <v>32</v>
      </c>
      <c r="D80">
        <v>2</v>
      </c>
      <c r="E80">
        <v>1</v>
      </c>
      <c r="F80">
        <v>2.073</v>
      </c>
    </row>
    <row r="81" spans="1:6" x14ac:dyDescent="0.2">
      <c r="A81" s="2">
        <v>46007</v>
      </c>
      <c r="B81" s="3">
        <v>0.71875</v>
      </c>
      <c r="C81">
        <v>32</v>
      </c>
      <c r="D81">
        <v>2</v>
      </c>
      <c r="E81">
        <v>2</v>
      </c>
      <c r="F81">
        <v>2.04</v>
      </c>
    </row>
    <row r="82" spans="1:6" x14ac:dyDescent="0.2">
      <c r="A82" s="2">
        <v>46007</v>
      </c>
      <c r="B82" s="3">
        <v>0.71875</v>
      </c>
      <c r="C82">
        <v>32</v>
      </c>
      <c r="D82">
        <v>2</v>
      </c>
      <c r="E82">
        <v>3</v>
      </c>
      <c r="F82">
        <v>2.0099999999999998</v>
      </c>
    </row>
    <row r="83" spans="1:6" x14ac:dyDescent="0.2">
      <c r="A83" s="2">
        <v>46007</v>
      </c>
      <c r="B83" s="3">
        <v>0.71875</v>
      </c>
      <c r="C83">
        <v>32</v>
      </c>
      <c r="D83">
        <v>20</v>
      </c>
      <c r="E83">
        <v>1</v>
      </c>
      <c r="F83">
        <v>1.9079999999999999</v>
      </c>
    </row>
    <row r="84" spans="1:6" x14ac:dyDescent="0.2">
      <c r="A84" s="2">
        <v>46007</v>
      </c>
      <c r="B84" s="3">
        <v>0.71875</v>
      </c>
      <c r="C84">
        <v>32</v>
      </c>
      <c r="D84">
        <v>20</v>
      </c>
      <c r="E84">
        <v>2</v>
      </c>
      <c r="F84">
        <v>1.915</v>
      </c>
    </row>
    <row r="85" spans="1:6" x14ac:dyDescent="0.2">
      <c r="A85" s="2">
        <v>46007</v>
      </c>
      <c r="B85" s="3">
        <v>0.71875</v>
      </c>
      <c r="C85">
        <v>32</v>
      </c>
      <c r="D85">
        <v>20</v>
      </c>
      <c r="E85">
        <v>3</v>
      </c>
      <c r="F85">
        <v>1.9139999999999999</v>
      </c>
    </row>
    <row r="86" spans="1:6" x14ac:dyDescent="0.2">
      <c r="A86" s="2">
        <v>46007</v>
      </c>
      <c r="B86" s="3">
        <v>0.71875</v>
      </c>
      <c r="C86">
        <v>32</v>
      </c>
      <c r="D86">
        <v>200</v>
      </c>
      <c r="E86">
        <v>1</v>
      </c>
      <c r="F86">
        <v>0.438</v>
      </c>
    </row>
    <row r="87" spans="1:6" x14ac:dyDescent="0.2">
      <c r="A87" s="2">
        <v>46007</v>
      </c>
      <c r="B87" s="3">
        <v>0.71875</v>
      </c>
      <c r="C87">
        <v>32</v>
      </c>
      <c r="D87">
        <v>200</v>
      </c>
      <c r="E87">
        <v>2</v>
      </c>
      <c r="F87">
        <v>0.46700000000000003</v>
      </c>
    </row>
    <row r="88" spans="1:6" x14ac:dyDescent="0.2">
      <c r="A88" s="2">
        <v>46007</v>
      </c>
      <c r="B88" s="3">
        <v>0.71875</v>
      </c>
      <c r="C88">
        <v>32</v>
      </c>
      <c r="D88">
        <v>200</v>
      </c>
      <c r="E88">
        <v>3</v>
      </c>
      <c r="F88">
        <v>0.439</v>
      </c>
    </row>
    <row r="89" spans="1:6" x14ac:dyDescent="0.2">
      <c r="A89" s="2">
        <v>46007</v>
      </c>
      <c r="B89" s="3">
        <v>0.71875</v>
      </c>
      <c r="C89">
        <v>32</v>
      </c>
      <c r="D89">
        <v>2000</v>
      </c>
      <c r="E89">
        <v>1</v>
      </c>
      <c r="F89">
        <v>0.52800000000000002</v>
      </c>
    </row>
    <row r="90" spans="1:6" x14ac:dyDescent="0.2">
      <c r="A90" s="2">
        <v>46007</v>
      </c>
      <c r="B90" s="3">
        <v>0.71875</v>
      </c>
      <c r="C90">
        <v>32</v>
      </c>
      <c r="D90">
        <v>2000</v>
      </c>
      <c r="E90">
        <v>2</v>
      </c>
      <c r="F90">
        <v>0.44600000000000001</v>
      </c>
    </row>
    <row r="91" spans="1:6" x14ac:dyDescent="0.2">
      <c r="A91" s="2">
        <v>46007</v>
      </c>
      <c r="B91" s="3">
        <v>0.71875</v>
      </c>
      <c r="C91">
        <v>32</v>
      </c>
      <c r="D91">
        <v>2000</v>
      </c>
      <c r="E91">
        <v>3</v>
      </c>
      <c r="F91">
        <v>0.39700000000000002</v>
      </c>
    </row>
    <row r="92" spans="1:6" x14ac:dyDescent="0.2">
      <c r="A92" s="2">
        <v>46008</v>
      </c>
      <c r="B92" s="3">
        <v>0.43541666666666662</v>
      </c>
      <c r="C92">
        <v>49.5</v>
      </c>
      <c r="D92">
        <v>0</v>
      </c>
      <c r="E92">
        <v>1</v>
      </c>
      <c r="F92">
        <v>1.998</v>
      </c>
    </row>
    <row r="93" spans="1:6" x14ac:dyDescent="0.2">
      <c r="A93" s="2">
        <v>46008</v>
      </c>
      <c r="B93" s="3">
        <v>0.43541666666666662</v>
      </c>
      <c r="C93">
        <v>49.5</v>
      </c>
      <c r="D93">
        <v>0</v>
      </c>
      <c r="E93">
        <v>2</v>
      </c>
      <c r="F93">
        <v>1.9990000000000001</v>
      </c>
    </row>
    <row r="94" spans="1:6" x14ac:dyDescent="0.2">
      <c r="A94" s="2">
        <v>46008</v>
      </c>
      <c r="B94" s="3">
        <v>0.43541666666666662</v>
      </c>
      <c r="C94">
        <v>49.5</v>
      </c>
      <c r="D94">
        <v>0</v>
      </c>
      <c r="E94">
        <v>3</v>
      </c>
      <c r="F94">
        <v>1.9850000000000001</v>
      </c>
    </row>
    <row r="95" spans="1:6" x14ac:dyDescent="0.2">
      <c r="A95" s="2">
        <v>46008</v>
      </c>
      <c r="B95" s="3">
        <v>0.43541666666666701</v>
      </c>
      <c r="C95">
        <v>49.5</v>
      </c>
      <c r="D95">
        <v>2</v>
      </c>
      <c r="E95">
        <v>1</v>
      </c>
      <c r="F95">
        <v>2.0249999999999999</v>
      </c>
    </row>
    <row r="96" spans="1:6" x14ac:dyDescent="0.2">
      <c r="A96" s="2">
        <v>46008</v>
      </c>
      <c r="B96" s="3">
        <v>0.43541666666666701</v>
      </c>
      <c r="C96">
        <v>49.5</v>
      </c>
      <c r="D96">
        <v>2</v>
      </c>
      <c r="E96">
        <v>2</v>
      </c>
      <c r="F96">
        <v>1.9890000000000001</v>
      </c>
    </row>
    <row r="97" spans="1:6" x14ac:dyDescent="0.2">
      <c r="A97" s="2">
        <v>46008</v>
      </c>
      <c r="B97" s="3">
        <v>0.43541666666666701</v>
      </c>
      <c r="C97">
        <v>49.5</v>
      </c>
      <c r="D97">
        <v>2</v>
      </c>
      <c r="E97">
        <v>3</v>
      </c>
      <c r="F97">
        <v>1.982</v>
      </c>
    </row>
    <row r="98" spans="1:6" x14ac:dyDescent="0.2">
      <c r="A98" s="2">
        <v>46008</v>
      </c>
      <c r="B98" s="3">
        <v>0.43541666666666701</v>
      </c>
      <c r="C98">
        <v>49.5</v>
      </c>
      <c r="D98">
        <v>20</v>
      </c>
      <c r="E98">
        <v>1</v>
      </c>
      <c r="F98">
        <v>1.8779999999999999</v>
      </c>
    </row>
    <row r="99" spans="1:6" x14ac:dyDescent="0.2">
      <c r="A99" s="2">
        <v>46008</v>
      </c>
      <c r="B99" s="3">
        <v>0.43541666666666701</v>
      </c>
      <c r="C99">
        <v>49.5</v>
      </c>
      <c r="D99">
        <v>20</v>
      </c>
      <c r="E99">
        <v>2</v>
      </c>
      <c r="F99">
        <v>1.857</v>
      </c>
    </row>
    <row r="100" spans="1:6" x14ac:dyDescent="0.2">
      <c r="A100" s="2">
        <v>46008</v>
      </c>
      <c r="B100" s="3">
        <v>0.43541666666666701</v>
      </c>
      <c r="C100">
        <v>49.5</v>
      </c>
      <c r="D100">
        <v>20</v>
      </c>
      <c r="E100">
        <v>3</v>
      </c>
      <c r="F100">
        <v>1.8660000000000001</v>
      </c>
    </row>
    <row r="101" spans="1:6" x14ac:dyDescent="0.2">
      <c r="A101" s="2">
        <v>46008</v>
      </c>
      <c r="B101" s="3">
        <v>0.43541666666666701</v>
      </c>
      <c r="C101">
        <v>49.5</v>
      </c>
      <c r="D101">
        <v>200</v>
      </c>
      <c r="E101">
        <v>1</v>
      </c>
      <c r="F101">
        <v>0.41899999999999998</v>
      </c>
    </row>
    <row r="102" spans="1:6" x14ac:dyDescent="0.2">
      <c r="A102" s="2">
        <v>46008</v>
      </c>
      <c r="B102" s="3">
        <v>0.43541666666666701</v>
      </c>
      <c r="C102">
        <v>49.5</v>
      </c>
      <c r="D102">
        <v>200</v>
      </c>
      <c r="E102">
        <v>2</v>
      </c>
      <c r="F102">
        <v>0.42299999999999999</v>
      </c>
    </row>
    <row r="103" spans="1:6" x14ac:dyDescent="0.2">
      <c r="A103" s="2">
        <v>46008</v>
      </c>
      <c r="B103" s="3">
        <v>0.43541666666666701</v>
      </c>
      <c r="C103">
        <v>49.5</v>
      </c>
      <c r="D103">
        <v>200</v>
      </c>
      <c r="E103">
        <v>3</v>
      </c>
      <c r="F103">
        <v>0.42</v>
      </c>
    </row>
    <row r="104" spans="1:6" x14ac:dyDescent="0.2">
      <c r="A104" s="2">
        <v>46008</v>
      </c>
      <c r="B104" s="3">
        <v>0.43541666666666701</v>
      </c>
      <c r="C104">
        <v>49.5</v>
      </c>
      <c r="D104">
        <v>2000</v>
      </c>
      <c r="E104">
        <v>1</v>
      </c>
      <c r="F104">
        <v>0.44</v>
      </c>
    </row>
    <row r="105" spans="1:6" x14ac:dyDescent="0.2">
      <c r="A105" s="2">
        <v>46008</v>
      </c>
      <c r="B105" s="3">
        <v>0.43541666666666701</v>
      </c>
      <c r="C105">
        <v>49.5</v>
      </c>
      <c r="D105">
        <v>2000</v>
      </c>
      <c r="E105">
        <v>2</v>
      </c>
      <c r="F105">
        <v>0.39200000000000002</v>
      </c>
    </row>
    <row r="106" spans="1:6" x14ac:dyDescent="0.2">
      <c r="A106" s="2">
        <v>46008</v>
      </c>
      <c r="B106" s="3">
        <v>0.43541666666666701</v>
      </c>
      <c r="C106">
        <v>49.5</v>
      </c>
      <c r="D106">
        <v>2000</v>
      </c>
      <c r="E106">
        <v>3</v>
      </c>
      <c r="F106">
        <v>0.40500000000000003</v>
      </c>
    </row>
    <row r="107" spans="1:6" x14ac:dyDescent="0.2">
      <c r="A107" s="2">
        <v>46008</v>
      </c>
      <c r="B107" s="3">
        <v>0.67569444444444438</v>
      </c>
      <c r="C107">
        <v>55</v>
      </c>
      <c r="D107">
        <v>0</v>
      </c>
      <c r="E107">
        <v>1</v>
      </c>
      <c r="F107">
        <v>1.9870000000000001</v>
      </c>
    </row>
    <row r="108" spans="1:6" x14ac:dyDescent="0.2">
      <c r="A108" s="2">
        <v>46008</v>
      </c>
      <c r="B108" s="3">
        <v>0.67569444444444438</v>
      </c>
      <c r="C108">
        <v>55</v>
      </c>
      <c r="D108">
        <v>0</v>
      </c>
      <c r="E108">
        <v>2</v>
      </c>
      <c r="F108">
        <v>2</v>
      </c>
    </row>
    <row r="109" spans="1:6" x14ac:dyDescent="0.2">
      <c r="A109" s="2">
        <v>46008</v>
      </c>
      <c r="B109" s="3">
        <v>0.67569444444444404</v>
      </c>
      <c r="C109">
        <v>55</v>
      </c>
      <c r="D109">
        <v>0</v>
      </c>
      <c r="E109">
        <v>3</v>
      </c>
      <c r="F109">
        <v>1.9870000000000001</v>
      </c>
    </row>
    <row r="110" spans="1:6" x14ac:dyDescent="0.2">
      <c r="A110" s="2">
        <v>46008</v>
      </c>
      <c r="B110" s="3">
        <v>0.67569444444444404</v>
      </c>
      <c r="C110">
        <v>55</v>
      </c>
      <c r="D110">
        <v>2</v>
      </c>
      <c r="E110">
        <v>1</v>
      </c>
      <c r="F110">
        <v>2.0219999999999998</v>
      </c>
    </row>
    <row r="111" spans="1:6" x14ac:dyDescent="0.2">
      <c r="A111" s="2">
        <v>46008</v>
      </c>
      <c r="B111" s="3">
        <v>0.67569444444444404</v>
      </c>
      <c r="C111">
        <v>55</v>
      </c>
      <c r="D111">
        <v>2</v>
      </c>
      <c r="E111">
        <v>2</v>
      </c>
      <c r="F111">
        <v>1.984</v>
      </c>
    </row>
    <row r="112" spans="1:6" x14ac:dyDescent="0.2">
      <c r="A112" s="2">
        <v>46008</v>
      </c>
      <c r="B112" s="3">
        <v>0.67569444444444404</v>
      </c>
      <c r="C112">
        <v>55</v>
      </c>
      <c r="D112">
        <v>2</v>
      </c>
      <c r="E112">
        <v>3</v>
      </c>
      <c r="F112">
        <v>1.9810000000000001</v>
      </c>
    </row>
    <row r="113" spans="1:6" x14ac:dyDescent="0.2">
      <c r="A113" s="2">
        <v>46008</v>
      </c>
      <c r="B113" s="3">
        <v>0.67569444444444404</v>
      </c>
      <c r="C113">
        <v>55</v>
      </c>
      <c r="D113">
        <v>20</v>
      </c>
      <c r="E113">
        <v>1</v>
      </c>
      <c r="F113">
        <v>1.901</v>
      </c>
    </row>
    <row r="114" spans="1:6" x14ac:dyDescent="0.2">
      <c r="A114" s="2">
        <v>46008</v>
      </c>
      <c r="B114" s="3">
        <v>0.67569444444444404</v>
      </c>
      <c r="C114">
        <v>55</v>
      </c>
      <c r="D114">
        <v>20</v>
      </c>
      <c r="E114">
        <v>2</v>
      </c>
      <c r="F114">
        <v>1.845</v>
      </c>
    </row>
    <row r="115" spans="1:6" x14ac:dyDescent="0.2">
      <c r="A115" s="2">
        <v>46008</v>
      </c>
      <c r="B115" s="3">
        <v>0.67569444444444404</v>
      </c>
      <c r="C115">
        <v>55</v>
      </c>
      <c r="D115">
        <v>20</v>
      </c>
      <c r="E115">
        <v>3</v>
      </c>
      <c r="F115">
        <v>1.877</v>
      </c>
    </row>
    <row r="116" spans="1:6" x14ac:dyDescent="0.2">
      <c r="A116" s="2">
        <v>46008</v>
      </c>
      <c r="B116" s="3">
        <v>0.67569444444444404</v>
      </c>
      <c r="C116">
        <v>55</v>
      </c>
      <c r="D116">
        <v>200</v>
      </c>
      <c r="E116">
        <v>1</v>
      </c>
      <c r="F116">
        <v>0.41599999999999998</v>
      </c>
    </row>
    <row r="117" spans="1:6" x14ac:dyDescent="0.2">
      <c r="A117" s="2">
        <v>46008</v>
      </c>
      <c r="B117" s="3">
        <v>0.67569444444444404</v>
      </c>
      <c r="C117">
        <v>55</v>
      </c>
      <c r="D117">
        <v>200</v>
      </c>
      <c r="E117">
        <v>2</v>
      </c>
      <c r="F117">
        <v>0.41699999999999998</v>
      </c>
    </row>
    <row r="118" spans="1:6" x14ac:dyDescent="0.2">
      <c r="A118" s="2">
        <v>46008</v>
      </c>
      <c r="B118" s="3">
        <v>0.67569444444444404</v>
      </c>
      <c r="C118">
        <v>55</v>
      </c>
      <c r="D118">
        <v>200</v>
      </c>
      <c r="E118">
        <v>3</v>
      </c>
      <c r="F118">
        <v>0.42</v>
      </c>
    </row>
    <row r="119" spans="1:6" x14ac:dyDescent="0.2">
      <c r="A119" s="2">
        <v>46008</v>
      </c>
      <c r="B119" s="3">
        <v>0.67569444444444404</v>
      </c>
      <c r="C119">
        <v>55</v>
      </c>
      <c r="D119">
        <v>2000</v>
      </c>
      <c r="E119">
        <v>1</v>
      </c>
      <c r="F119">
        <v>0.41099999999999998</v>
      </c>
    </row>
    <row r="120" spans="1:6" x14ac:dyDescent="0.2">
      <c r="A120" s="2">
        <v>46008</v>
      </c>
      <c r="B120" s="3">
        <v>0.67569444444444404</v>
      </c>
      <c r="C120">
        <v>55</v>
      </c>
      <c r="D120">
        <v>2000</v>
      </c>
      <c r="E120">
        <v>2</v>
      </c>
      <c r="F120">
        <v>0.38300000000000001</v>
      </c>
    </row>
    <row r="121" spans="1:6" x14ac:dyDescent="0.2">
      <c r="A121" s="2">
        <v>46008</v>
      </c>
      <c r="B121" s="3">
        <v>0.67569444444444404</v>
      </c>
      <c r="C121">
        <v>55</v>
      </c>
      <c r="D121">
        <v>2000</v>
      </c>
      <c r="E121">
        <v>3</v>
      </c>
      <c r="F121">
        <v>0.39900000000000002</v>
      </c>
    </row>
    <row r="122" spans="1:6" x14ac:dyDescent="0.2">
      <c r="A122" s="2"/>
    </row>
    <row r="123" spans="1:6" x14ac:dyDescent="0.2">
      <c r="A123" s="2"/>
    </row>
    <row r="124" spans="1:6" x14ac:dyDescent="0.2">
      <c r="A124" s="2"/>
    </row>
    <row r="125" spans="1:6" x14ac:dyDescent="0.2">
      <c r="A125" s="2"/>
    </row>
    <row r="126" spans="1:6" x14ac:dyDescent="0.2">
      <c r="A126" s="2"/>
    </row>
    <row r="127" spans="1:6" x14ac:dyDescent="0.2">
      <c r="A127" s="2"/>
    </row>
    <row r="128" spans="1:6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5186-4D2A-9940-A524-7F571CCED98E}">
  <dimension ref="A1:Y141"/>
  <sheetViews>
    <sheetView tabSelected="1" topLeftCell="M1" workbookViewId="0">
      <selection activeCell="X1" sqref="X1:Y16"/>
    </sheetView>
  </sheetViews>
  <sheetFormatPr baseColWidth="10" defaultRowHeight="16" x14ac:dyDescent="0.2"/>
  <cols>
    <col min="3" max="3" width="12.83203125" bestFit="1" customWidth="1"/>
    <col min="7" max="7" width="17.5" bestFit="1" customWidth="1"/>
    <col min="21" max="21" width="10.83203125" customWidth="1"/>
    <col min="24" max="24" width="25" bestFit="1" customWidth="1"/>
    <col min="25" max="25" width="17.5" bestFit="1" customWidth="1"/>
  </cols>
  <sheetData>
    <row r="1" spans="1:25" s="1" customFormat="1" x14ac:dyDescent="0.2">
      <c r="A1" s="1" t="s">
        <v>4</v>
      </c>
      <c r="B1" s="1" t="s">
        <v>5</v>
      </c>
      <c r="C1" s="1" t="s">
        <v>3</v>
      </c>
      <c r="D1" s="1" t="s">
        <v>0</v>
      </c>
      <c r="E1" s="1" t="s">
        <v>1</v>
      </c>
      <c r="F1" s="1" t="s">
        <v>2</v>
      </c>
      <c r="G1" s="1" t="s">
        <v>73</v>
      </c>
      <c r="X1" s="1" t="s">
        <v>74</v>
      </c>
      <c r="Y1" s="1" t="s">
        <v>73</v>
      </c>
    </row>
    <row r="2" spans="1:25" x14ac:dyDescent="0.2">
      <c r="A2" s="2">
        <v>46006</v>
      </c>
      <c r="B2" s="3">
        <v>0.38055555555555554</v>
      </c>
      <c r="C2">
        <v>0</v>
      </c>
      <c r="D2">
        <v>0</v>
      </c>
      <c r="E2">
        <v>1</v>
      </c>
      <c r="F2">
        <v>0.40799999999999997</v>
      </c>
      <c r="X2">
        <v>1.3574692497157164</v>
      </c>
      <c r="Y2">
        <v>0.20716666666666669</v>
      </c>
    </row>
    <row r="3" spans="1:25" x14ac:dyDescent="0.2">
      <c r="A3" s="2">
        <v>46006</v>
      </c>
      <c r="B3" s="3">
        <v>0.38055555555555554</v>
      </c>
      <c r="C3">
        <v>0</v>
      </c>
      <c r="D3">
        <v>0</v>
      </c>
      <c r="E3">
        <v>2</v>
      </c>
      <c r="F3">
        <v>0.40799999999999997</v>
      </c>
      <c r="X3">
        <v>1.3574692497157164</v>
      </c>
      <c r="Y3">
        <v>0.21550000000000002</v>
      </c>
    </row>
    <row r="4" spans="1:25" x14ac:dyDescent="0.2">
      <c r="A4" s="2">
        <v>46006</v>
      </c>
      <c r="B4" s="3">
        <v>0.38055555555555554</v>
      </c>
      <c r="C4">
        <v>0</v>
      </c>
      <c r="D4">
        <v>0</v>
      </c>
      <c r="E4">
        <v>3</v>
      </c>
      <c r="F4">
        <v>0.40200000000000002</v>
      </c>
      <c r="X4">
        <v>1.3574692497157164</v>
      </c>
      <c r="Y4">
        <v>0.21333333333333329</v>
      </c>
    </row>
    <row r="5" spans="1:25" x14ac:dyDescent="0.2">
      <c r="A5" s="2">
        <v>46006</v>
      </c>
      <c r="B5" s="3">
        <v>0.38055555555555598</v>
      </c>
      <c r="C5">
        <v>0</v>
      </c>
      <c r="D5">
        <v>2</v>
      </c>
      <c r="E5">
        <v>1</v>
      </c>
      <c r="F5">
        <v>0.39700000000000002</v>
      </c>
      <c r="X5">
        <v>2.8846221556458973</v>
      </c>
      <c r="Y5">
        <v>0.21</v>
      </c>
    </row>
    <row r="6" spans="1:25" x14ac:dyDescent="0.2">
      <c r="A6" s="2">
        <v>46006</v>
      </c>
      <c r="B6" s="3">
        <v>0.38055555555555598</v>
      </c>
      <c r="C6">
        <v>0</v>
      </c>
      <c r="D6">
        <v>2</v>
      </c>
      <c r="E6">
        <v>2</v>
      </c>
      <c r="F6">
        <v>0.40300000000000002</v>
      </c>
      <c r="X6">
        <v>2.8846221556458973</v>
      </c>
      <c r="Y6">
        <v>0.20849999999999999</v>
      </c>
    </row>
    <row r="7" spans="1:25" x14ac:dyDescent="0.2">
      <c r="A7" s="2">
        <v>46006</v>
      </c>
      <c r="B7" s="3">
        <v>0.38055555555555598</v>
      </c>
      <c r="C7">
        <v>0</v>
      </c>
      <c r="D7">
        <v>2</v>
      </c>
      <c r="E7">
        <v>3</v>
      </c>
      <c r="F7">
        <v>0.41699999999999998</v>
      </c>
      <c r="X7">
        <v>2.8846221556458973</v>
      </c>
      <c r="Y7">
        <v>0.20833333333333334</v>
      </c>
    </row>
    <row r="8" spans="1:25" x14ac:dyDescent="0.2">
      <c r="A8" s="2">
        <v>46006</v>
      </c>
      <c r="B8" s="3">
        <v>0.38055555555555598</v>
      </c>
      <c r="C8">
        <v>0</v>
      </c>
      <c r="D8">
        <v>20</v>
      </c>
      <c r="E8">
        <v>1</v>
      </c>
      <c r="F8">
        <v>0.40100000000000002</v>
      </c>
      <c r="X8">
        <v>15.7805800279452</v>
      </c>
      <c r="Y8">
        <v>8.8249999999999995E-2</v>
      </c>
    </row>
    <row r="9" spans="1:25" x14ac:dyDescent="0.2">
      <c r="A9" s="2">
        <v>46006</v>
      </c>
      <c r="B9" s="3">
        <v>0.38055555555555598</v>
      </c>
      <c r="C9">
        <v>0</v>
      </c>
      <c r="D9">
        <v>20</v>
      </c>
      <c r="E9">
        <v>2</v>
      </c>
      <c r="F9">
        <v>0.40899999999999997</v>
      </c>
      <c r="X9">
        <v>16.289630996588595</v>
      </c>
      <c r="Y9">
        <v>7.9500000000000001E-2</v>
      </c>
    </row>
    <row r="10" spans="1:25" x14ac:dyDescent="0.2">
      <c r="A10" s="2">
        <v>46006</v>
      </c>
      <c r="B10" s="3">
        <v>0.38055555555555598</v>
      </c>
      <c r="C10">
        <v>0</v>
      </c>
      <c r="D10">
        <v>20</v>
      </c>
      <c r="E10">
        <v>3</v>
      </c>
      <c r="F10">
        <v>0.39800000000000002</v>
      </c>
      <c r="X10">
        <v>16.119947340374132</v>
      </c>
      <c r="Y10">
        <v>8.0916666666666665E-2</v>
      </c>
    </row>
    <row r="11" spans="1:25" x14ac:dyDescent="0.2">
      <c r="A11" s="2">
        <v>46006</v>
      </c>
      <c r="B11" s="3">
        <v>0.38055555555555598</v>
      </c>
      <c r="C11">
        <v>0</v>
      </c>
      <c r="D11">
        <v>200</v>
      </c>
      <c r="E11">
        <v>1</v>
      </c>
      <c r="F11">
        <v>0.41299999999999998</v>
      </c>
      <c r="X11">
        <v>170.70175815175133</v>
      </c>
      <c r="Y11">
        <v>6.2500000000000012E-3</v>
      </c>
    </row>
    <row r="12" spans="1:25" x14ac:dyDescent="0.2">
      <c r="A12" s="2">
        <v>46006</v>
      </c>
      <c r="B12" s="3">
        <v>0.38055555555555598</v>
      </c>
      <c r="C12">
        <v>0</v>
      </c>
      <c r="D12">
        <v>200</v>
      </c>
      <c r="E12">
        <v>2</v>
      </c>
      <c r="F12">
        <v>0.39500000000000002</v>
      </c>
      <c r="X12">
        <v>162.89630996588596</v>
      </c>
      <c r="Y12">
        <v>7.5833333333333308E-3</v>
      </c>
    </row>
    <row r="13" spans="1:25" x14ac:dyDescent="0.2">
      <c r="A13" s="2">
        <v>46006</v>
      </c>
      <c r="B13" s="3">
        <v>0.38055555555555598</v>
      </c>
      <c r="C13">
        <v>0</v>
      </c>
      <c r="D13">
        <v>200</v>
      </c>
      <c r="E13">
        <v>3</v>
      </c>
      <c r="F13">
        <v>0.41799999999999998</v>
      </c>
      <c r="X13">
        <v>159.16326952916771</v>
      </c>
      <c r="Y13">
        <v>5.0000000000000001E-3</v>
      </c>
    </row>
    <row r="14" spans="1:25" x14ac:dyDescent="0.2">
      <c r="A14" s="2">
        <v>46006</v>
      </c>
      <c r="B14" s="3">
        <v>0.38055555555555598</v>
      </c>
      <c r="C14">
        <v>0</v>
      </c>
      <c r="D14">
        <v>2000</v>
      </c>
      <c r="E14">
        <v>1</v>
      </c>
      <c r="F14">
        <v>0.40100000000000002</v>
      </c>
      <c r="X14">
        <v>1523.4198654934626</v>
      </c>
      <c r="Y14">
        <v>1.6583333333333328E-2</v>
      </c>
    </row>
    <row r="15" spans="1:25" x14ac:dyDescent="0.2">
      <c r="A15" s="2">
        <v>46006</v>
      </c>
      <c r="B15" s="3">
        <v>0.38055555555555598</v>
      </c>
      <c r="C15">
        <v>0</v>
      </c>
      <c r="D15">
        <v>2000</v>
      </c>
      <c r="E15">
        <v>2</v>
      </c>
      <c r="F15">
        <v>0.41599999999999998</v>
      </c>
      <c r="X15">
        <v>1596.7232049781112</v>
      </c>
      <c r="Y15">
        <v>7.0000000000000019E-3</v>
      </c>
    </row>
    <row r="16" spans="1:25" x14ac:dyDescent="0.2">
      <c r="A16" s="2">
        <v>46006</v>
      </c>
      <c r="B16" s="3">
        <v>0.38055555555555598</v>
      </c>
      <c r="C16">
        <v>0</v>
      </c>
      <c r="D16">
        <v>2000</v>
      </c>
      <c r="E16">
        <v>3</v>
      </c>
      <c r="F16">
        <v>0.41799999999999998</v>
      </c>
      <c r="X16">
        <v>1623.8725899724257</v>
      </c>
      <c r="Y16">
        <v>1.3333333333333346E-3</v>
      </c>
    </row>
    <row r="17" spans="1:7" x14ac:dyDescent="0.2">
      <c r="A17" s="2">
        <v>46006</v>
      </c>
      <c r="B17" s="3">
        <v>0.13055555555555556</v>
      </c>
      <c r="C17">
        <v>6</v>
      </c>
      <c r="D17">
        <v>0</v>
      </c>
      <c r="E17">
        <v>1</v>
      </c>
      <c r="F17">
        <v>1.651</v>
      </c>
      <c r="G17">
        <f>(F17-F2)/(C17-C2)</f>
        <v>0.20716666666666669</v>
      </c>
    </row>
    <row r="18" spans="1:7" x14ac:dyDescent="0.2">
      <c r="A18" s="2">
        <v>46006</v>
      </c>
      <c r="B18" s="3">
        <v>0.13055555555555556</v>
      </c>
      <c r="C18">
        <v>6</v>
      </c>
      <c r="D18">
        <v>0</v>
      </c>
      <c r="E18">
        <v>2</v>
      </c>
      <c r="F18">
        <v>1.7010000000000001</v>
      </c>
      <c r="G18">
        <f>(F18-F3)/(C18-C3)</f>
        <v>0.21550000000000002</v>
      </c>
    </row>
    <row r="19" spans="1:7" x14ac:dyDescent="0.2">
      <c r="A19" s="2">
        <v>46006</v>
      </c>
      <c r="B19" s="3">
        <v>0.13055555555555556</v>
      </c>
      <c r="C19">
        <v>6</v>
      </c>
      <c r="D19">
        <v>0</v>
      </c>
      <c r="E19">
        <v>3</v>
      </c>
      <c r="F19">
        <v>1.6819999999999999</v>
      </c>
      <c r="G19">
        <f>(F19-F4)/(C19-C4)</f>
        <v>0.21333333333333329</v>
      </c>
    </row>
    <row r="20" spans="1:7" x14ac:dyDescent="0.2">
      <c r="A20" s="2">
        <v>46006</v>
      </c>
      <c r="B20" s="3">
        <v>0.13055555555555556</v>
      </c>
      <c r="C20">
        <v>6</v>
      </c>
      <c r="D20">
        <v>2</v>
      </c>
      <c r="E20">
        <v>1</v>
      </c>
      <c r="F20">
        <v>1.657</v>
      </c>
      <c r="G20">
        <f t="shared" ref="G20:G22" si="0">(F20-F5)/(C20-C5)</f>
        <v>0.21</v>
      </c>
    </row>
    <row r="21" spans="1:7" x14ac:dyDescent="0.2">
      <c r="A21" s="2">
        <v>46006</v>
      </c>
      <c r="B21" s="3">
        <v>0.13055555555555601</v>
      </c>
      <c r="C21">
        <v>6</v>
      </c>
      <c r="D21">
        <v>2</v>
      </c>
      <c r="E21">
        <v>2</v>
      </c>
      <c r="F21">
        <v>1.6539999999999999</v>
      </c>
      <c r="G21">
        <f>(F21-F6)/(C21-C6)</f>
        <v>0.20849999999999999</v>
      </c>
    </row>
    <row r="22" spans="1:7" x14ac:dyDescent="0.2">
      <c r="A22" s="2">
        <v>46006</v>
      </c>
      <c r="B22" s="3">
        <v>0.13055555555555601</v>
      </c>
      <c r="C22">
        <v>6</v>
      </c>
      <c r="D22">
        <v>2</v>
      </c>
      <c r="E22">
        <v>3</v>
      </c>
      <c r="F22">
        <v>1.667</v>
      </c>
      <c r="G22">
        <f t="shared" si="0"/>
        <v>0.20833333333333334</v>
      </c>
    </row>
    <row r="23" spans="1:7" x14ac:dyDescent="0.2">
      <c r="A23" s="2">
        <v>46006</v>
      </c>
      <c r="B23" s="3">
        <v>0.13055555555555601</v>
      </c>
      <c r="C23">
        <v>6</v>
      </c>
      <c r="D23">
        <v>20</v>
      </c>
      <c r="E23">
        <v>1</v>
      </c>
      <c r="F23">
        <v>0.875</v>
      </c>
    </row>
    <row r="24" spans="1:7" x14ac:dyDescent="0.2">
      <c r="A24" s="2">
        <v>46006</v>
      </c>
      <c r="B24" s="3">
        <v>0.13055555555555601</v>
      </c>
      <c r="C24">
        <v>6</v>
      </c>
      <c r="D24">
        <v>20</v>
      </c>
      <c r="E24">
        <v>2</v>
      </c>
      <c r="F24">
        <v>0.81100000000000005</v>
      </c>
    </row>
    <row r="25" spans="1:7" x14ac:dyDescent="0.2">
      <c r="A25" s="2">
        <v>46006</v>
      </c>
      <c r="B25" s="3">
        <v>0.13055555555555601</v>
      </c>
      <c r="C25">
        <v>6</v>
      </c>
      <c r="D25">
        <v>20</v>
      </c>
      <c r="E25">
        <v>3</v>
      </c>
      <c r="F25">
        <v>0.81499999999999995</v>
      </c>
    </row>
    <row r="26" spans="1:7" x14ac:dyDescent="0.2">
      <c r="A26" s="2">
        <v>46006</v>
      </c>
      <c r="B26" s="3">
        <v>0.13055555555555601</v>
      </c>
      <c r="C26">
        <v>6</v>
      </c>
      <c r="D26">
        <v>200</v>
      </c>
      <c r="E26">
        <v>1</v>
      </c>
      <c r="F26">
        <v>0.47399999999999998</v>
      </c>
    </row>
    <row r="27" spans="1:7" x14ac:dyDescent="0.2">
      <c r="A27" s="2">
        <v>46006</v>
      </c>
      <c r="B27" s="3">
        <v>0.13055555555555601</v>
      </c>
      <c r="C27">
        <v>6</v>
      </c>
      <c r="D27">
        <v>200</v>
      </c>
      <c r="E27">
        <v>2</v>
      </c>
      <c r="F27">
        <v>0.47199999999999998</v>
      </c>
    </row>
    <row r="28" spans="1:7" x14ac:dyDescent="0.2">
      <c r="A28" s="2">
        <v>46006</v>
      </c>
      <c r="B28" s="3">
        <v>0.13055555555555601</v>
      </c>
      <c r="C28">
        <v>6</v>
      </c>
      <c r="D28">
        <v>200</v>
      </c>
      <c r="E28">
        <v>3</v>
      </c>
      <c r="F28">
        <v>0.47399999999999998</v>
      </c>
    </row>
    <row r="29" spans="1:7" x14ac:dyDescent="0.2">
      <c r="A29" s="2">
        <v>46006</v>
      </c>
      <c r="B29" s="3">
        <v>0.13055555555555601</v>
      </c>
      <c r="C29">
        <v>6</v>
      </c>
      <c r="D29">
        <v>2000</v>
      </c>
      <c r="E29">
        <v>1</v>
      </c>
      <c r="F29">
        <v>0.53</v>
      </c>
    </row>
    <row r="30" spans="1:7" x14ac:dyDescent="0.2">
      <c r="A30" s="2">
        <v>46006</v>
      </c>
      <c r="B30" s="3">
        <v>0.13055555555555601</v>
      </c>
      <c r="C30">
        <v>6</v>
      </c>
      <c r="D30">
        <v>2000</v>
      </c>
      <c r="E30">
        <v>2</v>
      </c>
      <c r="F30">
        <v>0.42099999999999999</v>
      </c>
    </row>
    <row r="31" spans="1:7" x14ac:dyDescent="0.2">
      <c r="A31" s="2">
        <v>46006</v>
      </c>
      <c r="B31" s="3">
        <v>0.13055555555555601</v>
      </c>
      <c r="C31">
        <v>6</v>
      </c>
      <c r="D31">
        <v>2000</v>
      </c>
      <c r="E31">
        <v>3</v>
      </c>
      <c r="F31">
        <v>0.44</v>
      </c>
    </row>
    <row r="32" spans="1:7" x14ac:dyDescent="0.2">
      <c r="A32" s="2">
        <v>46006</v>
      </c>
      <c r="B32" s="3">
        <v>0.375</v>
      </c>
      <c r="C32">
        <v>12</v>
      </c>
      <c r="D32">
        <v>0</v>
      </c>
      <c r="E32">
        <v>1</v>
      </c>
      <c r="F32">
        <v>2.2360000000000002</v>
      </c>
    </row>
    <row r="33" spans="1:7" x14ac:dyDescent="0.2">
      <c r="A33" s="2">
        <v>46006</v>
      </c>
      <c r="B33" s="3">
        <v>0.375</v>
      </c>
      <c r="C33">
        <v>12</v>
      </c>
      <c r="D33">
        <v>0</v>
      </c>
      <c r="E33">
        <v>2</v>
      </c>
      <c r="F33">
        <v>2.2240000000000002</v>
      </c>
    </row>
    <row r="34" spans="1:7" x14ac:dyDescent="0.2">
      <c r="A34" s="2">
        <v>46006</v>
      </c>
      <c r="B34" s="3">
        <v>0.375</v>
      </c>
      <c r="C34">
        <v>12</v>
      </c>
      <c r="D34">
        <v>0</v>
      </c>
      <c r="E34">
        <v>3</v>
      </c>
      <c r="F34">
        <v>2.2250000000000001</v>
      </c>
    </row>
    <row r="35" spans="1:7" x14ac:dyDescent="0.2">
      <c r="A35" s="2">
        <v>46006</v>
      </c>
      <c r="B35" s="3">
        <v>0.375</v>
      </c>
      <c r="C35">
        <v>12</v>
      </c>
      <c r="D35">
        <v>2</v>
      </c>
      <c r="E35">
        <v>1</v>
      </c>
      <c r="F35">
        <v>2.2240000000000002</v>
      </c>
    </row>
    <row r="36" spans="1:7" x14ac:dyDescent="0.2">
      <c r="A36" s="2">
        <v>46006</v>
      </c>
      <c r="B36" s="3">
        <v>0.375</v>
      </c>
      <c r="C36">
        <v>12</v>
      </c>
      <c r="D36">
        <v>2</v>
      </c>
      <c r="E36">
        <v>2</v>
      </c>
      <c r="F36">
        <v>2.2040000000000002</v>
      </c>
    </row>
    <row r="37" spans="1:7" x14ac:dyDescent="0.2">
      <c r="A37" s="2">
        <v>46006</v>
      </c>
      <c r="B37" s="3">
        <v>0.375</v>
      </c>
      <c r="C37">
        <v>12</v>
      </c>
      <c r="D37">
        <v>2</v>
      </c>
      <c r="E37">
        <v>3</v>
      </c>
      <c r="F37">
        <v>2.198</v>
      </c>
    </row>
    <row r="38" spans="1:7" x14ac:dyDescent="0.2">
      <c r="A38" s="2">
        <v>46006</v>
      </c>
      <c r="B38" s="3">
        <v>0.375</v>
      </c>
      <c r="C38">
        <v>12</v>
      </c>
      <c r="D38">
        <v>20</v>
      </c>
      <c r="E38">
        <v>1</v>
      </c>
      <c r="F38">
        <v>1.46</v>
      </c>
      <c r="G38">
        <f t="shared" ref="G38:G43" si="1">(F38-F8)/(C38-C8)</f>
        <v>8.8249999999999995E-2</v>
      </c>
    </row>
    <row r="39" spans="1:7" x14ac:dyDescent="0.2">
      <c r="A39" s="2">
        <v>46006</v>
      </c>
      <c r="B39" s="3">
        <v>0.375</v>
      </c>
      <c r="C39">
        <v>12</v>
      </c>
      <c r="D39">
        <v>20</v>
      </c>
      <c r="E39">
        <v>2</v>
      </c>
      <c r="F39">
        <v>1.363</v>
      </c>
      <c r="G39">
        <f t="shared" si="1"/>
        <v>7.9500000000000001E-2</v>
      </c>
    </row>
    <row r="40" spans="1:7" x14ac:dyDescent="0.2">
      <c r="A40" s="2">
        <v>46006</v>
      </c>
      <c r="B40" s="3">
        <v>0.375</v>
      </c>
      <c r="C40">
        <v>12</v>
      </c>
      <c r="D40">
        <v>20</v>
      </c>
      <c r="E40">
        <v>3</v>
      </c>
      <c r="F40">
        <v>1.369</v>
      </c>
      <c r="G40">
        <f t="shared" si="1"/>
        <v>8.0916666666666665E-2</v>
      </c>
    </row>
    <row r="41" spans="1:7" x14ac:dyDescent="0.2">
      <c r="A41" s="2">
        <v>46006</v>
      </c>
      <c r="B41" s="3">
        <v>0.375</v>
      </c>
      <c r="C41">
        <v>12</v>
      </c>
      <c r="D41">
        <v>200</v>
      </c>
      <c r="E41">
        <v>1</v>
      </c>
      <c r="F41">
        <v>0.48799999999999999</v>
      </c>
      <c r="G41">
        <f t="shared" si="1"/>
        <v>6.2500000000000012E-3</v>
      </c>
    </row>
    <row r="42" spans="1:7" x14ac:dyDescent="0.2">
      <c r="A42" s="2">
        <v>46006</v>
      </c>
      <c r="B42" s="3">
        <v>0.375</v>
      </c>
      <c r="C42">
        <v>12</v>
      </c>
      <c r="D42">
        <v>200</v>
      </c>
      <c r="E42">
        <v>2</v>
      </c>
      <c r="F42">
        <v>0.48599999999999999</v>
      </c>
      <c r="G42">
        <f t="shared" si="1"/>
        <v>7.5833333333333308E-3</v>
      </c>
    </row>
    <row r="43" spans="1:7" x14ac:dyDescent="0.2">
      <c r="A43" s="2">
        <v>46006</v>
      </c>
      <c r="B43" s="3">
        <v>0.375</v>
      </c>
      <c r="C43">
        <v>12</v>
      </c>
      <c r="D43">
        <v>200</v>
      </c>
      <c r="E43">
        <v>3</v>
      </c>
      <c r="F43">
        <v>0.47799999999999998</v>
      </c>
      <c r="G43">
        <f t="shared" si="1"/>
        <v>5.0000000000000001E-3</v>
      </c>
    </row>
    <row r="44" spans="1:7" x14ac:dyDescent="0.2">
      <c r="A44" s="2">
        <v>46006</v>
      </c>
      <c r="B44" s="3">
        <v>0.375</v>
      </c>
      <c r="C44">
        <v>12</v>
      </c>
      <c r="D44">
        <v>2000</v>
      </c>
      <c r="E44">
        <v>1</v>
      </c>
      <c r="F44">
        <v>0.6</v>
      </c>
      <c r="G44">
        <f t="shared" ref="G44:G46" si="2">(F44-F14)/(C44-C14)</f>
        <v>1.6583333333333328E-2</v>
      </c>
    </row>
    <row r="45" spans="1:7" x14ac:dyDescent="0.2">
      <c r="A45" s="2">
        <v>46006</v>
      </c>
      <c r="B45" s="3">
        <v>0.375</v>
      </c>
      <c r="C45">
        <v>12</v>
      </c>
      <c r="D45">
        <v>2000</v>
      </c>
      <c r="E45">
        <v>2</v>
      </c>
      <c r="F45">
        <v>0.5</v>
      </c>
      <c r="G45">
        <f t="shared" si="2"/>
        <v>7.0000000000000019E-3</v>
      </c>
    </row>
    <row r="46" spans="1:7" x14ac:dyDescent="0.2">
      <c r="A46" s="2">
        <v>46006</v>
      </c>
      <c r="B46" s="3">
        <v>0.375</v>
      </c>
      <c r="C46">
        <v>12</v>
      </c>
      <c r="D46">
        <v>2000</v>
      </c>
      <c r="E46">
        <v>3</v>
      </c>
      <c r="F46">
        <v>0.434</v>
      </c>
      <c r="G46">
        <f t="shared" si="2"/>
        <v>1.3333333333333346E-3</v>
      </c>
    </row>
    <row r="47" spans="1:7" x14ac:dyDescent="0.2">
      <c r="A47" s="2">
        <v>46007</v>
      </c>
      <c r="B47" s="3">
        <v>0.38541666666666669</v>
      </c>
      <c r="C47">
        <v>24</v>
      </c>
      <c r="D47">
        <v>0</v>
      </c>
      <c r="E47">
        <v>1</v>
      </c>
      <c r="F47">
        <v>2.0720000000000001</v>
      </c>
    </row>
    <row r="48" spans="1:7" x14ac:dyDescent="0.2">
      <c r="A48" s="2">
        <v>46007</v>
      </c>
      <c r="B48" s="3">
        <v>0.38541666666666669</v>
      </c>
      <c r="C48">
        <v>24</v>
      </c>
      <c r="D48">
        <v>0</v>
      </c>
      <c r="E48">
        <v>2</v>
      </c>
      <c r="F48">
        <v>2.06</v>
      </c>
    </row>
    <row r="49" spans="1:6" x14ac:dyDescent="0.2">
      <c r="A49" s="2">
        <v>46007</v>
      </c>
      <c r="B49" s="3">
        <v>0.38541666666666669</v>
      </c>
      <c r="C49">
        <v>24</v>
      </c>
      <c r="D49">
        <v>0</v>
      </c>
      <c r="E49">
        <v>3</v>
      </c>
      <c r="F49">
        <v>2.077</v>
      </c>
    </row>
    <row r="50" spans="1:6" x14ac:dyDescent="0.2">
      <c r="A50" s="2">
        <v>46007</v>
      </c>
      <c r="B50" s="3">
        <v>0.38541666666666702</v>
      </c>
      <c r="C50">
        <v>24</v>
      </c>
      <c r="D50">
        <v>2</v>
      </c>
      <c r="E50">
        <v>1</v>
      </c>
      <c r="F50">
        <v>2.1040000000000001</v>
      </c>
    </row>
    <row r="51" spans="1:6" x14ac:dyDescent="0.2">
      <c r="A51" s="2">
        <v>46007</v>
      </c>
      <c r="B51" s="3">
        <v>0.38541666666666702</v>
      </c>
      <c r="C51">
        <v>24</v>
      </c>
      <c r="D51">
        <v>2</v>
      </c>
      <c r="E51">
        <v>2</v>
      </c>
      <c r="F51">
        <v>2.0659999999999998</v>
      </c>
    </row>
    <row r="52" spans="1:6" x14ac:dyDescent="0.2">
      <c r="A52" s="2">
        <v>46007</v>
      </c>
      <c r="B52" s="3">
        <v>0.38541666666666702</v>
      </c>
      <c r="C52">
        <v>24</v>
      </c>
      <c r="D52">
        <v>2</v>
      </c>
      <c r="E52">
        <v>3</v>
      </c>
      <c r="F52">
        <v>2.0459999999999998</v>
      </c>
    </row>
    <row r="53" spans="1:6" x14ac:dyDescent="0.2">
      <c r="A53" s="2">
        <v>46007</v>
      </c>
      <c r="B53" s="3">
        <v>0.38541666666666702</v>
      </c>
      <c r="C53">
        <v>24</v>
      </c>
      <c r="D53">
        <v>20</v>
      </c>
      <c r="E53">
        <v>1</v>
      </c>
      <c r="F53">
        <v>1.956</v>
      </c>
    </row>
    <row r="54" spans="1:6" x14ac:dyDescent="0.2">
      <c r="A54" s="2">
        <v>46007</v>
      </c>
      <c r="B54" s="3">
        <v>0.38541666666666702</v>
      </c>
      <c r="C54">
        <v>24</v>
      </c>
      <c r="D54">
        <v>20</v>
      </c>
      <c r="E54">
        <v>2</v>
      </c>
      <c r="F54">
        <v>1.98</v>
      </c>
    </row>
    <row r="55" spans="1:6" x14ac:dyDescent="0.2">
      <c r="A55" s="2">
        <v>46007</v>
      </c>
      <c r="B55" s="3">
        <v>0.38541666666666702</v>
      </c>
      <c r="C55">
        <v>24</v>
      </c>
      <c r="D55">
        <v>20</v>
      </c>
      <c r="E55">
        <v>3</v>
      </c>
      <c r="F55">
        <v>1.9870000000000001</v>
      </c>
    </row>
    <row r="56" spans="1:6" x14ac:dyDescent="0.2">
      <c r="A56" s="2">
        <v>46007</v>
      </c>
      <c r="B56" s="3">
        <v>0.38541666666666702</v>
      </c>
      <c r="C56">
        <v>24</v>
      </c>
      <c r="D56">
        <v>200</v>
      </c>
      <c r="E56">
        <v>1</v>
      </c>
      <c r="F56">
        <v>0.47699999999999998</v>
      </c>
    </row>
    <row r="57" spans="1:6" x14ac:dyDescent="0.2">
      <c r="A57" s="2">
        <v>46007</v>
      </c>
      <c r="B57" s="3">
        <v>0.38541666666666702</v>
      </c>
      <c r="C57">
        <v>24</v>
      </c>
      <c r="D57">
        <v>200</v>
      </c>
      <c r="E57">
        <v>2</v>
      </c>
      <c r="F57">
        <v>0.48099999999999998</v>
      </c>
    </row>
    <row r="58" spans="1:6" x14ac:dyDescent="0.2">
      <c r="A58" s="2">
        <v>46007</v>
      </c>
      <c r="B58" s="3">
        <v>0.38541666666666702</v>
      </c>
      <c r="C58">
        <v>24</v>
      </c>
      <c r="D58">
        <v>200</v>
      </c>
      <c r="E58">
        <v>3</v>
      </c>
      <c r="F58">
        <v>0.47599999999999998</v>
      </c>
    </row>
    <row r="59" spans="1:6" x14ac:dyDescent="0.2">
      <c r="A59" s="2">
        <v>46007</v>
      </c>
      <c r="B59" s="3">
        <v>0.38541666666666702</v>
      </c>
      <c r="C59">
        <v>24</v>
      </c>
      <c r="D59">
        <v>2000</v>
      </c>
      <c r="E59">
        <v>1</v>
      </c>
      <c r="F59">
        <v>0.60699999999999998</v>
      </c>
    </row>
    <row r="60" spans="1:6" x14ac:dyDescent="0.2">
      <c r="A60" s="2">
        <v>46007</v>
      </c>
      <c r="B60" s="3">
        <v>0.38541666666666702</v>
      </c>
      <c r="C60">
        <v>24</v>
      </c>
      <c r="D60">
        <v>2000</v>
      </c>
      <c r="E60">
        <v>2</v>
      </c>
      <c r="F60">
        <v>0.52400000000000002</v>
      </c>
    </row>
    <row r="61" spans="1:6" x14ac:dyDescent="0.2">
      <c r="A61" s="2">
        <v>46007</v>
      </c>
      <c r="B61" s="3">
        <v>0.38541666666666702</v>
      </c>
      <c r="C61">
        <v>24</v>
      </c>
      <c r="D61">
        <v>2000</v>
      </c>
      <c r="E61">
        <v>3</v>
      </c>
      <c r="F61">
        <v>0.437</v>
      </c>
    </row>
    <row r="62" spans="1:6" x14ac:dyDescent="0.2">
      <c r="A62" s="2">
        <v>46007</v>
      </c>
      <c r="B62" s="3">
        <v>4.9999999999999996E-2</v>
      </c>
      <c r="C62">
        <v>28</v>
      </c>
      <c r="D62">
        <v>0</v>
      </c>
      <c r="E62">
        <v>1</v>
      </c>
      <c r="F62">
        <v>2.0499999999999998</v>
      </c>
    </row>
    <row r="63" spans="1:6" x14ac:dyDescent="0.2">
      <c r="A63" s="2">
        <v>46007</v>
      </c>
      <c r="B63" s="3">
        <v>4.9999999999999996E-2</v>
      </c>
      <c r="C63">
        <v>28</v>
      </c>
      <c r="D63">
        <v>0</v>
      </c>
      <c r="E63">
        <v>2</v>
      </c>
      <c r="F63">
        <v>2.0539999999999998</v>
      </c>
    </row>
    <row r="64" spans="1:6" x14ac:dyDescent="0.2">
      <c r="A64" s="2">
        <v>46007</v>
      </c>
      <c r="B64" s="3">
        <v>4.9999999999999996E-2</v>
      </c>
      <c r="C64">
        <v>28</v>
      </c>
      <c r="D64">
        <v>0</v>
      </c>
      <c r="E64">
        <v>3</v>
      </c>
      <c r="F64">
        <v>2.0630000000000002</v>
      </c>
    </row>
    <row r="65" spans="1:6" x14ac:dyDescent="0.2">
      <c r="A65" s="2">
        <v>46007</v>
      </c>
      <c r="B65" s="3">
        <v>0.05</v>
      </c>
      <c r="C65">
        <v>28</v>
      </c>
      <c r="D65">
        <v>2</v>
      </c>
      <c r="E65">
        <v>1</v>
      </c>
      <c r="F65">
        <v>2.0830000000000002</v>
      </c>
    </row>
    <row r="66" spans="1:6" x14ac:dyDescent="0.2">
      <c r="A66" s="2">
        <v>46007</v>
      </c>
      <c r="B66" s="3">
        <v>0.05</v>
      </c>
      <c r="C66">
        <v>28</v>
      </c>
      <c r="D66">
        <v>2</v>
      </c>
      <c r="E66">
        <v>2</v>
      </c>
      <c r="F66">
        <v>2.0510000000000002</v>
      </c>
    </row>
    <row r="67" spans="1:6" x14ac:dyDescent="0.2">
      <c r="A67" s="2">
        <v>46007</v>
      </c>
      <c r="B67" s="3">
        <v>0.05</v>
      </c>
      <c r="C67">
        <v>28</v>
      </c>
      <c r="D67">
        <v>2</v>
      </c>
      <c r="E67">
        <v>3</v>
      </c>
      <c r="F67">
        <v>2.028</v>
      </c>
    </row>
    <row r="68" spans="1:6" x14ac:dyDescent="0.2">
      <c r="A68" s="2">
        <v>46007</v>
      </c>
      <c r="B68" s="3">
        <v>0.05</v>
      </c>
      <c r="C68">
        <v>28</v>
      </c>
      <c r="D68">
        <v>20</v>
      </c>
      <c r="E68">
        <v>1</v>
      </c>
      <c r="F68">
        <v>1.9359999999999999</v>
      </c>
    </row>
    <row r="69" spans="1:6" x14ac:dyDescent="0.2">
      <c r="A69" s="2">
        <v>46007</v>
      </c>
      <c r="B69" s="3">
        <v>0.05</v>
      </c>
      <c r="C69">
        <v>28</v>
      </c>
      <c r="D69">
        <v>20</v>
      </c>
      <c r="E69">
        <v>2</v>
      </c>
      <c r="F69">
        <v>1.9330000000000001</v>
      </c>
    </row>
    <row r="70" spans="1:6" x14ac:dyDescent="0.2">
      <c r="A70" s="2">
        <v>46007</v>
      </c>
      <c r="B70" s="3">
        <v>0.05</v>
      </c>
      <c r="C70">
        <v>28</v>
      </c>
      <c r="D70">
        <v>20</v>
      </c>
      <c r="E70">
        <v>3</v>
      </c>
      <c r="F70">
        <v>1.9379999999999999</v>
      </c>
    </row>
    <row r="71" spans="1:6" x14ac:dyDescent="0.2">
      <c r="A71" s="2">
        <v>46007</v>
      </c>
      <c r="B71" s="3">
        <v>0.05</v>
      </c>
      <c r="C71">
        <v>28</v>
      </c>
      <c r="D71">
        <v>200</v>
      </c>
      <c r="E71">
        <v>1</v>
      </c>
      <c r="F71">
        <v>0.46600000000000003</v>
      </c>
    </row>
    <row r="72" spans="1:6" x14ac:dyDescent="0.2">
      <c r="A72" s="2">
        <v>46007</v>
      </c>
      <c r="B72" s="3">
        <v>0.05</v>
      </c>
      <c r="C72">
        <v>28</v>
      </c>
      <c r="D72">
        <v>200</v>
      </c>
      <c r="E72">
        <v>2</v>
      </c>
      <c r="F72">
        <v>0.47499999999999998</v>
      </c>
    </row>
    <row r="73" spans="1:6" x14ac:dyDescent="0.2">
      <c r="A73" s="2">
        <v>46007</v>
      </c>
      <c r="B73" s="3">
        <v>0.05</v>
      </c>
      <c r="C73">
        <v>28</v>
      </c>
      <c r="D73">
        <v>200</v>
      </c>
      <c r="E73">
        <v>3</v>
      </c>
      <c r="F73">
        <v>0.46600000000000003</v>
      </c>
    </row>
    <row r="74" spans="1:6" x14ac:dyDescent="0.2">
      <c r="A74" s="2">
        <v>46007</v>
      </c>
      <c r="B74" s="3">
        <v>0.05</v>
      </c>
      <c r="C74">
        <v>28</v>
      </c>
      <c r="D74">
        <v>2000</v>
      </c>
      <c r="E74">
        <v>1</v>
      </c>
      <c r="F74">
        <v>0.60599999999999998</v>
      </c>
    </row>
    <row r="75" spans="1:6" x14ac:dyDescent="0.2">
      <c r="A75" s="2">
        <v>46007</v>
      </c>
      <c r="B75" s="3">
        <v>0.05</v>
      </c>
      <c r="C75">
        <v>28</v>
      </c>
      <c r="D75">
        <v>2000</v>
      </c>
      <c r="E75">
        <v>2</v>
      </c>
      <c r="F75">
        <v>0.48599999999999999</v>
      </c>
    </row>
    <row r="76" spans="1:6" x14ac:dyDescent="0.2">
      <c r="A76" s="2">
        <v>46007</v>
      </c>
      <c r="B76" s="3">
        <v>0.05</v>
      </c>
      <c r="C76">
        <v>28</v>
      </c>
      <c r="D76">
        <v>2000</v>
      </c>
      <c r="E76">
        <v>3</v>
      </c>
      <c r="F76">
        <v>0.41599999999999998</v>
      </c>
    </row>
    <row r="77" spans="1:6" x14ac:dyDescent="0.2">
      <c r="A77" s="2">
        <v>46007</v>
      </c>
      <c r="B77" s="3">
        <v>0.21875</v>
      </c>
      <c r="C77">
        <v>32</v>
      </c>
      <c r="D77">
        <v>0</v>
      </c>
      <c r="E77">
        <v>1</v>
      </c>
      <c r="F77">
        <v>2.0470000000000002</v>
      </c>
    </row>
    <row r="78" spans="1:6" x14ac:dyDescent="0.2">
      <c r="A78" s="2">
        <v>46007</v>
      </c>
      <c r="B78" s="3">
        <v>0.21875</v>
      </c>
      <c r="C78">
        <v>32</v>
      </c>
      <c r="D78">
        <v>0</v>
      </c>
      <c r="E78">
        <v>2</v>
      </c>
      <c r="F78">
        <v>2.036</v>
      </c>
    </row>
    <row r="79" spans="1:6" x14ac:dyDescent="0.2">
      <c r="A79" s="2">
        <v>46007</v>
      </c>
      <c r="B79" s="3">
        <v>0.21875</v>
      </c>
      <c r="C79">
        <v>32</v>
      </c>
      <c r="D79">
        <v>0</v>
      </c>
      <c r="E79">
        <v>3</v>
      </c>
      <c r="F79">
        <v>2.0419999999999998</v>
      </c>
    </row>
    <row r="80" spans="1:6" x14ac:dyDescent="0.2">
      <c r="A80" s="2">
        <v>46007</v>
      </c>
      <c r="B80" s="3">
        <v>0.21875</v>
      </c>
      <c r="C80">
        <v>32</v>
      </c>
      <c r="D80">
        <v>2</v>
      </c>
      <c r="E80">
        <v>1</v>
      </c>
      <c r="F80">
        <v>2.073</v>
      </c>
    </row>
    <row r="81" spans="1:6" x14ac:dyDescent="0.2">
      <c r="A81" s="2">
        <v>46007</v>
      </c>
      <c r="B81" s="3">
        <v>0.21875</v>
      </c>
      <c r="C81">
        <v>32</v>
      </c>
      <c r="D81">
        <v>2</v>
      </c>
      <c r="E81">
        <v>2</v>
      </c>
      <c r="F81">
        <v>2.04</v>
      </c>
    </row>
    <row r="82" spans="1:6" x14ac:dyDescent="0.2">
      <c r="A82" s="2">
        <v>46007</v>
      </c>
      <c r="B82" s="3">
        <v>0.21875</v>
      </c>
      <c r="C82">
        <v>32</v>
      </c>
      <c r="D82">
        <v>2</v>
      </c>
      <c r="E82">
        <v>3</v>
      </c>
      <c r="F82">
        <v>2.0099999999999998</v>
      </c>
    </row>
    <row r="83" spans="1:6" x14ac:dyDescent="0.2">
      <c r="A83" s="2">
        <v>46007</v>
      </c>
      <c r="B83" s="3">
        <v>0.21875</v>
      </c>
      <c r="C83">
        <v>32</v>
      </c>
      <c r="D83">
        <v>20</v>
      </c>
      <c r="E83">
        <v>1</v>
      </c>
      <c r="F83">
        <v>1.9079999999999999</v>
      </c>
    </row>
    <row r="84" spans="1:6" x14ac:dyDescent="0.2">
      <c r="A84" s="2">
        <v>46007</v>
      </c>
      <c r="B84" s="3">
        <v>0.21875</v>
      </c>
      <c r="C84">
        <v>32</v>
      </c>
      <c r="D84">
        <v>20</v>
      </c>
      <c r="E84">
        <v>2</v>
      </c>
      <c r="F84">
        <v>1.915</v>
      </c>
    </row>
    <row r="85" spans="1:6" x14ac:dyDescent="0.2">
      <c r="A85" s="2">
        <v>46007</v>
      </c>
      <c r="B85" s="3">
        <v>0.21875</v>
      </c>
      <c r="C85">
        <v>32</v>
      </c>
      <c r="D85">
        <v>20</v>
      </c>
      <c r="E85">
        <v>3</v>
      </c>
      <c r="F85">
        <v>1.9139999999999999</v>
      </c>
    </row>
    <row r="86" spans="1:6" x14ac:dyDescent="0.2">
      <c r="A86" s="2">
        <v>46007</v>
      </c>
      <c r="B86" s="3">
        <v>0.21875</v>
      </c>
      <c r="C86">
        <v>32</v>
      </c>
      <c r="D86">
        <v>200</v>
      </c>
      <c r="E86">
        <v>1</v>
      </c>
      <c r="F86">
        <v>0.438</v>
      </c>
    </row>
    <row r="87" spans="1:6" x14ac:dyDescent="0.2">
      <c r="A87" s="2">
        <v>46007</v>
      </c>
      <c r="B87" s="3">
        <v>0.21875</v>
      </c>
      <c r="C87">
        <v>32</v>
      </c>
      <c r="D87">
        <v>200</v>
      </c>
      <c r="E87">
        <v>2</v>
      </c>
      <c r="F87">
        <v>0.46700000000000003</v>
      </c>
    </row>
    <row r="88" spans="1:6" x14ac:dyDescent="0.2">
      <c r="A88" s="2">
        <v>46007</v>
      </c>
      <c r="B88" s="3">
        <v>0.21875</v>
      </c>
      <c r="C88">
        <v>32</v>
      </c>
      <c r="D88">
        <v>200</v>
      </c>
      <c r="E88">
        <v>3</v>
      </c>
      <c r="F88">
        <v>0.439</v>
      </c>
    </row>
    <row r="89" spans="1:6" x14ac:dyDescent="0.2">
      <c r="A89" s="2">
        <v>46007</v>
      </c>
      <c r="B89" s="3">
        <v>0.21875</v>
      </c>
      <c r="C89">
        <v>32</v>
      </c>
      <c r="D89">
        <v>2000</v>
      </c>
      <c r="E89">
        <v>1</v>
      </c>
      <c r="F89">
        <v>0.52800000000000002</v>
      </c>
    </row>
    <row r="90" spans="1:6" x14ac:dyDescent="0.2">
      <c r="A90" s="2">
        <v>46007</v>
      </c>
      <c r="B90" s="3">
        <v>0.21875</v>
      </c>
      <c r="C90">
        <v>32</v>
      </c>
      <c r="D90">
        <v>2000</v>
      </c>
      <c r="E90">
        <v>2</v>
      </c>
      <c r="F90">
        <v>0.44600000000000001</v>
      </c>
    </row>
    <row r="91" spans="1:6" x14ac:dyDescent="0.2">
      <c r="A91" s="2">
        <v>46007</v>
      </c>
      <c r="B91" s="3">
        <v>0.21875</v>
      </c>
      <c r="C91">
        <v>32</v>
      </c>
      <c r="D91">
        <v>2000</v>
      </c>
      <c r="E91">
        <v>3</v>
      </c>
      <c r="F91">
        <v>0.39700000000000002</v>
      </c>
    </row>
    <row r="92" spans="1:6" x14ac:dyDescent="0.2">
      <c r="A92" s="2">
        <v>46008</v>
      </c>
      <c r="B92" s="3">
        <v>0.43541666666666662</v>
      </c>
      <c r="C92">
        <v>49.5</v>
      </c>
      <c r="D92">
        <v>0</v>
      </c>
      <c r="E92">
        <v>1</v>
      </c>
      <c r="F92">
        <v>1.998</v>
      </c>
    </row>
    <row r="93" spans="1:6" x14ac:dyDescent="0.2">
      <c r="A93" s="2">
        <v>46008</v>
      </c>
      <c r="B93" s="3">
        <v>0.43541666666666662</v>
      </c>
      <c r="C93">
        <v>49.5</v>
      </c>
      <c r="D93">
        <v>0</v>
      </c>
      <c r="E93">
        <v>2</v>
      </c>
      <c r="F93">
        <v>1.9990000000000001</v>
      </c>
    </row>
    <row r="94" spans="1:6" x14ac:dyDescent="0.2">
      <c r="A94" s="2">
        <v>46008</v>
      </c>
      <c r="B94" s="3">
        <v>0.43541666666666662</v>
      </c>
      <c r="C94">
        <v>49.5</v>
      </c>
      <c r="D94">
        <v>0</v>
      </c>
      <c r="E94">
        <v>3</v>
      </c>
      <c r="F94">
        <v>1.9850000000000001</v>
      </c>
    </row>
    <row r="95" spans="1:6" x14ac:dyDescent="0.2">
      <c r="A95" s="2">
        <v>46008</v>
      </c>
      <c r="B95" s="3">
        <v>0.43541666666666701</v>
      </c>
      <c r="C95">
        <v>49.5</v>
      </c>
      <c r="D95">
        <v>2</v>
      </c>
      <c r="E95">
        <v>1</v>
      </c>
      <c r="F95">
        <v>2.0249999999999999</v>
      </c>
    </row>
    <row r="96" spans="1:6" x14ac:dyDescent="0.2">
      <c r="A96" s="2">
        <v>46008</v>
      </c>
      <c r="B96" s="3">
        <v>0.43541666666666701</v>
      </c>
      <c r="C96">
        <v>49.5</v>
      </c>
      <c r="D96">
        <v>2</v>
      </c>
      <c r="E96">
        <v>2</v>
      </c>
      <c r="F96">
        <v>1.9890000000000001</v>
      </c>
    </row>
    <row r="97" spans="1:6" x14ac:dyDescent="0.2">
      <c r="A97" s="2">
        <v>46008</v>
      </c>
      <c r="B97" s="3">
        <v>0.43541666666666701</v>
      </c>
      <c r="C97">
        <v>49.5</v>
      </c>
      <c r="D97">
        <v>2</v>
      </c>
      <c r="E97">
        <v>3</v>
      </c>
      <c r="F97">
        <v>1.982</v>
      </c>
    </row>
    <row r="98" spans="1:6" x14ac:dyDescent="0.2">
      <c r="A98" s="2">
        <v>46008</v>
      </c>
      <c r="B98" s="3">
        <v>0.43541666666666701</v>
      </c>
      <c r="C98">
        <v>49.5</v>
      </c>
      <c r="D98">
        <v>20</v>
      </c>
      <c r="E98">
        <v>1</v>
      </c>
      <c r="F98">
        <v>1.8779999999999999</v>
      </c>
    </row>
    <row r="99" spans="1:6" x14ac:dyDescent="0.2">
      <c r="A99" s="2">
        <v>46008</v>
      </c>
      <c r="B99" s="3">
        <v>0.43541666666666701</v>
      </c>
      <c r="C99">
        <v>49.5</v>
      </c>
      <c r="D99">
        <v>20</v>
      </c>
      <c r="E99">
        <v>2</v>
      </c>
      <c r="F99">
        <v>1.857</v>
      </c>
    </row>
    <row r="100" spans="1:6" x14ac:dyDescent="0.2">
      <c r="A100" s="2">
        <v>46008</v>
      </c>
      <c r="B100" s="3">
        <v>0.43541666666666701</v>
      </c>
      <c r="C100">
        <v>49.5</v>
      </c>
      <c r="D100">
        <v>20</v>
      </c>
      <c r="E100">
        <v>3</v>
      </c>
      <c r="F100">
        <v>1.8660000000000001</v>
      </c>
    </row>
    <row r="101" spans="1:6" x14ac:dyDescent="0.2">
      <c r="A101" s="2">
        <v>46008</v>
      </c>
      <c r="B101" s="3">
        <v>0.43541666666666701</v>
      </c>
      <c r="C101">
        <v>49.5</v>
      </c>
      <c r="D101">
        <v>200</v>
      </c>
      <c r="E101">
        <v>1</v>
      </c>
      <c r="F101">
        <v>0.41899999999999998</v>
      </c>
    </row>
    <row r="102" spans="1:6" x14ac:dyDescent="0.2">
      <c r="A102" s="2">
        <v>46008</v>
      </c>
      <c r="B102" s="3">
        <v>0.43541666666666701</v>
      </c>
      <c r="C102">
        <v>49.5</v>
      </c>
      <c r="D102">
        <v>200</v>
      </c>
      <c r="E102">
        <v>2</v>
      </c>
      <c r="F102">
        <v>0.42299999999999999</v>
      </c>
    </row>
    <row r="103" spans="1:6" x14ac:dyDescent="0.2">
      <c r="A103" s="2">
        <v>46008</v>
      </c>
      <c r="B103" s="3">
        <v>0.43541666666666701</v>
      </c>
      <c r="C103">
        <v>49.5</v>
      </c>
      <c r="D103">
        <v>200</v>
      </c>
      <c r="E103">
        <v>3</v>
      </c>
      <c r="F103">
        <v>0.42</v>
      </c>
    </row>
    <row r="104" spans="1:6" x14ac:dyDescent="0.2">
      <c r="A104" s="2">
        <v>46008</v>
      </c>
      <c r="B104" s="3">
        <v>0.43541666666666701</v>
      </c>
      <c r="C104">
        <v>49.5</v>
      </c>
      <c r="D104">
        <v>2000</v>
      </c>
      <c r="E104">
        <v>1</v>
      </c>
      <c r="F104">
        <v>0.44</v>
      </c>
    </row>
    <row r="105" spans="1:6" x14ac:dyDescent="0.2">
      <c r="A105" s="2">
        <v>46008</v>
      </c>
      <c r="B105" s="3">
        <v>0.43541666666666701</v>
      </c>
      <c r="C105">
        <v>49.5</v>
      </c>
      <c r="D105">
        <v>2000</v>
      </c>
      <c r="E105">
        <v>2</v>
      </c>
      <c r="F105">
        <v>0.39200000000000002</v>
      </c>
    </row>
    <row r="106" spans="1:6" x14ac:dyDescent="0.2">
      <c r="A106" s="2">
        <v>46008</v>
      </c>
      <c r="B106" s="3">
        <v>0.43541666666666701</v>
      </c>
      <c r="C106">
        <v>49.5</v>
      </c>
      <c r="D106">
        <v>2000</v>
      </c>
      <c r="E106">
        <v>3</v>
      </c>
      <c r="F106">
        <v>0.40500000000000003</v>
      </c>
    </row>
    <row r="107" spans="1:6" x14ac:dyDescent="0.2">
      <c r="A107" s="2">
        <v>46008</v>
      </c>
      <c r="B107" s="3">
        <v>0.17569444444444446</v>
      </c>
      <c r="C107">
        <v>55</v>
      </c>
      <c r="D107">
        <v>0</v>
      </c>
      <c r="E107">
        <v>1</v>
      </c>
      <c r="F107">
        <v>1.9870000000000001</v>
      </c>
    </row>
    <row r="108" spans="1:6" x14ac:dyDescent="0.2">
      <c r="A108" s="2">
        <v>46008</v>
      </c>
      <c r="B108" s="3">
        <v>0.17569444444444446</v>
      </c>
      <c r="C108">
        <v>55</v>
      </c>
      <c r="D108">
        <v>0</v>
      </c>
      <c r="E108">
        <v>2</v>
      </c>
      <c r="F108">
        <v>2</v>
      </c>
    </row>
    <row r="109" spans="1:6" x14ac:dyDescent="0.2">
      <c r="A109" s="2">
        <v>46008</v>
      </c>
      <c r="B109" s="3">
        <v>0.17569444444444446</v>
      </c>
      <c r="C109">
        <v>55</v>
      </c>
      <c r="D109">
        <v>0</v>
      </c>
      <c r="E109">
        <v>3</v>
      </c>
      <c r="F109">
        <v>1.9870000000000001</v>
      </c>
    </row>
    <row r="110" spans="1:6" x14ac:dyDescent="0.2">
      <c r="A110" s="2">
        <v>46008</v>
      </c>
      <c r="B110" s="3">
        <v>0.17569444444444399</v>
      </c>
      <c r="C110">
        <v>55</v>
      </c>
      <c r="D110">
        <v>2</v>
      </c>
      <c r="E110">
        <v>1</v>
      </c>
      <c r="F110">
        <v>2.0219999999999998</v>
      </c>
    </row>
    <row r="111" spans="1:6" x14ac:dyDescent="0.2">
      <c r="A111" s="2">
        <v>46008</v>
      </c>
      <c r="B111" s="3">
        <v>0.17569444444444399</v>
      </c>
      <c r="C111">
        <v>55</v>
      </c>
      <c r="D111">
        <v>2</v>
      </c>
      <c r="E111">
        <v>2</v>
      </c>
      <c r="F111">
        <v>1.984</v>
      </c>
    </row>
    <row r="112" spans="1:6" x14ac:dyDescent="0.2">
      <c r="A112" s="2">
        <v>46008</v>
      </c>
      <c r="B112" s="3">
        <v>0.17569444444444399</v>
      </c>
      <c r="C112">
        <v>55</v>
      </c>
      <c r="D112">
        <v>2</v>
      </c>
      <c r="E112">
        <v>3</v>
      </c>
      <c r="F112">
        <v>1.9810000000000001</v>
      </c>
    </row>
    <row r="113" spans="1:6" x14ac:dyDescent="0.2">
      <c r="A113" s="2">
        <v>46008</v>
      </c>
      <c r="B113" s="3">
        <v>0.17569444444444399</v>
      </c>
      <c r="C113">
        <v>55</v>
      </c>
      <c r="D113">
        <v>20</v>
      </c>
      <c r="E113">
        <v>1</v>
      </c>
      <c r="F113">
        <v>1.901</v>
      </c>
    </row>
    <row r="114" spans="1:6" x14ac:dyDescent="0.2">
      <c r="A114" s="2">
        <v>46008</v>
      </c>
      <c r="B114" s="3">
        <v>0.17569444444444399</v>
      </c>
      <c r="C114">
        <v>55</v>
      </c>
      <c r="D114">
        <v>20</v>
      </c>
      <c r="E114">
        <v>2</v>
      </c>
      <c r="F114">
        <v>1.845</v>
      </c>
    </row>
    <row r="115" spans="1:6" x14ac:dyDescent="0.2">
      <c r="A115" s="2">
        <v>46008</v>
      </c>
      <c r="B115" s="3">
        <v>0.17569444444444399</v>
      </c>
      <c r="C115">
        <v>55</v>
      </c>
      <c r="D115">
        <v>20</v>
      </c>
      <c r="E115">
        <v>3</v>
      </c>
      <c r="F115">
        <v>1.877</v>
      </c>
    </row>
    <row r="116" spans="1:6" x14ac:dyDescent="0.2">
      <c r="A116" s="2">
        <v>46008</v>
      </c>
      <c r="B116" s="3">
        <v>0.17569444444444399</v>
      </c>
      <c r="C116">
        <v>55</v>
      </c>
      <c r="D116">
        <v>200</v>
      </c>
      <c r="E116">
        <v>1</v>
      </c>
      <c r="F116">
        <v>0.41599999999999998</v>
      </c>
    </row>
    <row r="117" spans="1:6" x14ac:dyDescent="0.2">
      <c r="A117" s="2">
        <v>46008</v>
      </c>
      <c r="B117" s="3">
        <v>0.17569444444444399</v>
      </c>
      <c r="C117">
        <v>55</v>
      </c>
      <c r="D117">
        <v>200</v>
      </c>
      <c r="E117">
        <v>2</v>
      </c>
      <c r="F117">
        <v>0.41699999999999998</v>
      </c>
    </row>
    <row r="118" spans="1:6" x14ac:dyDescent="0.2">
      <c r="A118" s="2">
        <v>46008</v>
      </c>
      <c r="B118" s="3">
        <v>0.17569444444444399</v>
      </c>
      <c r="C118">
        <v>55</v>
      </c>
      <c r="D118">
        <v>200</v>
      </c>
      <c r="E118">
        <v>3</v>
      </c>
      <c r="F118">
        <v>0.42</v>
      </c>
    </row>
    <row r="119" spans="1:6" x14ac:dyDescent="0.2">
      <c r="A119" s="2">
        <v>46008</v>
      </c>
      <c r="B119" s="3">
        <v>0.17569444444444399</v>
      </c>
      <c r="C119">
        <v>55</v>
      </c>
      <c r="D119">
        <v>2000</v>
      </c>
      <c r="E119">
        <v>1</v>
      </c>
      <c r="F119">
        <v>0.41099999999999998</v>
      </c>
    </row>
    <row r="120" spans="1:6" x14ac:dyDescent="0.2">
      <c r="A120" s="2">
        <v>46008</v>
      </c>
      <c r="B120" s="3">
        <v>0.17569444444444399</v>
      </c>
      <c r="C120">
        <v>55</v>
      </c>
      <c r="D120">
        <v>2000</v>
      </c>
      <c r="E120">
        <v>2</v>
      </c>
      <c r="F120">
        <v>0.38300000000000001</v>
      </c>
    </row>
    <row r="121" spans="1:6" x14ac:dyDescent="0.2">
      <c r="A121" s="2">
        <v>46008</v>
      </c>
      <c r="B121" s="3">
        <v>0.17569444444444399</v>
      </c>
      <c r="C121">
        <v>55</v>
      </c>
      <c r="D121">
        <v>2000</v>
      </c>
      <c r="E121">
        <v>3</v>
      </c>
      <c r="F121">
        <v>0.39900000000000002</v>
      </c>
    </row>
    <row r="122" spans="1:6" x14ac:dyDescent="0.2">
      <c r="A122" s="2"/>
    </row>
    <row r="123" spans="1:6" x14ac:dyDescent="0.2">
      <c r="A123" s="2"/>
    </row>
    <row r="124" spans="1:6" x14ac:dyDescent="0.2">
      <c r="A124" s="2"/>
    </row>
    <row r="125" spans="1:6" x14ac:dyDescent="0.2">
      <c r="A125" s="2"/>
    </row>
    <row r="126" spans="1:6" x14ac:dyDescent="0.2">
      <c r="A126" s="2"/>
    </row>
    <row r="127" spans="1:6" x14ac:dyDescent="0.2">
      <c r="A127" s="2"/>
    </row>
    <row r="128" spans="1:6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8611-5C30-D041-82DB-8D91BBA33A65}">
  <dimension ref="A1:B16"/>
  <sheetViews>
    <sheetView workbookViewId="0">
      <selection activeCell="B2" sqref="B2"/>
    </sheetView>
  </sheetViews>
  <sheetFormatPr baseColWidth="10" defaultRowHeight="16" x14ac:dyDescent="0.2"/>
  <cols>
    <col min="1" max="1" width="25" bestFit="1" customWidth="1"/>
  </cols>
  <sheetData>
    <row r="1" spans="1:2" x14ac:dyDescent="0.2">
      <c r="A1" s="1" t="s">
        <v>75</v>
      </c>
      <c r="B1" s="1" t="s">
        <v>76</v>
      </c>
    </row>
    <row r="2" spans="1:2" x14ac:dyDescent="0.2">
      <c r="A2">
        <v>1.3574692497157164</v>
      </c>
      <c r="B2">
        <v>0.20716666666666669</v>
      </c>
    </row>
    <row r="3" spans="1:2" x14ac:dyDescent="0.2">
      <c r="A3">
        <v>1.3574692497157164</v>
      </c>
      <c r="B3">
        <v>0.21550000000000002</v>
      </c>
    </row>
    <row r="4" spans="1:2" x14ac:dyDescent="0.2">
      <c r="A4">
        <v>1.3574692497157164</v>
      </c>
      <c r="B4">
        <v>0.21333333333333329</v>
      </c>
    </row>
    <row r="5" spans="1:2" x14ac:dyDescent="0.2">
      <c r="A5">
        <v>2.8846221556458973</v>
      </c>
      <c r="B5">
        <v>0.21</v>
      </c>
    </row>
    <row r="6" spans="1:2" x14ac:dyDescent="0.2">
      <c r="A6">
        <v>2.8846221556458973</v>
      </c>
      <c r="B6">
        <v>0.20849999999999999</v>
      </c>
    </row>
    <row r="7" spans="1:2" x14ac:dyDescent="0.2">
      <c r="A7">
        <v>2.8846221556458973</v>
      </c>
      <c r="B7">
        <v>0.20833333333333334</v>
      </c>
    </row>
    <row r="8" spans="1:2" x14ac:dyDescent="0.2">
      <c r="A8">
        <v>15.7805800279452</v>
      </c>
      <c r="B8">
        <v>8.8249999999999995E-2</v>
      </c>
    </row>
    <row r="9" spans="1:2" x14ac:dyDescent="0.2">
      <c r="A9">
        <v>16.289630996588595</v>
      </c>
      <c r="B9">
        <v>7.9500000000000001E-2</v>
      </c>
    </row>
    <row r="10" spans="1:2" x14ac:dyDescent="0.2">
      <c r="A10">
        <v>16.119947340374132</v>
      </c>
      <c r="B10">
        <v>8.0916666666666665E-2</v>
      </c>
    </row>
    <row r="11" spans="1:2" x14ac:dyDescent="0.2">
      <c r="A11">
        <v>170.70175815175133</v>
      </c>
      <c r="B11">
        <v>6.2500000000000012E-3</v>
      </c>
    </row>
    <row r="12" spans="1:2" x14ac:dyDescent="0.2">
      <c r="A12">
        <v>162.89630996588596</v>
      </c>
      <c r="B12">
        <v>7.5833333333333308E-3</v>
      </c>
    </row>
    <row r="13" spans="1:2" x14ac:dyDescent="0.2">
      <c r="A13">
        <v>159.16326952916771</v>
      </c>
      <c r="B13">
        <v>5.0000000000000001E-3</v>
      </c>
    </row>
    <row r="14" spans="1:2" x14ac:dyDescent="0.2">
      <c r="A14">
        <v>1523.4198654934626</v>
      </c>
      <c r="B14">
        <v>1.6583333333333328E-2</v>
      </c>
    </row>
    <row r="15" spans="1:2" x14ac:dyDescent="0.2">
      <c r="A15">
        <v>1596.7232049781112</v>
      </c>
      <c r="B15">
        <v>7.0000000000000019E-3</v>
      </c>
    </row>
    <row r="16" spans="1:2" x14ac:dyDescent="0.2">
      <c r="A16">
        <v>1623.8725899724257</v>
      </c>
      <c r="B16">
        <v>1.3333333333333346E-3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5CC68-7156-A44F-9BD8-4260F0FA23FD}">
  <dimension ref="A1:H31"/>
  <sheetViews>
    <sheetView workbookViewId="0">
      <selection activeCell="I21" sqref="I21"/>
    </sheetView>
  </sheetViews>
  <sheetFormatPr baseColWidth="10" defaultRowHeight="16" x14ac:dyDescent="0.2"/>
  <cols>
    <col min="1" max="1" width="14.1640625" bestFit="1" customWidth="1"/>
    <col min="2" max="2" width="41.6640625" bestFit="1" customWidth="1"/>
    <col min="3" max="3" width="16.33203125" bestFit="1" customWidth="1"/>
    <col min="4" max="4" width="12.1640625" bestFit="1" customWidth="1"/>
    <col min="5" max="5" width="17.33203125" bestFit="1" customWidth="1"/>
    <col min="6" max="6" width="14.6640625" bestFit="1" customWidth="1"/>
  </cols>
  <sheetData>
    <row r="1" spans="1:8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4" t="s">
        <v>12</v>
      </c>
      <c r="H1" s="1"/>
    </row>
    <row r="2" spans="1:8" x14ac:dyDescent="0.2">
      <c r="A2" t="s">
        <v>43</v>
      </c>
      <c r="B2" t="s">
        <v>58</v>
      </c>
      <c r="C2">
        <v>1</v>
      </c>
      <c r="D2">
        <v>45</v>
      </c>
      <c r="E2">
        <v>0.1</v>
      </c>
      <c r="F2" s="5">
        <v>1000000</v>
      </c>
      <c r="G2" s="5">
        <f>(D2*F2)/E2</f>
        <v>450000000</v>
      </c>
    </row>
    <row r="3" spans="1:8" x14ac:dyDescent="0.2">
      <c r="A3" t="s">
        <v>44</v>
      </c>
      <c r="B3" t="s">
        <v>59</v>
      </c>
      <c r="C3">
        <v>2</v>
      </c>
      <c r="D3">
        <v>67</v>
      </c>
      <c r="E3">
        <v>0.1</v>
      </c>
      <c r="F3" s="5">
        <v>1000000</v>
      </c>
      <c r="G3" s="5">
        <f t="shared" ref="G3:G16" si="0">(D3*F3)/E3</f>
        <v>670000000</v>
      </c>
    </row>
    <row r="4" spans="1:8" x14ac:dyDescent="0.2">
      <c r="A4" t="s">
        <v>45</v>
      </c>
      <c r="B4" t="s">
        <v>60</v>
      </c>
      <c r="C4">
        <v>3</v>
      </c>
      <c r="D4">
        <v>44</v>
      </c>
      <c r="E4">
        <v>0.1</v>
      </c>
      <c r="F4" s="5">
        <v>1000000</v>
      </c>
      <c r="G4" s="5">
        <f t="shared" si="0"/>
        <v>440000000</v>
      </c>
    </row>
    <row r="5" spans="1:8" x14ac:dyDescent="0.2">
      <c r="A5" t="s">
        <v>46</v>
      </c>
      <c r="B5" t="s">
        <v>61</v>
      </c>
      <c r="C5">
        <v>1</v>
      </c>
      <c r="D5">
        <v>38</v>
      </c>
      <c r="E5">
        <v>0.1</v>
      </c>
      <c r="F5" s="5">
        <v>1000000</v>
      </c>
      <c r="G5" s="5">
        <f t="shared" si="0"/>
        <v>380000000</v>
      </c>
    </row>
    <row r="6" spans="1:8" x14ac:dyDescent="0.2">
      <c r="A6" t="s">
        <v>47</v>
      </c>
      <c r="B6" t="s">
        <v>62</v>
      </c>
      <c r="C6">
        <v>2</v>
      </c>
      <c r="D6">
        <v>47</v>
      </c>
      <c r="E6">
        <v>0.1</v>
      </c>
      <c r="F6" s="5">
        <v>1000000</v>
      </c>
      <c r="G6" s="5">
        <f t="shared" si="0"/>
        <v>470000000</v>
      </c>
    </row>
    <row r="7" spans="1:8" x14ac:dyDescent="0.2">
      <c r="A7" t="s">
        <v>48</v>
      </c>
      <c r="B7" t="s">
        <v>63</v>
      </c>
      <c r="C7">
        <v>3</v>
      </c>
      <c r="D7">
        <v>48</v>
      </c>
      <c r="E7">
        <v>0.1</v>
      </c>
      <c r="F7" s="5">
        <v>1000000</v>
      </c>
      <c r="G7" s="5">
        <f t="shared" si="0"/>
        <v>480000000</v>
      </c>
    </row>
    <row r="8" spans="1:8" x14ac:dyDescent="0.2">
      <c r="A8" t="s">
        <v>49</v>
      </c>
      <c r="B8" t="s">
        <v>64</v>
      </c>
      <c r="C8">
        <v>1</v>
      </c>
      <c r="D8">
        <v>59</v>
      </c>
      <c r="E8">
        <v>0.1</v>
      </c>
      <c r="F8" s="5">
        <v>1000000</v>
      </c>
      <c r="G8" s="5">
        <f t="shared" si="0"/>
        <v>590000000</v>
      </c>
    </row>
    <row r="9" spans="1:8" x14ac:dyDescent="0.2">
      <c r="A9" t="s">
        <v>50</v>
      </c>
      <c r="B9" t="s">
        <v>65</v>
      </c>
      <c r="C9">
        <v>2</v>
      </c>
      <c r="D9">
        <v>69</v>
      </c>
      <c r="E9">
        <v>0.1</v>
      </c>
      <c r="F9" s="5">
        <v>1000000</v>
      </c>
      <c r="G9" s="5">
        <f t="shared" si="0"/>
        <v>690000000</v>
      </c>
    </row>
    <row r="10" spans="1:8" x14ac:dyDescent="0.2">
      <c r="A10" t="s">
        <v>51</v>
      </c>
      <c r="B10" t="s">
        <v>66</v>
      </c>
      <c r="C10">
        <v>3</v>
      </c>
      <c r="D10">
        <v>59</v>
      </c>
      <c r="E10">
        <v>0.1</v>
      </c>
      <c r="F10" s="5">
        <v>1000000</v>
      </c>
      <c r="G10" s="5">
        <f t="shared" si="0"/>
        <v>590000000</v>
      </c>
    </row>
    <row r="11" spans="1:8" x14ac:dyDescent="0.2">
      <c r="A11" t="s">
        <v>52</v>
      </c>
      <c r="B11" t="s">
        <v>67</v>
      </c>
      <c r="C11">
        <v>1</v>
      </c>
      <c r="D11">
        <v>36</v>
      </c>
      <c r="E11">
        <v>0.1</v>
      </c>
      <c r="F11" s="5">
        <v>1000000</v>
      </c>
      <c r="G11" s="5">
        <f t="shared" si="0"/>
        <v>360000000</v>
      </c>
    </row>
    <row r="12" spans="1:8" x14ac:dyDescent="0.2">
      <c r="A12" t="s">
        <v>53</v>
      </c>
      <c r="B12" t="s">
        <v>68</v>
      </c>
      <c r="C12">
        <v>2</v>
      </c>
      <c r="D12">
        <v>47</v>
      </c>
      <c r="E12">
        <v>0.1</v>
      </c>
      <c r="F12" s="5">
        <v>1000000</v>
      </c>
      <c r="G12" s="5">
        <f t="shared" si="0"/>
        <v>470000000</v>
      </c>
    </row>
    <row r="13" spans="1:8" x14ac:dyDescent="0.2">
      <c r="A13" t="s">
        <v>54</v>
      </c>
      <c r="B13" t="s">
        <v>69</v>
      </c>
      <c r="C13">
        <v>3</v>
      </c>
      <c r="D13">
        <v>48</v>
      </c>
      <c r="E13">
        <v>0.1</v>
      </c>
      <c r="F13" s="5">
        <v>1000000</v>
      </c>
      <c r="G13" s="5">
        <f t="shared" si="0"/>
        <v>480000000</v>
      </c>
    </row>
    <row r="14" spans="1:8" x14ac:dyDescent="0.2">
      <c r="A14" t="s">
        <v>55</v>
      </c>
      <c r="B14" t="s">
        <v>70</v>
      </c>
      <c r="C14">
        <v>1</v>
      </c>
      <c r="D14">
        <v>37</v>
      </c>
      <c r="E14">
        <v>0.1</v>
      </c>
      <c r="F14" s="5">
        <v>1000000</v>
      </c>
      <c r="G14" s="5">
        <f t="shared" si="0"/>
        <v>370000000</v>
      </c>
    </row>
    <row r="15" spans="1:8" x14ac:dyDescent="0.2">
      <c r="A15" t="s">
        <v>56</v>
      </c>
      <c r="B15" t="s">
        <v>71</v>
      </c>
      <c r="C15">
        <v>2</v>
      </c>
      <c r="D15">
        <v>42</v>
      </c>
      <c r="E15">
        <v>0.1</v>
      </c>
      <c r="F15" s="5">
        <v>1000000</v>
      </c>
      <c r="G15" s="5">
        <f t="shared" si="0"/>
        <v>420000000</v>
      </c>
    </row>
    <row r="16" spans="1:8" x14ac:dyDescent="0.2">
      <c r="A16" t="s">
        <v>57</v>
      </c>
      <c r="B16" t="s">
        <v>72</v>
      </c>
      <c r="C16">
        <v>3</v>
      </c>
      <c r="D16">
        <v>49</v>
      </c>
      <c r="E16">
        <v>0.1</v>
      </c>
      <c r="F16" s="5">
        <v>1000000</v>
      </c>
      <c r="G16" s="5">
        <f t="shared" si="0"/>
        <v>490000000</v>
      </c>
    </row>
    <row r="17" spans="1:7" x14ac:dyDescent="0.2">
      <c r="A17" t="s">
        <v>13</v>
      </c>
      <c r="B17" t="s">
        <v>14</v>
      </c>
      <c r="C17">
        <v>1</v>
      </c>
      <c r="D17">
        <v>47</v>
      </c>
      <c r="E17">
        <v>0.1</v>
      </c>
      <c r="F17" s="5">
        <v>10000000</v>
      </c>
      <c r="G17" s="5">
        <f>(D17*F17)/E17</f>
        <v>4700000000</v>
      </c>
    </row>
    <row r="18" spans="1:7" x14ac:dyDescent="0.2">
      <c r="A18" t="s">
        <v>15</v>
      </c>
      <c r="B18" t="s">
        <v>16</v>
      </c>
      <c r="C18">
        <v>2</v>
      </c>
      <c r="D18">
        <v>65</v>
      </c>
      <c r="E18">
        <v>0.1</v>
      </c>
      <c r="F18" s="5">
        <v>10000000</v>
      </c>
      <c r="G18" s="5">
        <f t="shared" ref="G18:G31" si="1">(D18*F18)/E18</f>
        <v>6500000000</v>
      </c>
    </row>
    <row r="19" spans="1:7" x14ac:dyDescent="0.2">
      <c r="A19" t="s">
        <v>17</v>
      </c>
      <c r="B19" t="s">
        <v>18</v>
      </c>
      <c r="C19">
        <v>3</v>
      </c>
      <c r="D19">
        <v>33</v>
      </c>
      <c r="E19">
        <v>0.1</v>
      </c>
      <c r="F19" s="5">
        <v>10000000</v>
      </c>
      <c r="G19" s="5">
        <f t="shared" si="1"/>
        <v>3300000000</v>
      </c>
    </row>
    <row r="20" spans="1:7" x14ac:dyDescent="0.2">
      <c r="A20" t="s">
        <v>19</v>
      </c>
      <c r="B20" t="s">
        <v>20</v>
      </c>
      <c r="C20">
        <v>1</v>
      </c>
      <c r="D20">
        <v>25</v>
      </c>
      <c r="E20">
        <v>0.1</v>
      </c>
      <c r="F20" s="5">
        <v>10000000</v>
      </c>
      <c r="G20" s="5">
        <f t="shared" si="1"/>
        <v>2500000000</v>
      </c>
    </row>
    <row r="21" spans="1:7" x14ac:dyDescent="0.2">
      <c r="A21" t="s">
        <v>21</v>
      </c>
      <c r="B21" t="s">
        <v>22</v>
      </c>
      <c r="C21">
        <v>2</v>
      </c>
      <c r="D21">
        <v>38</v>
      </c>
      <c r="E21">
        <v>0.1</v>
      </c>
      <c r="F21" s="5">
        <v>10000000</v>
      </c>
      <c r="G21" s="5">
        <f t="shared" si="1"/>
        <v>3800000000</v>
      </c>
    </row>
    <row r="22" spans="1:7" x14ac:dyDescent="0.2">
      <c r="A22" t="s">
        <v>23</v>
      </c>
      <c r="B22" t="s">
        <v>24</v>
      </c>
      <c r="C22">
        <v>3</v>
      </c>
      <c r="D22">
        <v>54</v>
      </c>
      <c r="E22">
        <v>0.1</v>
      </c>
      <c r="F22" s="5">
        <v>10000000</v>
      </c>
      <c r="G22" s="5">
        <f t="shared" si="1"/>
        <v>5400000000</v>
      </c>
    </row>
    <row r="23" spans="1:7" x14ac:dyDescent="0.2">
      <c r="A23" t="s">
        <v>25</v>
      </c>
      <c r="B23" t="s">
        <v>26</v>
      </c>
      <c r="C23">
        <v>1</v>
      </c>
      <c r="D23">
        <v>642</v>
      </c>
      <c r="E23">
        <v>0.1</v>
      </c>
      <c r="F23" s="5">
        <v>1000000</v>
      </c>
      <c r="G23" s="5">
        <f t="shared" si="1"/>
        <v>6420000000</v>
      </c>
    </row>
    <row r="24" spans="1:7" x14ac:dyDescent="0.2">
      <c r="A24" t="s">
        <v>27</v>
      </c>
      <c r="B24" t="s">
        <v>28</v>
      </c>
      <c r="C24">
        <v>2</v>
      </c>
      <c r="D24">
        <v>548</v>
      </c>
      <c r="E24">
        <v>0.1</v>
      </c>
      <c r="F24" s="5">
        <v>1000000</v>
      </c>
      <c r="G24" s="5">
        <f t="shared" si="1"/>
        <v>5480000000</v>
      </c>
    </row>
    <row r="25" spans="1:7" x14ac:dyDescent="0.2">
      <c r="A25" t="s">
        <v>29</v>
      </c>
      <c r="B25" t="s">
        <v>30</v>
      </c>
      <c r="C25">
        <v>3</v>
      </c>
      <c r="D25">
        <v>547</v>
      </c>
      <c r="E25">
        <v>0.1</v>
      </c>
      <c r="F25" s="5">
        <v>1000000</v>
      </c>
      <c r="G25" s="5">
        <f t="shared" si="1"/>
        <v>5470000000</v>
      </c>
    </row>
    <row r="26" spans="1:7" x14ac:dyDescent="0.2">
      <c r="A26" t="s">
        <v>31</v>
      </c>
      <c r="B26" t="s">
        <v>32</v>
      </c>
      <c r="C26">
        <v>1</v>
      </c>
      <c r="D26">
        <v>672</v>
      </c>
      <c r="E26">
        <v>0.1</v>
      </c>
      <c r="F26" s="6">
        <v>1000</v>
      </c>
      <c r="G26" s="5">
        <f t="shared" si="1"/>
        <v>6720000</v>
      </c>
    </row>
    <row r="27" spans="1:7" x14ac:dyDescent="0.2">
      <c r="A27" t="s">
        <v>33</v>
      </c>
      <c r="B27" t="s">
        <v>34</v>
      </c>
      <c r="C27">
        <v>2</v>
      </c>
      <c r="D27">
        <v>999</v>
      </c>
      <c r="E27">
        <v>0.1</v>
      </c>
      <c r="F27" s="6">
        <v>1000</v>
      </c>
      <c r="G27" s="5">
        <f t="shared" si="1"/>
        <v>9990000</v>
      </c>
    </row>
    <row r="28" spans="1:7" x14ac:dyDescent="0.2">
      <c r="A28" t="s">
        <v>35</v>
      </c>
      <c r="B28" t="s">
        <v>36</v>
      </c>
      <c r="C28">
        <v>3</v>
      </c>
      <c r="D28">
        <v>395</v>
      </c>
      <c r="E28">
        <v>0.1</v>
      </c>
      <c r="F28" s="6">
        <v>1000</v>
      </c>
      <c r="G28" s="5">
        <f t="shared" si="1"/>
        <v>3950000</v>
      </c>
    </row>
    <row r="29" spans="1:7" x14ac:dyDescent="0.2">
      <c r="A29" t="s">
        <v>37</v>
      </c>
      <c r="B29" t="s">
        <v>38</v>
      </c>
      <c r="C29">
        <v>1</v>
      </c>
      <c r="D29">
        <v>97</v>
      </c>
      <c r="E29">
        <v>0.1</v>
      </c>
      <c r="F29" s="6">
        <v>100000</v>
      </c>
      <c r="G29" s="5">
        <f t="shared" si="1"/>
        <v>97000000</v>
      </c>
    </row>
    <row r="30" spans="1:7" x14ac:dyDescent="0.2">
      <c r="A30" t="s">
        <v>39</v>
      </c>
      <c r="B30" t="s">
        <v>40</v>
      </c>
      <c r="C30">
        <v>2</v>
      </c>
      <c r="D30">
        <v>19</v>
      </c>
      <c r="E30">
        <v>0.1</v>
      </c>
      <c r="F30" s="6">
        <v>100000</v>
      </c>
      <c r="G30" s="5">
        <f t="shared" si="1"/>
        <v>19000000</v>
      </c>
    </row>
    <row r="31" spans="1:7" x14ac:dyDescent="0.2">
      <c r="A31" t="s">
        <v>41</v>
      </c>
      <c r="B31" t="s">
        <v>42</v>
      </c>
      <c r="C31">
        <v>3</v>
      </c>
      <c r="D31">
        <v>56</v>
      </c>
      <c r="E31">
        <v>0.1</v>
      </c>
      <c r="F31" s="6">
        <v>100000</v>
      </c>
      <c r="G31" s="5">
        <f t="shared" si="1"/>
        <v>56000000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OD600</vt:lpstr>
      <vt:lpstr>Growth curves</vt:lpstr>
      <vt:lpstr>Sheet1</vt:lpstr>
      <vt:lpstr>Plate 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Daniel Gregoire</cp:lastModifiedBy>
  <dcterms:created xsi:type="dcterms:W3CDTF">2025-12-16T17:39:50Z</dcterms:created>
  <dcterms:modified xsi:type="dcterms:W3CDTF">2026-01-16T02:34:26Z</dcterms:modified>
</cp:coreProperties>
</file>