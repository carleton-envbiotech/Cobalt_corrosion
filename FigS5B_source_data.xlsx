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ikadejager/Desktop/EBB Lab/ICP-MS Data Carleton/Co2+ dose-response curve A-F,F-A/"/>
    </mc:Choice>
  </mc:AlternateContent>
  <xr:revisionPtr revIDLastSave="0" documentId="13_ncr:1_{A430FB37-1110-264E-B85C-17244CDD3792}" xr6:coauthVersionLast="47" xr6:coauthVersionMax="47" xr10:uidLastSave="{00000000-0000-0000-0000-000000000000}"/>
  <bookViews>
    <workbookView xWindow="1820" yWindow="500" windowWidth="26400" windowHeight="16140" activeTab="6" xr2:uid="{00000000-000D-0000-FFFF-FFFF00000000}"/>
  </bookViews>
  <sheets>
    <sheet name="Raw txt data" sheetId="1" r:id="rId1"/>
    <sheet name="Consolidated Raw data" sheetId="2" r:id="rId2"/>
    <sheet name="Summary" sheetId="3" r:id="rId3"/>
    <sheet name="Check QC" sheetId="4" r:id="rId4"/>
    <sheet name="Check Co(2+) stocks" sheetId="5" r:id="rId5"/>
    <sheet name="Paired analyses" sheetId="6" r:id="rId6"/>
    <sheet name="Paired analyses condensed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8" l="1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4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G5" i="6" l="1"/>
  <c r="I6" i="8"/>
  <c r="I7" i="8"/>
  <c r="I8" i="8"/>
  <c r="I17" i="8"/>
  <c r="O17" i="8" s="1"/>
  <c r="I18" i="8"/>
  <c r="O18" i="8" s="1"/>
  <c r="G18" i="8"/>
  <c r="G17" i="8"/>
  <c r="G16" i="8"/>
  <c r="G15" i="8"/>
  <c r="G14" i="8"/>
  <c r="G13" i="8"/>
  <c r="G12" i="8"/>
  <c r="G11" i="8"/>
  <c r="I11" i="8" s="1"/>
  <c r="O11" i="8" s="1"/>
  <c r="G10" i="8"/>
  <c r="G9" i="8"/>
  <c r="G8" i="8"/>
  <c r="G7" i="8"/>
  <c r="G6" i="8"/>
  <c r="G5" i="8"/>
  <c r="G4" i="8"/>
  <c r="G3" i="8"/>
  <c r="E18" i="8"/>
  <c r="H18" i="8" s="1"/>
  <c r="E17" i="8"/>
  <c r="H17" i="8" s="1"/>
  <c r="E16" i="8"/>
  <c r="H16" i="8"/>
  <c r="E15" i="8"/>
  <c r="H15" i="8" s="1"/>
  <c r="E14" i="8"/>
  <c r="H14" i="8" s="1"/>
  <c r="E13" i="8"/>
  <c r="H13" i="8" s="1"/>
  <c r="I13" i="8" s="1"/>
  <c r="O13" i="8" s="1"/>
  <c r="E12" i="8"/>
  <c r="H12" i="8" s="1"/>
  <c r="E11" i="8"/>
  <c r="H11" i="8" s="1"/>
  <c r="E10" i="8"/>
  <c r="H10" i="8" s="1"/>
  <c r="E9" i="8"/>
  <c r="H9" i="8" s="1"/>
  <c r="E8" i="8"/>
  <c r="H8" i="8" s="1"/>
  <c r="E7" i="8"/>
  <c r="H7" i="8" s="1"/>
  <c r="E6" i="8"/>
  <c r="H6" i="8" s="1"/>
  <c r="E5" i="8"/>
  <c r="H5" i="8" s="1"/>
  <c r="I5" i="8" s="1"/>
  <c r="E4" i="8"/>
  <c r="H4" i="8" s="1"/>
  <c r="E3" i="8"/>
  <c r="H3" i="8" s="1"/>
  <c r="L33" i="6"/>
  <c r="L31" i="6"/>
  <c r="L29" i="6"/>
  <c r="L27" i="6"/>
  <c r="L25" i="6"/>
  <c r="L23" i="6"/>
  <c r="L21" i="6"/>
  <c r="L19" i="6"/>
  <c r="L17" i="6"/>
  <c r="L15" i="6"/>
  <c r="L13" i="6"/>
  <c r="L11" i="6"/>
  <c r="L7" i="6"/>
  <c r="L9" i="6"/>
  <c r="L5" i="6"/>
  <c r="K7" i="6"/>
  <c r="K9" i="6"/>
  <c r="K11" i="6"/>
  <c r="K13" i="6"/>
  <c r="K15" i="6"/>
  <c r="K17" i="6"/>
  <c r="K19" i="6"/>
  <c r="K21" i="6"/>
  <c r="K23" i="6"/>
  <c r="K25" i="6"/>
  <c r="K27" i="6"/>
  <c r="K29" i="6"/>
  <c r="K31" i="6"/>
  <c r="K33" i="6"/>
  <c r="K5" i="6"/>
  <c r="I5" i="6"/>
  <c r="I7" i="6"/>
  <c r="I9" i="6"/>
  <c r="I11" i="6"/>
  <c r="I13" i="6"/>
  <c r="I15" i="6"/>
  <c r="I17" i="6"/>
  <c r="I19" i="6"/>
  <c r="I21" i="6"/>
  <c r="I23" i="6"/>
  <c r="I25" i="6"/>
  <c r="I27" i="6"/>
  <c r="I29" i="6"/>
  <c r="I31" i="6"/>
  <c r="I33" i="6"/>
  <c r="I3" i="6"/>
  <c r="H3" i="6"/>
  <c r="F3" i="6"/>
  <c r="F5" i="6"/>
  <c r="F7" i="6"/>
  <c r="F9" i="6"/>
  <c r="F11" i="6"/>
  <c r="F13" i="6"/>
  <c r="F15" i="6"/>
  <c r="F17" i="6"/>
  <c r="F19" i="6"/>
  <c r="F21" i="6"/>
  <c r="F23" i="6"/>
  <c r="F25" i="6"/>
  <c r="F27" i="6"/>
  <c r="F29" i="6"/>
  <c r="F31" i="6"/>
  <c r="F33" i="6"/>
  <c r="F4" i="6"/>
  <c r="G3" i="6" s="1"/>
  <c r="F6" i="6"/>
  <c r="H5" i="6" s="1"/>
  <c r="F8" i="6"/>
  <c r="G7" i="6" s="1"/>
  <c r="F10" i="6"/>
  <c r="G9" i="6" s="1"/>
  <c r="F12" i="6"/>
  <c r="G11" i="6" s="1"/>
  <c r="F14" i="6"/>
  <c r="G13" i="6" s="1"/>
  <c r="F16" i="6"/>
  <c r="G15" i="6" s="1"/>
  <c r="F18" i="6"/>
  <c r="G17" i="6" s="1"/>
  <c r="H17" i="6" s="1"/>
  <c r="F20" i="6"/>
  <c r="G19" i="6" s="1"/>
  <c r="H19" i="6" s="1"/>
  <c r="F22" i="6"/>
  <c r="G21" i="6" s="1"/>
  <c r="H21" i="6" s="1"/>
  <c r="F24" i="6"/>
  <c r="G23" i="6" s="1"/>
  <c r="F26" i="6"/>
  <c r="G25" i="6" s="1"/>
  <c r="F28" i="6"/>
  <c r="G27" i="6" s="1"/>
  <c r="F30" i="6"/>
  <c r="G29" i="6" s="1"/>
  <c r="F32" i="6"/>
  <c r="G31" i="6" s="1"/>
  <c r="F34" i="6"/>
  <c r="G33" i="6" s="1"/>
  <c r="E4" i="5"/>
  <c r="E5" i="5"/>
  <c r="E6" i="5"/>
  <c r="E7" i="5"/>
  <c r="E3" i="5"/>
  <c r="I9" i="8" l="1"/>
  <c r="I14" i="8"/>
  <c r="O14" i="8" s="1"/>
  <c r="I16" i="8"/>
  <c r="O16" i="8" s="1"/>
  <c r="I10" i="8"/>
  <c r="O10" i="8" s="1"/>
  <c r="I15" i="8"/>
  <c r="O15" i="8" s="1"/>
  <c r="I4" i="8"/>
  <c r="O4" i="8" s="1"/>
  <c r="I12" i="8"/>
  <c r="O12" i="8" s="1"/>
  <c r="N11" i="8"/>
  <c r="N17" i="8"/>
  <c r="K4" i="8"/>
  <c r="N10" i="8"/>
  <c r="K5" i="8"/>
  <c r="K13" i="8"/>
  <c r="N13" i="8"/>
  <c r="K7" i="8"/>
  <c r="N16" i="8"/>
  <c r="N14" i="8"/>
  <c r="K6" i="8"/>
  <c r="K18" i="8"/>
  <c r="N18" i="8"/>
  <c r="K17" i="8"/>
  <c r="K15" i="8"/>
  <c r="N15" i="8"/>
  <c r="H33" i="6"/>
  <c r="H27" i="6"/>
  <c r="H25" i="6"/>
  <c r="H9" i="6"/>
  <c r="H23" i="6"/>
  <c r="H7" i="6"/>
  <c r="H29" i="6"/>
  <c r="H31" i="6"/>
  <c r="H11" i="6"/>
  <c r="H15" i="6"/>
  <c r="H13" i="6"/>
  <c r="K23" i="2"/>
  <c r="K16" i="2"/>
  <c r="K11" i="2"/>
  <c r="K8" i="2"/>
  <c r="K22" i="2"/>
  <c r="K9" i="2"/>
  <c r="N6" i="8" l="1"/>
  <c r="O6" i="8"/>
  <c r="N9" i="8"/>
  <c r="O9" i="8"/>
  <c r="N5" i="8"/>
  <c r="O5" i="8"/>
  <c r="N12" i="8"/>
  <c r="N8" i="8"/>
  <c r="O8" i="8"/>
  <c r="K16" i="8"/>
  <c r="K11" i="8"/>
  <c r="K12" i="8"/>
  <c r="N4" i="8"/>
  <c r="K14" i="8"/>
  <c r="K10" i="8"/>
  <c r="K9" i="8"/>
  <c r="K8" i="8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L22" i="2"/>
  <c r="L21" i="2"/>
  <c r="K21" i="2"/>
  <c r="L20" i="2"/>
  <c r="K20" i="2"/>
  <c r="L19" i="2"/>
  <c r="K19" i="2"/>
  <c r="L18" i="2"/>
  <c r="K18" i="2"/>
  <c r="L17" i="2"/>
  <c r="K17" i="2"/>
  <c r="L16" i="2"/>
  <c r="L15" i="2"/>
  <c r="K15" i="2"/>
  <c r="L14" i="2"/>
  <c r="K14" i="2"/>
  <c r="L13" i="2"/>
  <c r="K13" i="2"/>
  <c r="L12" i="2"/>
  <c r="K12" i="2"/>
  <c r="L11" i="2"/>
  <c r="L10" i="2"/>
  <c r="K10" i="2"/>
  <c r="L9" i="2"/>
  <c r="L8" i="2"/>
  <c r="L7" i="2"/>
  <c r="K7" i="2"/>
  <c r="L6" i="2"/>
  <c r="L5" i="2"/>
  <c r="L4" i="2"/>
  <c r="L3" i="2"/>
  <c r="N7" i="8" l="1"/>
  <c r="O7" i="8"/>
</calcChain>
</file>

<file path=xl/sharedStrings.xml><?xml version="1.0" encoding="utf-8"?>
<sst xmlns="http://schemas.openxmlformats.org/spreadsheetml/2006/main" count="8013" uniqueCount="299">
  <si>
    <t>Sample</t>
  </si>
  <si>
    <t>Rjct</t>
  </si>
  <si>
    <t>Data File</t>
  </si>
  <si>
    <t>Acq. Date-Time</t>
  </si>
  <si>
    <t>Type</t>
  </si>
  <si>
    <t>Level</t>
  </si>
  <si>
    <t>Sample Name</t>
  </si>
  <si>
    <t>001BLKV.d</t>
  </si>
  <si>
    <t>12/18/2025 2:30:41 PM</t>
  </si>
  <si>
    <t>BlkVrfy</t>
  </si>
  <si>
    <t>MiliQ blank</t>
  </si>
  <si>
    <t>Analyte</t>
  </si>
  <si>
    <t>Name</t>
  </si>
  <si>
    <t>Mass</t>
  </si>
  <si>
    <t>ISTD</t>
  </si>
  <si>
    <t>Tune Mode</t>
  </si>
  <si>
    <t>CPS</t>
  </si>
  <si>
    <t>CPS RSD</t>
  </si>
  <si>
    <t>Conc.</t>
  </si>
  <si>
    <t>Units</t>
  </si>
  <si>
    <t>Conc. RSD</t>
  </si>
  <si>
    <t>Integ Time</t>
  </si>
  <si>
    <t>Replicate</t>
  </si>
  <si>
    <t>ISTD Recovery %</t>
  </si>
  <si>
    <t>Co</t>
  </si>
  <si>
    <t>He</t>
  </si>
  <si>
    <t>ppm</t>
  </si>
  <si>
    <t>Replicate Data</t>
  </si>
  <si>
    <t>Reject</t>
  </si>
  <si>
    <t>Det.</t>
  </si>
  <si>
    <t>P</t>
  </si>
  <si>
    <t>Sc</t>
  </si>
  <si>
    <t>Ge</t>
  </si>
  <si>
    <t>Y</t>
  </si>
  <si>
    <t>002BLKV.d</t>
  </si>
  <si>
    <t>12/18/2025 2:35:28 PM</t>
  </si>
  <si>
    <t>003BLKV.d</t>
  </si>
  <si>
    <t>12/18/2025 2:40:15 PM</t>
  </si>
  <si>
    <t>004BLKV.d</t>
  </si>
  <si>
    <t>12/18/2025 2:44:59 PM</t>
  </si>
  <si>
    <t>005BLKV.d</t>
  </si>
  <si>
    <t>12/18/2025 2:49:46 PM</t>
  </si>
  <si>
    <t>006CALB.d</t>
  </si>
  <si>
    <t>12/18/2025 2:54:30 PM</t>
  </si>
  <si>
    <t>CalBlk</t>
  </si>
  <si>
    <t>Mili Q</t>
  </si>
  <si>
    <t>N/A</t>
  </si>
  <si>
    <t>007CALS.d</t>
  </si>
  <si>
    <t>12/18/2025 2:59:18 PM</t>
  </si>
  <si>
    <t>CalStd</t>
  </si>
  <si>
    <t>0.001 ppm Co in MiliQ</t>
  </si>
  <si>
    <t>008CALS.d</t>
  </si>
  <si>
    <t>12/18/2025 3:04:01 PM</t>
  </si>
  <si>
    <t>0.01 ppm Co in MiliQ</t>
  </si>
  <si>
    <t>009CALS.d</t>
  </si>
  <si>
    <t>12/18/2025 3:08:49 PM</t>
  </si>
  <si>
    <t>0.05 ppm Co in MiliQ</t>
  </si>
  <si>
    <t>010CALS.d</t>
  </si>
  <si>
    <t>12/18/2025 3:13:33 PM</t>
  </si>
  <si>
    <t>0.1 ppm Co in MiliQ</t>
  </si>
  <si>
    <t>89  Y ( ISTD )  [ He ] :  ISTD Recovery Percent value = 121.99 is outside the allowed range [80.00, 120.00]</t>
  </si>
  <si>
    <t>011CALS.d</t>
  </si>
  <si>
    <t>12/18/2025 3:18:20 PM</t>
  </si>
  <si>
    <t>0.5 ppm Co in MiliQ</t>
  </si>
  <si>
    <t>012CALS.d</t>
  </si>
  <si>
    <t>12/18/2025 3:23:04 PM</t>
  </si>
  <si>
    <t>1 ppm Co in MiliQ</t>
  </si>
  <si>
    <t>A</t>
  </si>
  <si>
    <t>013CALS.d</t>
  </si>
  <si>
    <t>12/18/2025 3:27:51 PM</t>
  </si>
  <si>
    <t>10 ppm Co in MiliQ</t>
  </si>
  <si>
    <t>014CALS.d</t>
  </si>
  <si>
    <t>12/18/2025 3:32:36 PM</t>
  </si>
  <si>
    <t>50 ppm Co in MiliQ</t>
  </si>
  <si>
    <t>015BLKV.d</t>
  </si>
  <si>
    <t>12/18/2025 3:38:11 PM</t>
  </si>
  <si>
    <t>MiliQ Blank</t>
  </si>
  <si>
    <t>016BLKV.d</t>
  </si>
  <si>
    <t>12/18/2025 3:42:55 PM</t>
  </si>
  <si>
    <t>017SMPL.d</t>
  </si>
  <si>
    <t>12/18/2025 3:47:46 PM</t>
  </si>
  <si>
    <t>DM F-A 32hr</t>
  </si>
  <si>
    <t>018SMPL.d</t>
  </si>
  <si>
    <t>12/18/2025 3:52:30 PM</t>
  </si>
  <si>
    <t>DM A-F 32hr</t>
  </si>
  <si>
    <t>019SMPL.d</t>
  </si>
  <si>
    <t>12/18/2025 3:57:18 PM</t>
  </si>
  <si>
    <t>0.1 F-A 32hr</t>
  </si>
  <si>
    <t>020SMPL.d</t>
  </si>
  <si>
    <t>12/18/2025 4:02:04 PM</t>
  </si>
  <si>
    <t>0.1 A-F 32hr</t>
  </si>
  <si>
    <t>021SMPL.d</t>
  </si>
  <si>
    <t>12/18/2025 4:06:52 PM</t>
  </si>
  <si>
    <t>0.2 F-A 32hr</t>
  </si>
  <si>
    <t>022SMPL.d</t>
  </si>
  <si>
    <t>12/18/2025 4:11:37 PM</t>
  </si>
  <si>
    <t>0.2 A-F 32hr</t>
  </si>
  <si>
    <t>023SMPL.d</t>
  </si>
  <si>
    <t>12/18/2025 4:16:25 PM</t>
  </si>
  <si>
    <t>0.3 F-A 32hr</t>
  </si>
  <si>
    <t>024SMPL.d</t>
  </si>
  <si>
    <t>12/18/2025 4:21:10 PM</t>
  </si>
  <si>
    <t>0.3 A-F 32hr</t>
  </si>
  <si>
    <t>025SMPL.d</t>
  </si>
  <si>
    <t>12/18/2025 4:25:58 PM</t>
  </si>
  <si>
    <t>2.1 F-A 32hr</t>
  </si>
  <si>
    <t>45  Sc ( ISTD )  [ He ] :  ISTD Recovery Percent value = 128.08 is outside the allowed range [80.00, 120.00]</t>
  </si>
  <si>
    <t>026SMPL.d</t>
  </si>
  <si>
    <t>12/18/2025 4:30:43 PM</t>
  </si>
  <si>
    <t>2.1 A-F 32hr</t>
  </si>
  <si>
    <t>027SMPL.d</t>
  </si>
  <si>
    <t>12/18/2025 4:35:34 PM</t>
  </si>
  <si>
    <t>2.2 F-A 32hr</t>
  </si>
  <si>
    <t>028SMPL.d</t>
  </si>
  <si>
    <t>12/18/2025 4:40:18 PM</t>
  </si>
  <si>
    <t>2.2 A-F 32hr</t>
  </si>
  <si>
    <t>029SMPL.d</t>
  </si>
  <si>
    <t>12/18/2025 4:45:07 PM</t>
  </si>
  <si>
    <t>2.3 F-A 32hr</t>
  </si>
  <si>
    <t>45  Sc ( ISTD )  [ He ] :  ISTD Recovery Percent value = 121.30 is outside the allowed range [80.00, 120.00]</t>
  </si>
  <si>
    <t>030SMPL.d</t>
  </si>
  <si>
    <t>12/18/2025 4:49:52 PM</t>
  </si>
  <si>
    <t>2.3 A-F 32hr</t>
  </si>
  <si>
    <t>031SMPL.d</t>
  </si>
  <si>
    <t>12/18/2025 4:54:40 PM</t>
  </si>
  <si>
    <t>20.1 F-A 32hr</t>
  </si>
  <si>
    <t>45  Sc ( ISTD )  [ He ] :  ISTD Recovery Percent value = 126.00 is outside the allowed range [80.00, 120.00]</t>
  </si>
  <si>
    <t>032SMPL.d</t>
  </si>
  <si>
    <t>12/18/2025 4:59:25 PM</t>
  </si>
  <si>
    <t>20.1 A-F 32hr</t>
  </si>
  <si>
    <t>033SMPL.d</t>
  </si>
  <si>
    <t>12/18/2025 5:04:13 PM</t>
  </si>
  <si>
    <t>20.2 F-A 32hr</t>
  </si>
  <si>
    <t>45  Sc ( ISTD )  [ He ] :  ISTD Recovery Percent value = 121.99 is outside the allowed range [80.00, 120.00]</t>
  </si>
  <si>
    <t>034SMPL.d</t>
  </si>
  <si>
    <t>12/18/2025 5:08:59 PM</t>
  </si>
  <si>
    <t>20.2 A-F 32hr</t>
  </si>
  <si>
    <t>035SMPL.d</t>
  </si>
  <si>
    <t>12/18/2025 5:13:47 PM</t>
  </si>
  <si>
    <t>20.3 F-A 32hr</t>
  </si>
  <si>
    <t>45  Sc ( ISTD )  [ He ] :  ISTD Recovery Percent value = 130.57 is outside the allowed range [80.00, 120.00]</t>
  </si>
  <si>
    <t>036SMPL.d</t>
  </si>
  <si>
    <t>12/18/2025 5:18:32 PM</t>
  </si>
  <si>
    <t>20.3 A-F 32hr</t>
  </si>
  <si>
    <t>037BLKV.d</t>
  </si>
  <si>
    <t>12/18/2025 5:23:19 PM</t>
  </si>
  <si>
    <t>Milli Q</t>
  </si>
  <si>
    <t>72  Ge ( ISTD )  [ He ] :  ISTD Recovery Percent value = 140.04 is outside the allowed range [80.00, 120.00]89  Y ( ISTD )  [ He ] :  ISTD Recovery Percent value = 145.43 is outside the allowed range [80.00, 120.00]</t>
  </si>
  <si>
    <t>038_QC1.d</t>
  </si>
  <si>
    <t>12/18/2025 5:28:02 PM</t>
  </si>
  <si>
    <t>QC1</t>
  </si>
  <si>
    <t>0.1 ppm</t>
  </si>
  <si>
    <t>039BLKV.d</t>
  </si>
  <si>
    <t>12/18/2025 5:32:50 PM</t>
  </si>
  <si>
    <t>040SMPL.d</t>
  </si>
  <si>
    <t>12/18/2025 5:37:36 PM</t>
  </si>
  <si>
    <t>200.1 F-A 32hr</t>
  </si>
  <si>
    <t>45  Sc ( ISTD )  [ He ] :  ISTD Recovery Percent value = 124.62 is outside the allowed range [80.00, 120.00]</t>
  </si>
  <si>
    <t>041SMPL.d</t>
  </si>
  <si>
    <t>12/18/2025 5:42:24 PM</t>
  </si>
  <si>
    <t>200.1 A-F 32hr</t>
  </si>
  <si>
    <t>042SMPL.d</t>
  </si>
  <si>
    <t>12/18/2025 5:47:08 PM</t>
  </si>
  <si>
    <t>200.2 F-A 32hr</t>
  </si>
  <si>
    <t>45  Sc ( ISTD )  [ He ] :  ISTD Recovery Percent value = 129.88 is outside the allowed range [80.00, 120.00]</t>
  </si>
  <si>
    <t>043SMPL.d</t>
  </si>
  <si>
    <t>12/18/2025 5:53:02 PM</t>
  </si>
  <si>
    <t>200.2 A-F 32hr</t>
  </si>
  <si>
    <t>044SMPL.d</t>
  </si>
  <si>
    <t>12/18/2025 5:57:48 PM</t>
  </si>
  <si>
    <t>200.3 F-A 32hr</t>
  </si>
  <si>
    <t>045SMPL.d</t>
  </si>
  <si>
    <t>12/18/2025 6:02:50 PM</t>
  </si>
  <si>
    <t>200.3 A-F 32hr</t>
  </si>
  <si>
    <t>046SMPL.d</t>
  </si>
  <si>
    <t>12/18/2025 6:07:35 PM</t>
  </si>
  <si>
    <t>2000.1 F-A 32hr</t>
  </si>
  <si>
    <t>047SMPL.d</t>
  </si>
  <si>
    <t>12/18/2025 6:12:24 PM</t>
  </si>
  <si>
    <t>2000.1 A-F 32hr</t>
  </si>
  <si>
    <t>048SMPL.d</t>
  </si>
  <si>
    <t>12/18/2025 6:18:46 PM</t>
  </si>
  <si>
    <t>2000.2 F-A 32hr</t>
  </si>
  <si>
    <t>049SMPL.d</t>
  </si>
  <si>
    <t>12/18/2025 6:25:34 PM</t>
  </si>
  <si>
    <t>2000.2 A-F 32hr</t>
  </si>
  <si>
    <t>050SMPL.d</t>
  </si>
  <si>
    <t>12/18/2025 6:32:22 PM</t>
  </si>
  <si>
    <t>2000.3 F-A 32hr</t>
  </si>
  <si>
    <t>051SMPL.d</t>
  </si>
  <si>
    <t>12/18/2025 6:39:08 PM</t>
  </si>
  <si>
    <t>2000.3 A-F 32hr</t>
  </si>
  <si>
    <t>052BLKV.d</t>
  </si>
  <si>
    <t>12/18/2025 6:45:55 PM</t>
  </si>
  <si>
    <t>Milli Q Blk</t>
  </si>
  <si>
    <t>053SMPL.d</t>
  </si>
  <si>
    <t>12/18/2025 6:50:41 PM</t>
  </si>
  <si>
    <t>0uM Co2+</t>
  </si>
  <si>
    <t>054SMPL.d</t>
  </si>
  <si>
    <t>12/18/2025 6:55:30 PM</t>
  </si>
  <si>
    <t>2uM Co2+</t>
  </si>
  <si>
    <t>055SMPL.d</t>
  </si>
  <si>
    <t>12/18/2025 7:00:15 PM</t>
  </si>
  <si>
    <t>20uM Co2+ 10xdil</t>
  </si>
  <si>
    <t>056SMPL.d</t>
  </si>
  <si>
    <t>12/18/2025 7:05:04 PM</t>
  </si>
  <si>
    <t>200uM Co2+ 20xdil</t>
  </si>
  <si>
    <t>057SMPL.d</t>
  </si>
  <si>
    <t>12/18/2025 7:09:50 PM</t>
  </si>
  <si>
    <t>2000uM Co2+ 20xdil</t>
  </si>
  <si>
    <t>058BLKV.d</t>
  </si>
  <si>
    <t>12/18/2025 7:16:35 PM</t>
  </si>
  <si>
    <t>Miliq Blank</t>
  </si>
  <si>
    <t>059BLKV.d</t>
  </si>
  <si>
    <t>12/18/2025 7:21:19 PM</t>
  </si>
  <si>
    <t>060_QC1.d</t>
  </si>
  <si>
    <t>12/18/2025 7:26:06 PM</t>
  </si>
  <si>
    <t>0.1 ppm from cal curve</t>
  </si>
  <si>
    <t>061BLKV.d</t>
  </si>
  <si>
    <t>12/18/2025 7:30:51 PM</t>
  </si>
  <si>
    <t>062BLKV.d</t>
  </si>
  <si>
    <t>12/18/2025 7:35:37 PM</t>
  </si>
  <si>
    <t xml:space="preserve">59  Co  [ He ] </t>
  </si>
  <si>
    <t xml:space="preserve">45  Sc ( ISTD )  [ He ] </t>
  </si>
  <si>
    <t xml:space="preserve">72  Ge ( ISTD )  [ He ] </t>
  </si>
  <si>
    <t xml:space="preserve">89  Y ( ISTD )  [ He ] </t>
  </si>
  <si>
    <t>Comment</t>
  </si>
  <si>
    <t>Conc. [ppm]</t>
  </si>
  <si>
    <t>Dilution</t>
  </si>
  <si>
    <t>Conc. [ ug/L ]</t>
  </si>
  <si>
    <t>2% HNO3</t>
  </si>
  <si>
    <t>0ppm</t>
  </si>
  <si>
    <t>0ppm Co(2+) ICP-MS STD</t>
  </si>
  <si>
    <t>0.001ppm</t>
  </si>
  <si>
    <t>0.001ppm Co(2+) ICP-MS STD</t>
  </si>
  <si>
    <t>0.01ppm</t>
  </si>
  <si>
    <t>0.01ppm Co(2+) ICP-MS STD</t>
  </si>
  <si>
    <t>0.05ppm</t>
  </si>
  <si>
    <t>0.05ppm Co(2+) ICP-MS STD</t>
  </si>
  <si>
    <t>0.1ppm</t>
  </si>
  <si>
    <t>0.1ppm Co(2+) ICP-MS STD</t>
  </si>
  <si>
    <t>0.5ppm</t>
  </si>
  <si>
    <t>0.5ppm Co(2+) ICP-MS STD</t>
  </si>
  <si>
    <t>1ppm</t>
  </si>
  <si>
    <t>1ppm Co(2+) ICP-MS STD</t>
  </si>
  <si>
    <t>10ppm</t>
  </si>
  <si>
    <t>10ppm Co(2+) ICP-MS STD</t>
  </si>
  <si>
    <t>50ppm</t>
  </si>
  <si>
    <t>50ppm Co(2+) ICP-MS STD</t>
  </si>
  <si>
    <t>QC2</t>
  </si>
  <si>
    <t xml:space="preserve">Sample# </t>
  </si>
  <si>
    <t>Conc. [ ug/l ]</t>
  </si>
  <si>
    <t>2025-12-16_32hr_Media_F-A</t>
  </si>
  <si>
    <t>2025-12-16_32hr_Media_A-F</t>
  </si>
  <si>
    <t>2025-12-16_32hr_10%inoc+2µMCo2+_2_F-A</t>
  </si>
  <si>
    <t>2025-12-16_32hr_10%inoc+2µMCo2+_1_F-A</t>
  </si>
  <si>
    <t>2025-12-16_32hr_10%inoc+2µMCo2+_1_A-F</t>
  </si>
  <si>
    <t>2025-12-16_32hr_10%inoc+2µMCo2+_2_A-F</t>
  </si>
  <si>
    <t>2025-12-16_32hr_10%inoc+2µMCo2+_3_F-A</t>
  </si>
  <si>
    <t>2025-12-16_32hr_10%inoc+2µMCo2+_3_A-F</t>
  </si>
  <si>
    <t>2025-12-16_32hr_10%inoc+20µMCo2+_1_F-A</t>
  </si>
  <si>
    <t>2025-12-16_32hr_10%inoc+20µMCo2+_1_A-F</t>
  </si>
  <si>
    <t>2025-12-16_32hr_10%inoc+20µMCo2+_2_F-A</t>
  </si>
  <si>
    <t>2025-12-16_32hr_10%inoc+20µMCo2+_2_A-F</t>
  </si>
  <si>
    <t>2025-12-16_32hr_10%inoc+20µMCo2+_3_F-A</t>
  </si>
  <si>
    <t>2025-12-16_32hr_10%inoc+20µMCo2+_3_A-F</t>
  </si>
  <si>
    <t>2025-12-16_32hr_10%inoc+200µMCo2+_1_F-A</t>
  </si>
  <si>
    <t>2025-12-16_32hr_10%inoc+200µMCo2+_1_A-F</t>
  </si>
  <si>
    <t>2025-12-16_32hr_10%inoc+200µMCo2+_2_F-A</t>
  </si>
  <si>
    <t>2025-12-16_32hr_10%inoc+200µMCo2+_2_A-F</t>
  </si>
  <si>
    <t>2025-12-16_32hr_10%inoc+200µMCo2+_3_F-A</t>
  </si>
  <si>
    <t>2025-12-16_32hr_10%inoc+200µMCo2+_3_A-F</t>
  </si>
  <si>
    <t>2025-12-16_32hr_10%inoc+2000µMCo2+_1_F-A</t>
  </si>
  <si>
    <t>2025-12-16_32hr_10%inoc+2000µMCo2+_1_A-F</t>
  </si>
  <si>
    <t>2025-12-16_32hr_10%inoc+2000µMCo2+_2_F-A</t>
  </si>
  <si>
    <t>2025-12-16_32hr_10%inoc+2000µMCo2+_2_A-F</t>
  </si>
  <si>
    <t>2025-12-16_32hr_10%inoc+2000µMCo2+_3_F-A</t>
  </si>
  <si>
    <t>2025-12-16_32hr_10%inoc+2000µMCo2+_3_A-F</t>
  </si>
  <si>
    <t>2025-12-16_32hr_10%inoc+0µMCo2+_1_F-A</t>
  </si>
  <si>
    <t>2025-12-16_32hr_10%inoc+0µMCo2+_1_A-F</t>
  </si>
  <si>
    <t>2025-12-16_32hr_10%inoc+0µMCo2+_2_F-A</t>
  </si>
  <si>
    <t>2025-12-16_32hr_10%inoc+0µMCo2+_2_A-F</t>
  </si>
  <si>
    <t>2025-12-16_32hr_10%inoc+0µMCo2+_3_F-A</t>
  </si>
  <si>
    <t>2025-12-16_32hr_10%inoc+0µMCo2+_3_A-F</t>
  </si>
  <si>
    <t>0µM Co(2+) from CoCl2 in 2%HNO3</t>
  </si>
  <si>
    <t>2µM Co(2+) from CoCl2 in 2%HNO3</t>
  </si>
  <si>
    <t>20µM Co(2+) from CoCl2 in 2%HNO3, diluted 10-fold</t>
  </si>
  <si>
    <t>200µM Co(2+) from CoCl2 in 2%HNO3, diluted 20-fold</t>
  </si>
  <si>
    <t>2000µM Co(2+) from CoCl2 in 2%HNO3, diluted 20-fold</t>
  </si>
  <si>
    <t>Conc. [ uM ]</t>
  </si>
  <si>
    <t>Acidified-filtered</t>
  </si>
  <si>
    <t>Filtered-acidified</t>
  </si>
  <si>
    <t>Cell-associated Co(2+) [ uM ]</t>
  </si>
  <si>
    <t>Total Co(2+) recovered [ uM ]</t>
  </si>
  <si>
    <t>Cell-associated Co(2+) [ % ]</t>
  </si>
  <si>
    <t>CFU/mL</t>
  </si>
  <si>
    <t>umol Co(2+)/CFU</t>
  </si>
  <si>
    <t>log ( umol Co(2+)/CFU )</t>
  </si>
  <si>
    <t>Cell-associated Co(2+) [ umol/mL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</si>
</sst>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0" borderId="10" xfId="0" applyBorder="1"/>
    <xf numFmtId="0" fontId="0" fillId="0" borderId="13" xfId="0" applyBorder="1"/>
    <xf numFmtId="0" fontId="0" fillId="0" borderId="12" xfId="0" applyBorder="1"/>
    <xf numFmtId="0" fontId="18" fillId="0" borderId="0" xfId="0" applyFont="1"/>
    <xf numFmtId="22" fontId="0" fillId="0" borderId="0" xfId="0" applyNumberFormat="1"/>
    <xf numFmtId="3" fontId="0" fillId="0" borderId="0" xfId="0" applyNumberFormat="1"/>
    <xf numFmtId="0" fontId="0" fillId="0" borderId="14" xfId="0" applyBorder="1"/>
    <xf numFmtId="0" fontId="18" fillId="33" borderId="0" xfId="0" applyFont="1" applyFill="1"/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vertical="center"/>
    </xf>
    <xf numFmtId="0" fontId="18" fillId="33" borderId="13" xfId="0" applyFont="1" applyFill="1" applyBorder="1"/>
    <xf numFmtId="0" fontId="18" fillId="34" borderId="14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0" borderId="13" xfId="0" applyFont="1" applyBorder="1"/>
    <xf numFmtId="0" fontId="18" fillId="0" borderId="0" xfId="0" applyFont="1" applyAlignment="1">
      <alignment horizontal="left" vertical="top"/>
    </xf>
    <xf numFmtId="0" fontId="0" fillId="0" borderId="16" xfId="0" applyBorder="1"/>
    <xf numFmtId="0" fontId="18" fillId="0" borderId="16" xfId="0" applyFont="1" applyBorder="1"/>
    <xf numFmtId="0" fontId="18" fillId="0" borderId="14" xfId="0" applyFont="1" applyBorder="1"/>
    <xf numFmtId="0" fontId="18" fillId="0" borderId="0" xfId="0" applyFont="1" applyAlignment="1">
      <alignment horizontal="right" vertical="top"/>
    </xf>
    <xf numFmtId="0" fontId="0" fillId="0" borderId="17" xfId="0" applyBorder="1"/>
    <xf numFmtId="0" fontId="18" fillId="0" borderId="17" xfId="0" applyFont="1" applyBorder="1"/>
    <xf numFmtId="0" fontId="18" fillId="0" borderId="12" xfId="0" applyFont="1" applyBorder="1"/>
    <xf numFmtId="0" fontId="18" fillId="0" borderId="15" xfId="0" applyFont="1" applyBorder="1"/>
    <xf numFmtId="0" fontId="18" fillId="34" borderId="13" xfId="0" applyFont="1" applyFill="1" applyBorder="1" applyAlignment="1">
      <alignment horizontal="center" vertical="center"/>
    </xf>
    <xf numFmtId="0" fontId="0" fillId="35" borderId="10" xfId="0" applyFill="1" applyBorder="1"/>
    <xf numFmtId="0" fontId="18" fillId="0" borderId="18" xfId="0" applyFont="1" applyBorder="1" applyAlignment="1">
      <alignment vertical="center"/>
    </xf>
    <xf numFmtId="0" fontId="0" fillId="0" borderId="18" xfId="0" applyBorder="1"/>
    <xf numFmtId="164" fontId="0" fillId="0" borderId="0" xfId="0" applyNumberFormat="1"/>
    <xf numFmtId="164" fontId="0" fillId="0" borderId="13" xfId="0" applyNumberFormat="1" applyBorder="1"/>
    <xf numFmtId="0" fontId="18" fillId="36" borderId="14" xfId="0" applyFont="1" applyFill="1" applyBorder="1" applyAlignment="1">
      <alignment horizontal="center" vertical="center"/>
    </xf>
    <xf numFmtId="0" fontId="0" fillId="35" borderId="20" xfId="0" applyFill="1" applyBorder="1"/>
    <xf numFmtId="0" fontId="0" fillId="35" borderId="19" xfId="0" applyFill="1" applyBorder="1"/>
    <xf numFmtId="0" fontId="0" fillId="35" borderId="15" xfId="0" applyFill="1" applyBorder="1"/>
    <xf numFmtId="164" fontId="18" fillId="0" borderId="0" xfId="0" applyNumberFormat="1" applyFont="1"/>
    <xf numFmtId="164" fontId="0" fillId="0" borderId="16" xfId="0" applyNumberFormat="1" applyBorder="1"/>
    <xf numFmtId="164" fontId="0" fillId="0" borderId="17" xfId="0" applyNumberFormat="1" applyBorder="1"/>
    <xf numFmtId="2" fontId="0" fillId="0" borderId="0" xfId="0" applyNumberFormat="1"/>
    <xf numFmtId="11" fontId="0" fillId="0" borderId="0" xfId="0" applyNumberFormat="1"/>
    <xf numFmtId="0" fontId="0" fillId="33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18" fillId="34" borderId="10" xfId="0" applyFont="1" applyFill="1" applyBorder="1" applyAlignment="1">
      <alignment horizontal="center" vertical="center"/>
    </xf>
    <xf numFmtId="16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36236116180844"/>
          <c:y val="0.15378948678845974"/>
          <c:w val="0.83171001476377948"/>
          <c:h val="0.7993970713696312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'Paired analyses condensed'!$H$10:$H$17</c:f>
              <c:numCache>
                <c:formatCode>0.0000</c:formatCode>
                <c:ptCount val="8"/>
                <c:pt idx="0">
                  <c:v>15.7805800279452</c:v>
                </c:pt>
                <c:pt idx="1">
                  <c:v>16.289630996588595</c:v>
                </c:pt>
                <c:pt idx="2">
                  <c:v>16.119947340374132</c:v>
                </c:pt>
                <c:pt idx="3">
                  <c:v>170.70175815175133</c:v>
                </c:pt>
                <c:pt idx="4">
                  <c:v>162.89630996588596</c:v>
                </c:pt>
                <c:pt idx="5">
                  <c:v>159.16326952916771</c:v>
                </c:pt>
                <c:pt idx="6">
                  <c:v>1523.4198654934626</c:v>
                </c:pt>
                <c:pt idx="7">
                  <c:v>1596.7232049781112</c:v>
                </c:pt>
              </c:numCache>
            </c:numRef>
          </c:xVal>
          <c:yVal>
            <c:numRef>
              <c:f>'Paired analyses condensed'!$N$10:$N$17</c:f>
              <c:numCache>
                <c:formatCode>General</c:formatCode>
                <c:ptCount val="8"/>
                <c:pt idx="0">
                  <c:v>-12.975835023284134</c:v>
                </c:pt>
                <c:pt idx="1">
                  <c:v>-12.810170540691592</c:v>
                </c:pt>
                <c:pt idx="2">
                  <c:v>-12.508347312876674</c:v>
                </c:pt>
                <c:pt idx="3">
                  <c:v>-8.5408244082605957</c:v>
                </c:pt>
                <c:pt idx="4">
                  <c:v>-9.3897142330576226</c:v>
                </c:pt>
                <c:pt idx="5">
                  <c:v>-9.2208290464914722</c:v>
                </c:pt>
                <c:pt idx="6">
                  <c:v>-8.5845287895996272</c:v>
                </c:pt>
                <c:pt idx="7">
                  <c:v>-7.8835725107736989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A1-584F-832F-53C0ADFBF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10688"/>
        <c:axId val="332512688"/>
      </c:scatterChart>
      <c:valAx>
        <c:axId val="332510688"/>
        <c:scaling>
          <c:orientation val="minMax"/>
          <c:max val="3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Co(2+) concentration recovered (µM)</a:t>
                </a:r>
              </a:p>
            </c:rich>
          </c:tx>
          <c:layout>
            <c:manualLayout>
              <c:xMode val="edge"/>
              <c:yMode val="edge"/>
              <c:x val="0.21632515513375397"/>
              <c:y val="3.418972332015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high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2688"/>
        <c:crosses val="autoZero"/>
        <c:crossBetween val="midCat"/>
      </c:valAx>
      <c:valAx>
        <c:axId val="332512688"/>
        <c:scaling>
          <c:orientation val="minMax"/>
          <c:max val="-4"/>
          <c:min val="-1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18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[</a:t>
                </a:r>
                <a:r>
                  <a:rPr lang="en-US" sz="18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µmol Co(2+)/CFU]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068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213077</xdr:colOff>
      <xdr:row>37</xdr:row>
      <xdr:rowOff>114300</xdr:rowOff>
    </xdr:from>
    <xdr:to>
      <xdr:col>25</xdr:col>
      <xdr:colOff>703888</xdr:colOff>
      <xdr:row>41</xdr:row>
      <xdr:rowOff>76199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EA1C5F-457B-1547-BBAC-D67A4E12631D}"/>
            </a:ext>
          </a:extLst>
        </xdr:cNvPr>
        <xdr:cNvSpPr txBox="1"/>
      </xdr:nvSpPr>
      <xdr:spPr>
        <a:xfrm>
          <a:off x="23509239" y="7708643"/>
          <a:ext cx="7058891" cy="782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Figure S5B:</a:t>
          </a:r>
          <a:r>
            <a:rPr lang="en-US" sz="1100" baseline="0"/>
            <a:t> log(µmol </a:t>
          </a:r>
          <a:r>
            <a:rPr lang="en-US" sz="1100"/>
            <a:t>Co(2+) per CFU) normalized to total µM Co(2+) concentration recovered from</a:t>
          </a:r>
          <a:r>
            <a:rPr lang="en-US" sz="1100" baseline="0"/>
            <a:t> A-F treatment for dose-response experiments. Cobalt per cell values for concentration levels of 0µM, 2µM, and one outlier from 2000µM were removed since log transformation gave null values. Equation for logarithmic curve is 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y=1.043ln(x) - 15.238,</a:t>
          </a:r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R^2 value is 0.8651</a:t>
          </a:r>
          <a:endParaRPr lang="en-US" sz="1100"/>
        </a:p>
      </xdr:txBody>
    </xdr:sp>
    <xdr:clientData/>
  </xdr:twoCellAnchor>
  <xdr:twoCellAnchor>
    <xdr:from>
      <xdr:col>16</xdr:col>
      <xdr:colOff>410503</xdr:colOff>
      <xdr:row>1</xdr:row>
      <xdr:rowOff>102627</xdr:rowOff>
    </xdr:from>
    <xdr:to>
      <xdr:col>26</xdr:col>
      <xdr:colOff>283503</xdr:colOff>
      <xdr:row>36</xdr:row>
      <xdr:rowOff>140727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E5FB7-6623-A046-A03C-45109829F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62"/>
  <sheetViews>
    <sheetView workbookViewId="0">
      <selection activeCell="H3164" sqref="H3164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3" x14ac:dyDescent="0.2">
      <c r="B3" t="b">
        <v>0</v>
      </c>
      <c r="C3" t="s">
        <v>7</v>
      </c>
      <c r="D3" t="s">
        <v>8</v>
      </c>
      <c r="E3" t="s">
        <v>9</v>
      </c>
      <c r="G3" t="s">
        <v>10</v>
      </c>
    </row>
    <row r="4" spans="1:13" x14ac:dyDescent="0.2">
      <c r="B4" t="s">
        <v>11</v>
      </c>
    </row>
    <row r="5" spans="1:13" x14ac:dyDescent="0.2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 spans="1:13" x14ac:dyDescent="0.2">
      <c r="B6" t="s">
        <v>24</v>
      </c>
      <c r="C6">
        <v>59</v>
      </c>
      <c r="E6" t="s">
        <v>25</v>
      </c>
      <c r="F6">
        <v>222.87</v>
      </c>
      <c r="G6">
        <v>21.6</v>
      </c>
      <c r="I6" t="s">
        <v>26</v>
      </c>
      <c r="K6">
        <v>0.1</v>
      </c>
      <c r="L6">
        <v>7</v>
      </c>
    </row>
    <row r="7" spans="1:13" x14ac:dyDescent="0.2">
      <c r="C7" t="s">
        <v>27</v>
      </c>
    </row>
    <row r="8" spans="1:13" x14ac:dyDescent="0.2">
      <c r="C8" t="s">
        <v>28</v>
      </c>
      <c r="D8" t="s">
        <v>16</v>
      </c>
      <c r="E8" t="s">
        <v>29</v>
      </c>
      <c r="F8" t="s">
        <v>18</v>
      </c>
    </row>
    <row r="9" spans="1:13" x14ac:dyDescent="0.2">
      <c r="C9" t="b">
        <v>0</v>
      </c>
      <c r="D9">
        <v>250.01</v>
      </c>
      <c r="E9" t="s">
        <v>30</v>
      </c>
    </row>
    <row r="10" spans="1:13" x14ac:dyDescent="0.2">
      <c r="C10" t="b">
        <v>0</v>
      </c>
      <c r="D10">
        <v>180.01</v>
      </c>
      <c r="E10" t="s">
        <v>30</v>
      </c>
    </row>
    <row r="11" spans="1:13" x14ac:dyDescent="0.2">
      <c r="C11" t="b">
        <v>0</v>
      </c>
      <c r="D11">
        <v>160.01</v>
      </c>
      <c r="E11" t="s">
        <v>30</v>
      </c>
    </row>
    <row r="12" spans="1:13" x14ac:dyDescent="0.2">
      <c r="C12" t="b">
        <v>0</v>
      </c>
      <c r="D12">
        <v>210.01</v>
      </c>
      <c r="E12" t="s">
        <v>30</v>
      </c>
    </row>
    <row r="13" spans="1:13" x14ac:dyDescent="0.2">
      <c r="C13" t="b">
        <v>0</v>
      </c>
      <c r="D13">
        <v>270.01</v>
      </c>
      <c r="E13" t="s">
        <v>30</v>
      </c>
    </row>
    <row r="14" spans="1:13" x14ac:dyDescent="0.2">
      <c r="C14" t="b">
        <v>0</v>
      </c>
      <c r="D14">
        <v>290.01</v>
      </c>
      <c r="E14" t="s">
        <v>30</v>
      </c>
    </row>
    <row r="15" spans="1:13" x14ac:dyDescent="0.2">
      <c r="C15" t="b">
        <v>0</v>
      </c>
      <c r="D15">
        <v>200.01</v>
      </c>
      <c r="E15" t="s">
        <v>30</v>
      </c>
    </row>
    <row r="16" spans="1:13" x14ac:dyDescent="0.2">
      <c r="B16" t="s">
        <v>11</v>
      </c>
    </row>
    <row r="17" spans="2:13" x14ac:dyDescent="0.2"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 t="s">
        <v>23</v>
      </c>
    </row>
    <row r="18" spans="2:13" x14ac:dyDescent="0.2">
      <c r="B18" t="s">
        <v>31</v>
      </c>
      <c r="C18">
        <v>45</v>
      </c>
      <c r="E18" t="s">
        <v>25</v>
      </c>
      <c r="F18">
        <v>62.86</v>
      </c>
      <c r="G18">
        <v>60</v>
      </c>
      <c r="K18">
        <v>0.1</v>
      </c>
      <c r="L18">
        <v>7</v>
      </c>
    </row>
    <row r="19" spans="2:13" x14ac:dyDescent="0.2">
      <c r="C19" t="s">
        <v>27</v>
      </c>
    </row>
    <row r="20" spans="2:13" x14ac:dyDescent="0.2">
      <c r="C20" t="s">
        <v>28</v>
      </c>
      <c r="D20" t="s">
        <v>16</v>
      </c>
      <c r="E20" t="s">
        <v>29</v>
      </c>
      <c r="F20" t="s">
        <v>18</v>
      </c>
    </row>
    <row r="21" spans="2:13" x14ac:dyDescent="0.2">
      <c r="C21" t="b">
        <v>0</v>
      </c>
      <c r="D21">
        <v>130.01</v>
      </c>
      <c r="E21" t="s">
        <v>30</v>
      </c>
    </row>
    <row r="22" spans="2:13" x14ac:dyDescent="0.2">
      <c r="C22" t="b">
        <v>0</v>
      </c>
      <c r="D22">
        <v>20</v>
      </c>
      <c r="E22" t="s">
        <v>30</v>
      </c>
    </row>
    <row r="23" spans="2:13" x14ac:dyDescent="0.2">
      <c r="C23" t="b">
        <v>0</v>
      </c>
      <c r="D23">
        <v>30</v>
      </c>
      <c r="E23" t="s">
        <v>30</v>
      </c>
    </row>
    <row r="24" spans="2:13" x14ac:dyDescent="0.2">
      <c r="C24" t="b">
        <v>0</v>
      </c>
      <c r="D24">
        <v>70</v>
      </c>
      <c r="E24" t="s">
        <v>30</v>
      </c>
    </row>
    <row r="25" spans="2:13" x14ac:dyDescent="0.2">
      <c r="C25" t="b">
        <v>0</v>
      </c>
      <c r="D25">
        <v>50</v>
      </c>
      <c r="E25" t="s">
        <v>30</v>
      </c>
    </row>
    <row r="26" spans="2:13" x14ac:dyDescent="0.2">
      <c r="C26" t="b">
        <v>0</v>
      </c>
      <c r="D26">
        <v>90</v>
      </c>
      <c r="E26" t="s">
        <v>30</v>
      </c>
    </row>
    <row r="27" spans="2:13" x14ac:dyDescent="0.2">
      <c r="C27" t="b">
        <v>0</v>
      </c>
      <c r="D27">
        <v>50</v>
      </c>
      <c r="E27" t="s">
        <v>30</v>
      </c>
    </row>
    <row r="28" spans="2:13" x14ac:dyDescent="0.2">
      <c r="B28" t="s">
        <v>11</v>
      </c>
    </row>
    <row r="29" spans="2:13" x14ac:dyDescent="0.2"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 t="s">
        <v>23</v>
      </c>
    </row>
    <row r="30" spans="2:13" x14ac:dyDescent="0.2">
      <c r="B30" t="s">
        <v>32</v>
      </c>
      <c r="C30">
        <v>72</v>
      </c>
      <c r="E30" t="s">
        <v>25</v>
      </c>
      <c r="F30">
        <v>20</v>
      </c>
      <c r="G30">
        <v>64.5</v>
      </c>
      <c r="K30">
        <v>0.1</v>
      </c>
      <c r="L30">
        <v>7</v>
      </c>
    </row>
    <row r="31" spans="2:13" x14ac:dyDescent="0.2">
      <c r="C31" t="s">
        <v>27</v>
      </c>
    </row>
    <row r="32" spans="2:13" x14ac:dyDescent="0.2">
      <c r="C32" t="s">
        <v>28</v>
      </c>
      <c r="D32" t="s">
        <v>16</v>
      </c>
      <c r="E32" t="s">
        <v>29</v>
      </c>
      <c r="F32" t="s">
        <v>18</v>
      </c>
    </row>
    <row r="33" spans="2:13" x14ac:dyDescent="0.2">
      <c r="C33" t="b">
        <v>0</v>
      </c>
      <c r="D33">
        <v>40</v>
      </c>
      <c r="E33" t="s">
        <v>30</v>
      </c>
    </row>
    <row r="34" spans="2:13" x14ac:dyDescent="0.2">
      <c r="C34" t="b">
        <v>0</v>
      </c>
      <c r="D34">
        <v>10</v>
      </c>
      <c r="E34" t="s">
        <v>30</v>
      </c>
    </row>
    <row r="35" spans="2:13" x14ac:dyDescent="0.2">
      <c r="C35" t="b">
        <v>0</v>
      </c>
      <c r="D35">
        <v>30</v>
      </c>
      <c r="E35" t="s">
        <v>30</v>
      </c>
    </row>
    <row r="36" spans="2:13" x14ac:dyDescent="0.2">
      <c r="C36" t="b">
        <v>0</v>
      </c>
      <c r="D36">
        <v>10</v>
      </c>
      <c r="E36" t="s">
        <v>30</v>
      </c>
    </row>
    <row r="37" spans="2:13" x14ac:dyDescent="0.2">
      <c r="C37" t="b">
        <v>0</v>
      </c>
      <c r="D37">
        <v>30</v>
      </c>
      <c r="E37" t="s">
        <v>30</v>
      </c>
    </row>
    <row r="38" spans="2:13" x14ac:dyDescent="0.2">
      <c r="C38" t="b">
        <v>0</v>
      </c>
      <c r="D38">
        <v>10</v>
      </c>
      <c r="E38" t="s">
        <v>30</v>
      </c>
    </row>
    <row r="39" spans="2:13" x14ac:dyDescent="0.2">
      <c r="C39" t="b">
        <v>0</v>
      </c>
      <c r="D39">
        <v>10</v>
      </c>
      <c r="E39" t="s">
        <v>30</v>
      </c>
    </row>
    <row r="40" spans="2:13" x14ac:dyDescent="0.2">
      <c r="B40" t="s">
        <v>11</v>
      </c>
    </row>
    <row r="41" spans="2:13" x14ac:dyDescent="0.2"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 t="s">
        <v>23</v>
      </c>
    </row>
    <row r="42" spans="2:13" x14ac:dyDescent="0.2">
      <c r="B42" t="s">
        <v>33</v>
      </c>
      <c r="C42">
        <v>89</v>
      </c>
      <c r="E42" t="s">
        <v>25</v>
      </c>
      <c r="F42">
        <v>80</v>
      </c>
      <c r="G42">
        <v>42.7</v>
      </c>
      <c r="K42">
        <v>0.1</v>
      </c>
      <c r="L42">
        <v>7</v>
      </c>
    </row>
    <row r="43" spans="2:13" x14ac:dyDescent="0.2">
      <c r="C43" t="s">
        <v>27</v>
      </c>
    </row>
    <row r="44" spans="2:13" x14ac:dyDescent="0.2">
      <c r="C44" t="s">
        <v>28</v>
      </c>
      <c r="D44" t="s">
        <v>16</v>
      </c>
      <c r="E44" t="s">
        <v>29</v>
      </c>
      <c r="F44" t="s">
        <v>18</v>
      </c>
    </row>
    <row r="45" spans="2:13" x14ac:dyDescent="0.2">
      <c r="C45" t="b">
        <v>0</v>
      </c>
      <c r="D45">
        <v>110</v>
      </c>
      <c r="E45" t="s">
        <v>30</v>
      </c>
    </row>
    <row r="46" spans="2:13" x14ac:dyDescent="0.2">
      <c r="C46" t="b">
        <v>0</v>
      </c>
      <c r="D46">
        <v>80</v>
      </c>
      <c r="E46" t="s">
        <v>30</v>
      </c>
    </row>
    <row r="47" spans="2:13" x14ac:dyDescent="0.2">
      <c r="C47" t="b">
        <v>0</v>
      </c>
      <c r="D47">
        <v>60</v>
      </c>
      <c r="E47" t="s">
        <v>30</v>
      </c>
    </row>
    <row r="48" spans="2:13" x14ac:dyDescent="0.2">
      <c r="C48" t="b">
        <v>0</v>
      </c>
      <c r="D48">
        <v>40</v>
      </c>
      <c r="E48" t="s">
        <v>30</v>
      </c>
    </row>
    <row r="49" spans="1:13" x14ac:dyDescent="0.2">
      <c r="C49" t="b">
        <v>0</v>
      </c>
      <c r="D49">
        <v>70</v>
      </c>
      <c r="E49" t="s">
        <v>30</v>
      </c>
    </row>
    <row r="50" spans="1:13" x14ac:dyDescent="0.2">
      <c r="C50" t="b">
        <v>0</v>
      </c>
      <c r="D50">
        <v>140.01</v>
      </c>
      <c r="E50" t="s">
        <v>30</v>
      </c>
    </row>
    <row r="51" spans="1:13" x14ac:dyDescent="0.2">
      <c r="C51" t="b">
        <v>0</v>
      </c>
      <c r="D51">
        <v>60</v>
      </c>
      <c r="E51" t="s">
        <v>30</v>
      </c>
    </row>
    <row r="52" spans="1:13" x14ac:dyDescent="0.2">
      <c r="A52" t="s">
        <v>0</v>
      </c>
    </row>
    <row r="53" spans="1:13" x14ac:dyDescent="0.2"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</row>
    <row r="54" spans="1:13" x14ac:dyDescent="0.2">
      <c r="B54" t="b">
        <v>0</v>
      </c>
      <c r="C54" t="s">
        <v>34</v>
      </c>
      <c r="D54" t="s">
        <v>35</v>
      </c>
      <c r="E54" t="s">
        <v>9</v>
      </c>
      <c r="G54" t="s">
        <v>10</v>
      </c>
    </row>
    <row r="55" spans="1:13" x14ac:dyDescent="0.2">
      <c r="B55" t="s">
        <v>11</v>
      </c>
    </row>
    <row r="56" spans="1:13" x14ac:dyDescent="0.2"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 t="s">
        <v>22</v>
      </c>
      <c r="M56" t="s">
        <v>23</v>
      </c>
    </row>
    <row r="57" spans="1:13" x14ac:dyDescent="0.2">
      <c r="B57" t="s">
        <v>24</v>
      </c>
      <c r="C57">
        <v>59</v>
      </c>
      <c r="E57" t="s">
        <v>25</v>
      </c>
      <c r="F57">
        <v>84.29</v>
      </c>
      <c r="G57">
        <v>42.7</v>
      </c>
      <c r="I57" t="s">
        <v>26</v>
      </c>
      <c r="K57">
        <v>0.1</v>
      </c>
      <c r="L57">
        <v>7</v>
      </c>
    </row>
    <row r="58" spans="1:13" x14ac:dyDescent="0.2">
      <c r="C58" t="s">
        <v>27</v>
      </c>
    </row>
    <row r="59" spans="1:13" x14ac:dyDescent="0.2">
      <c r="C59" t="s">
        <v>28</v>
      </c>
      <c r="D59" t="s">
        <v>16</v>
      </c>
      <c r="E59" t="s">
        <v>29</v>
      </c>
      <c r="F59" t="s">
        <v>18</v>
      </c>
    </row>
    <row r="60" spans="1:13" x14ac:dyDescent="0.2">
      <c r="C60" t="b">
        <v>0</v>
      </c>
      <c r="D60">
        <v>100</v>
      </c>
      <c r="E60" t="s">
        <v>30</v>
      </c>
    </row>
    <row r="61" spans="1:13" x14ac:dyDescent="0.2">
      <c r="C61" t="b">
        <v>0</v>
      </c>
      <c r="D61">
        <v>50</v>
      </c>
      <c r="E61" t="s">
        <v>30</v>
      </c>
    </row>
    <row r="62" spans="1:13" x14ac:dyDescent="0.2">
      <c r="C62" t="b">
        <v>0</v>
      </c>
      <c r="D62">
        <v>150.01</v>
      </c>
      <c r="E62" t="s">
        <v>30</v>
      </c>
    </row>
    <row r="63" spans="1:13" x14ac:dyDescent="0.2">
      <c r="C63" t="b">
        <v>0</v>
      </c>
      <c r="D63">
        <v>50</v>
      </c>
      <c r="E63" t="s">
        <v>30</v>
      </c>
    </row>
    <row r="64" spans="1:13" x14ac:dyDescent="0.2">
      <c r="C64" t="b">
        <v>0</v>
      </c>
      <c r="D64">
        <v>100</v>
      </c>
      <c r="E64" t="s">
        <v>30</v>
      </c>
    </row>
    <row r="65" spans="2:13" x14ac:dyDescent="0.2">
      <c r="C65" t="b">
        <v>0</v>
      </c>
      <c r="D65">
        <v>60</v>
      </c>
      <c r="E65" t="s">
        <v>30</v>
      </c>
    </row>
    <row r="66" spans="2:13" x14ac:dyDescent="0.2">
      <c r="C66" t="b">
        <v>0</v>
      </c>
      <c r="D66">
        <v>80</v>
      </c>
      <c r="E66" t="s">
        <v>30</v>
      </c>
    </row>
    <row r="67" spans="2:13" x14ac:dyDescent="0.2">
      <c r="B67" t="s">
        <v>11</v>
      </c>
    </row>
    <row r="68" spans="2:13" x14ac:dyDescent="0.2"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 t="s">
        <v>23</v>
      </c>
    </row>
    <row r="69" spans="2:13" x14ac:dyDescent="0.2">
      <c r="B69" t="s">
        <v>31</v>
      </c>
      <c r="C69">
        <v>45</v>
      </c>
      <c r="E69" t="s">
        <v>25</v>
      </c>
      <c r="F69">
        <v>885.77</v>
      </c>
      <c r="G69">
        <v>13.5</v>
      </c>
      <c r="K69">
        <v>0.1</v>
      </c>
      <c r="L69">
        <v>7</v>
      </c>
    </row>
    <row r="70" spans="2:13" x14ac:dyDescent="0.2">
      <c r="C70" t="s">
        <v>27</v>
      </c>
    </row>
    <row r="71" spans="2:13" x14ac:dyDescent="0.2">
      <c r="C71" t="s">
        <v>28</v>
      </c>
      <c r="D71" t="s">
        <v>16</v>
      </c>
      <c r="E71" t="s">
        <v>29</v>
      </c>
      <c r="F71" t="s">
        <v>18</v>
      </c>
    </row>
    <row r="72" spans="2:13" x14ac:dyDescent="0.2">
      <c r="C72" t="b">
        <v>0</v>
      </c>
      <c r="D72">
        <v>700.04</v>
      </c>
      <c r="E72" t="s">
        <v>30</v>
      </c>
    </row>
    <row r="73" spans="2:13" x14ac:dyDescent="0.2">
      <c r="C73" t="b">
        <v>0</v>
      </c>
      <c r="D73">
        <v>1070.08</v>
      </c>
      <c r="E73" t="s">
        <v>30</v>
      </c>
    </row>
    <row r="74" spans="2:13" x14ac:dyDescent="0.2">
      <c r="C74" t="b">
        <v>0</v>
      </c>
      <c r="D74">
        <v>990.06</v>
      </c>
      <c r="E74" t="s">
        <v>30</v>
      </c>
    </row>
    <row r="75" spans="2:13" x14ac:dyDescent="0.2">
      <c r="C75" t="b">
        <v>0</v>
      </c>
      <c r="D75">
        <v>870.06</v>
      </c>
      <c r="E75" t="s">
        <v>30</v>
      </c>
    </row>
    <row r="76" spans="2:13" x14ac:dyDescent="0.2">
      <c r="C76" t="b">
        <v>0</v>
      </c>
      <c r="D76">
        <v>860.06</v>
      </c>
      <c r="E76" t="s">
        <v>30</v>
      </c>
    </row>
    <row r="77" spans="2:13" x14ac:dyDescent="0.2">
      <c r="C77" t="b">
        <v>0</v>
      </c>
      <c r="D77">
        <v>810.05</v>
      </c>
      <c r="E77" t="s">
        <v>30</v>
      </c>
    </row>
    <row r="78" spans="2:13" x14ac:dyDescent="0.2">
      <c r="C78" t="b">
        <v>0</v>
      </c>
      <c r="D78">
        <v>900.06</v>
      </c>
      <c r="E78" t="s">
        <v>30</v>
      </c>
    </row>
    <row r="79" spans="2:13" x14ac:dyDescent="0.2">
      <c r="B79" t="s">
        <v>11</v>
      </c>
    </row>
    <row r="80" spans="2:13" x14ac:dyDescent="0.2"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 t="s">
        <v>23</v>
      </c>
    </row>
    <row r="81" spans="2:13" x14ac:dyDescent="0.2">
      <c r="B81" t="s">
        <v>32</v>
      </c>
      <c r="C81">
        <v>72</v>
      </c>
      <c r="E81" t="s">
        <v>25</v>
      </c>
      <c r="F81">
        <v>775.77</v>
      </c>
      <c r="G81">
        <v>11.9</v>
      </c>
      <c r="K81">
        <v>0.1</v>
      </c>
      <c r="L81">
        <v>7</v>
      </c>
    </row>
    <row r="82" spans="2:13" x14ac:dyDescent="0.2">
      <c r="C82" t="s">
        <v>27</v>
      </c>
    </row>
    <row r="83" spans="2:13" x14ac:dyDescent="0.2">
      <c r="C83" t="s">
        <v>28</v>
      </c>
      <c r="D83" t="s">
        <v>16</v>
      </c>
      <c r="E83" t="s">
        <v>29</v>
      </c>
      <c r="F83" t="s">
        <v>18</v>
      </c>
    </row>
    <row r="84" spans="2:13" x14ac:dyDescent="0.2">
      <c r="C84" t="b">
        <v>0</v>
      </c>
      <c r="D84">
        <v>770.06</v>
      </c>
      <c r="E84" t="s">
        <v>30</v>
      </c>
    </row>
    <row r="85" spans="2:13" x14ac:dyDescent="0.2">
      <c r="C85" t="b">
        <v>0</v>
      </c>
      <c r="D85">
        <v>730.05</v>
      </c>
      <c r="E85" t="s">
        <v>30</v>
      </c>
    </row>
    <row r="86" spans="2:13" x14ac:dyDescent="0.2">
      <c r="C86" t="b">
        <v>0</v>
      </c>
      <c r="D86">
        <v>700.05</v>
      </c>
      <c r="E86" t="s">
        <v>30</v>
      </c>
    </row>
    <row r="87" spans="2:13" x14ac:dyDescent="0.2">
      <c r="C87" t="b">
        <v>0</v>
      </c>
      <c r="D87">
        <v>830.06</v>
      </c>
      <c r="E87" t="s">
        <v>30</v>
      </c>
    </row>
    <row r="88" spans="2:13" x14ac:dyDescent="0.2">
      <c r="C88" t="b">
        <v>0</v>
      </c>
      <c r="D88">
        <v>870.06</v>
      </c>
      <c r="E88" t="s">
        <v>30</v>
      </c>
    </row>
    <row r="89" spans="2:13" x14ac:dyDescent="0.2">
      <c r="C89" t="b">
        <v>0</v>
      </c>
      <c r="D89">
        <v>640.03</v>
      </c>
      <c r="E89" t="s">
        <v>30</v>
      </c>
    </row>
    <row r="90" spans="2:13" x14ac:dyDescent="0.2">
      <c r="C90" t="b">
        <v>0</v>
      </c>
      <c r="D90">
        <v>890.06</v>
      </c>
      <c r="E90" t="s">
        <v>30</v>
      </c>
    </row>
    <row r="91" spans="2:13" x14ac:dyDescent="0.2">
      <c r="B91" t="s">
        <v>11</v>
      </c>
    </row>
    <row r="92" spans="2:13" x14ac:dyDescent="0.2"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  <c r="M92" t="s">
        <v>23</v>
      </c>
    </row>
    <row r="93" spans="2:13" x14ac:dyDescent="0.2">
      <c r="B93" t="s">
        <v>33</v>
      </c>
      <c r="C93">
        <v>89</v>
      </c>
      <c r="E93" t="s">
        <v>25</v>
      </c>
      <c r="F93">
        <v>3954.99</v>
      </c>
      <c r="G93">
        <v>7.8</v>
      </c>
      <c r="K93">
        <v>0.1</v>
      </c>
      <c r="L93">
        <v>7</v>
      </c>
    </row>
    <row r="94" spans="2:13" x14ac:dyDescent="0.2">
      <c r="C94" t="s">
        <v>27</v>
      </c>
    </row>
    <row r="95" spans="2:13" x14ac:dyDescent="0.2">
      <c r="C95" t="s">
        <v>28</v>
      </c>
      <c r="D95" t="s">
        <v>16</v>
      </c>
      <c r="E95" t="s">
        <v>29</v>
      </c>
      <c r="F95" t="s">
        <v>18</v>
      </c>
    </row>
    <row r="96" spans="2:13" x14ac:dyDescent="0.2">
      <c r="C96" t="b">
        <v>0</v>
      </c>
      <c r="D96">
        <v>3790.65</v>
      </c>
      <c r="E96" t="s">
        <v>30</v>
      </c>
    </row>
    <row r="97" spans="1:13" x14ac:dyDescent="0.2">
      <c r="C97" t="b">
        <v>0</v>
      </c>
      <c r="D97">
        <v>3780.66</v>
      </c>
      <c r="E97" t="s">
        <v>30</v>
      </c>
    </row>
    <row r="98" spans="1:13" x14ac:dyDescent="0.2">
      <c r="C98" t="b">
        <v>0</v>
      </c>
      <c r="D98">
        <v>3660.61</v>
      </c>
      <c r="E98" t="s">
        <v>30</v>
      </c>
    </row>
    <row r="99" spans="1:13" x14ac:dyDescent="0.2">
      <c r="C99" t="b">
        <v>0</v>
      </c>
      <c r="D99">
        <v>3790.65</v>
      </c>
      <c r="E99" t="s">
        <v>30</v>
      </c>
    </row>
    <row r="100" spans="1:13" x14ac:dyDescent="0.2">
      <c r="C100" t="b">
        <v>0</v>
      </c>
      <c r="D100">
        <v>3910.67</v>
      </c>
      <c r="E100" t="s">
        <v>30</v>
      </c>
    </row>
    <row r="101" spans="1:13" x14ac:dyDescent="0.2">
      <c r="C101" t="b">
        <v>0</v>
      </c>
      <c r="D101">
        <v>4530.88</v>
      </c>
      <c r="E101" t="s">
        <v>30</v>
      </c>
    </row>
    <row r="102" spans="1:13" x14ac:dyDescent="0.2">
      <c r="C102" t="b">
        <v>0</v>
      </c>
      <c r="D102">
        <v>4220.8</v>
      </c>
      <c r="E102" t="s">
        <v>30</v>
      </c>
    </row>
    <row r="103" spans="1:13" x14ac:dyDescent="0.2">
      <c r="A103" t="s">
        <v>0</v>
      </c>
    </row>
    <row r="104" spans="1:13" x14ac:dyDescent="0.2"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</row>
    <row r="105" spans="1:13" x14ac:dyDescent="0.2">
      <c r="B105" t="b">
        <v>0</v>
      </c>
      <c r="C105" t="s">
        <v>36</v>
      </c>
      <c r="D105" t="s">
        <v>37</v>
      </c>
      <c r="E105" t="s">
        <v>9</v>
      </c>
      <c r="G105" t="s">
        <v>10</v>
      </c>
    </row>
    <row r="106" spans="1:13" x14ac:dyDescent="0.2">
      <c r="B106" t="s">
        <v>11</v>
      </c>
    </row>
    <row r="107" spans="1:13" x14ac:dyDescent="0.2"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  <c r="M107" t="s">
        <v>23</v>
      </c>
    </row>
    <row r="108" spans="1:13" x14ac:dyDescent="0.2">
      <c r="B108" t="s">
        <v>24</v>
      </c>
      <c r="C108">
        <v>59</v>
      </c>
      <c r="E108" t="s">
        <v>25</v>
      </c>
      <c r="F108">
        <v>87.14</v>
      </c>
      <c r="G108">
        <v>24.5</v>
      </c>
      <c r="I108" t="s">
        <v>26</v>
      </c>
      <c r="K108">
        <v>0.1</v>
      </c>
      <c r="L108">
        <v>7</v>
      </c>
    </row>
    <row r="109" spans="1:13" x14ac:dyDescent="0.2">
      <c r="C109" t="s">
        <v>27</v>
      </c>
    </row>
    <row r="110" spans="1:13" x14ac:dyDescent="0.2">
      <c r="C110" t="s">
        <v>28</v>
      </c>
      <c r="D110" t="s">
        <v>16</v>
      </c>
      <c r="E110" t="s">
        <v>29</v>
      </c>
      <c r="F110" t="s">
        <v>18</v>
      </c>
    </row>
    <row r="111" spans="1:13" x14ac:dyDescent="0.2">
      <c r="C111" t="b">
        <v>0</v>
      </c>
      <c r="D111">
        <v>70</v>
      </c>
      <c r="E111" t="s">
        <v>30</v>
      </c>
    </row>
    <row r="112" spans="1:13" x14ac:dyDescent="0.2">
      <c r="C112" t="b">
        <v>0</v>
      </c>
      <c r="D112">
        <v>100</v>
      </c>
      <c r="E112" t="s">
        <v>30</v>
      </c>
    </row>
    <row r="113" spans="2:13" x14ac:dyDescent="0.2">
      <c r="C113" t="b">
        <v>0</v>
      </c>
      <c r="D113">
        <v>100</v>
      </c>
      <c r="E113" t="s">
        <v>30</v>
      </c>
    </row>
    <row r="114" spans="2:13" x14ac:dyDescent="0.2">
      <c r="C114" t="b">
        <v>0</v>
      </c>
      <c r="D114">
        <v>120</v>
      </c>
      <c r="E114" t="s">
        <v>30</v>
      </c>
    </row>
    <row r="115" spans="2:13" x14ac:dyDescent="0.2">
      <c r="C115" t="b">
        <v>0</v>
      </c>
      <c r="D115">
        <v>90</v>
      </c>
      <c r="E115" t="s">
        <v>30</v>
      </c>
    </row>
    <row r="116" spans="2:13" x14ac:dyDescent="0.2">
      <c r="C116" t="b">
        <v>0</v>
      </c>
      <c r="D116">
        <v>60</v>
      </c>
      <c r="E116" t="s">
        <v>30</v>
      </c>
    </row>
    <row r="117" spans="2:13" x14ac:dyDescent="0.2">
      <c r="C117" t="b">
        <v>0</v>
      </c>
      <c r="D117">
        <v>70</v>
      </c>
      <c r="E117" t="s">
        <v>30</v>
      </c>
    </row>
    <row r="118" spans="2:13" x14ac:dyDescent="0.2">
      <c r="B118" t="s">
        <v>11</v>
      </c>
    </row>
    <row r="119" spans="2:13" x14ac:dyDescent="0.2"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 t="s">
        <v>22</v>
      </c>
      <c r="M119" t="s">
        <v>23</v>
      </c>
    </row>
    <row r="120" spans="2:13" x14ac:dyDescent="0.2">
      <c r="B120" t="s">
        <v>31</v>
      </c>
      <c r="C120">
        <v>45</v>
      </c>
      <c r="E120" t="s">
        <v>25</v>
      </c>
      <c r="F120">
        <v>974.36</v>
      </c>
      <c r="G120">
        <v>14.1</v>
      </c>
      <c r="K120">
        <v>0.1</v>
      </c>
      <c r="L120">
        <v>7</v>
      </c>
    </row>
    <row r="121" spans="2:13" x14ac:dyDescent="0.2">
      <c r="C121" t="s">
        <v>27</v>
      </c>
    </row>
    <row r="122" spans="2:13" x14ac:dyDescent="0.2">
      <c r="C122" t="s">
        <v>28</v>
      </c>
      <c r="D122" t="s">
        <v>16</v>
      </c>
      <c r="E122" t="s">
        <v>29</v>
      </c>
      <c r="F122" t="s">
        <v>18</v>
      </c>
    </row>
    <row r="123" spans="2:13" x14ac:dyDescent="0.2">
      <c r="C123" t="b">
        <v>0</v>
      </c>
      <c r="D123">
        <v>760.05</v>
      </c>
      <c r="E123" t="s">
        <v>30</v>
      </c>
    </row>
    <row r="124" spans="2:13" x14ac:dyDescent="0.2">
      <c r="C124" t="b">
        <v>0</v>
      </c>
      <c r="D124">
        <v>920.06</v>
      </c>
      <c r="E124" t="s">
        <v>30</v>
      </c>
    </row>
    <row r="125" spans="2:13" x14ac:dyDescent="0.2">
      <c r="C125" t="b">
        <v>0</v>
      </c>
      <c r="D125">
        <v>930.06</v>
      </c>
      <c r="E125" t="s">
        <v>30</v>
      </c>
    </row>
    <row r="126" spans="2:13" x14ac:dyDescent="0.2">
      <c r="C126" t="b">
        <v>0</v>
      </c>
      <c r="D126">
        <v>1190.0999999999999</v>
      </c>
      <c r="E126" t="s">
        <v>30</v>
      </c>
    </row>
    <row r="127" spans="2:13" x14ac:dyDescent="0.2">
      <c r="C127" t="b">
        <v>0</v>
      </c>
      <c r="D127">
        <v>960.07</v>
      </c>
      <c r="E127" t="s">
        <v>30</v>
      </c>
    </row>
    <row r="128" spans="2:13" x14ac:dyDescent="0.2">
      <c r="C128" t="b">
        <v>0</v>
      </c>
      <c r="D128">
        <v>960.07</v>
      </c>
      <c r="E128" t="s">
        <v>30</v>
      </c>
    </row>
    <row r="129" spans="2:13" x14ac:dyDescent="0.2">
      <c r="C129" t="b">
        <v>0</v>
      </c>
      <c r="D129">
        <v>1100.0899999999999</v>
      </c>
      <c r="E129" t="s">
        <v>30</v>
      </c>
    </row>
    <row r="130" spans="2:13" x14ac:dyDescent="0.2">
      <c r="B130" t="s">
        <v>11</v>
      </c>
    </row>
    <row r="131" spans="2:13" x14ac:dyDescent="0.2"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 t="s">
        <v>22</v>
      </c>
      <c r="M131" t="s">
        <v>23</v>
      </c>
    </row>
    <row r="132" spans="2:13" x14ac:dyDescent="0.2">
      <c r="B132" t="s">
        <v>32</v>
      </c>
      <c r="C132">
        <v>72</v>
      </c>
      <c r="E132" t="s">
        <v>25</v>
      </c>
      <c r="F132">
        <v>754.34</v>
      </c>
      <c r="G132">
        <v>13.1</v>
      </c>
      <c r="K132">
        <v>0.1</v>
      </c>
      <c r="L132">
        <v>7</v>
      </c>
    </row>
    <row r="133" spans="2:13" x14ac:dyDescent="0.2">
      <c r="C133" t="s">
        <v>27</v>
      </c>
    </row>
    <row r="134" spans="2:13" x14ac:dyDescent="0.2">
      <c r="C134" t="s">
        <v>28</v>
      </c>
      <c r="D134" t="s">
        <v>16</v>
      </c>
      <c r="E134" t="s">
        <v>29</v>
      </c>
      <c r="F134" t="s">
        <v>18</v>
      </c>
    </row>
    <row r="135" spans="2:13" x14ac:dyDescent="0.2">
      <c r="C135" t="b">
        <v>0</v>
      </c>
      <c r="D135">
        <v>610.04</v>
      </c>
      <c r="E135" t="s">
        <v>30</v>
      </c>
    </row>
    <row r="136" spans="2:13" x14ac:dyDescent="0.2">
      <c r="C136" t="b">
        <v>0</v>
      </c>
      <c r="D136">
        <v>650.04</v>
      </c>
      <c r="E136" t="s">
        <v>30</v>
      </c>
    </row>
    <row r="137" spans="2:13" x14ac:dyDescent="0.2">
      <c r="C137" t="b">
        <v>0</v>
      </c>
      <c r="D137">
        <v>850.06</v>
      </c>
      <c r="E137" t="s">
        <v>30</v>
      </c>
    </row>
    <row r="138" spans="2:13" x14ac:dyDescent="0.2">
      <c r="C138" t="b">
        <v>0</v>
      </c>
      <c r="D138">
        <v>800.05</v>
      </c>
      <c r="E138" t="s">
        <v>30</v>
      </c>
    </row>
    <row r="139" spans="2:13" x14ac:dyDescent="0.2">
      <c r="C139" t="b">
        <v>0</v>
      </c>
      <c r="D139">
        <v>740.05</v>
      </c>
      <c r="E139" t="s">
        <v>30</v>
      </c>
    </row>
    <row r="140" spans="2:13" x14ac:dyDescent="0.2">
      <c r="C140" t="b">
        <v>0</v>
      </c>
      <c r="D140">
        <v>750.05</v>
      </c>
      <c r="E140" t="s">
        <v>30</v>
      </c>
    </row>
    <row r="141" spans="2:13" x14ac:dyDescent="0.2">
      <c r="C141" t="b">
        <v>0</v>
      </c>
      <c r="D141">
        <v>880.06</v>
      </c>
      <c r="E141" t="s">
        <v>30</v>
      </c>
    </row>
    <row r="142" spans="2:13" x14ac:dyDescent="0.2">
      <c r="B142" t="s">
        <v>11</v>
      </c>
    </row>
    <row r="143" spans="2:13" x14ac:dyDescent="0.2"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20</v>
      </c>
      <c r="K143" t="s">
        <v>21</v>
      </c>
      <c r="L143" t="s">
        <v>22</v>
      </c>
      <c r="M143" t="s">
        <v>23</v>
      </c>
    </row>
    <row r="144" spans="2:13" x14ac:dyDescent="0.2">
      <c r="B144" t="s">
        <v>33</v>
      </c>
      <c r="C144">
        <v>89</v>
      </c>
      <c r="E144" t="s">
        <v>25</v>
      </c>
      <c r="F144">
        <v>3869.27</v>
      </c>
      <c r="G144">
        <v>6.5</v>
      </c>
      <c r="K144">
        <v>0.1</v>
      </c>
      <c r="L144">
        <v>7</v>
      </c>
    </row>
    <row r="145" spans="1:13" x14ac:dyDescent="0.2">
      <c r="C145" t="s">
        <v>27</v>
      </c>
    </row>
    <row r="146" spans="1:13" x14ac:dyDescent="0.2">
      <c r="C146" t="s">
        <v>28</v>
      </c>
      <c r="D146" t="s">
        <v>16</v>
      </c>
      <c r="E146" t="s">
        <v>29</v>
      </c>
      <c r="F146" t="s">
        <v>18</v>
      </c>
    </row>
    <row r="147" spans="1:13" x14ac:dyDescent="0.2">
      <c r="C147" t="b">
        <v>0</v>
      </c>
      <c r="D147">
        <v>3860.66</v>
      </c>
      <c r="E147" t="s">
        <v>30</v>
      </c>
    </row>
    <row r="148" spans="1:13" x14ac:dyDescent="0.2">
      <c r="C148" t="b">
        <v>0</v>
      </c>
      <c r="D148">
        <v>3650.6</v>
      </c>
      <c r="E148" t="s">
        <v>30</v>
      </c>
    </row>
    <row r="149" spans="1:13" x14ac:dyDescent="0.2">
      <c r="C149" t="b">
        <v>0</v>
      </c>
      <c r="D149">
        <v>4030.76</v>
      </c>
      <c r="E149" t="s">
        <v>30</v>
      </c>
    </row>
    <row r="150" spans="1:13" x14ac:dyDescent="0.2">
      <c r="C150" t="b">
        <v>0</v>
      </c>
      <c r="D150">
        <v>3790.65</v>
      </c>
      <c r="E150" t="s">
        <v>30</v>
      </c>
    </row>
    <row r="151" spans="1:13" x14ac:dyDescent="0.2">
      <c r="C151" t="b">
        <v>0</v>
      </c>
      <c r="D151">
        <v>3700.66</v>
      </c>
      <c r="E151" t="s">
        <v>30</v>
      </c>
    </row>
    <row r="152" spans="1:13" x14ac:dyDescent="0.2">
      <c r="C152" t="b">
        <v>0</v>
      </c>
      <c r="D152">
        <v>3690.66</v>
      </c>
      <c r="E152" t="s">
        <v>30</v>
      </c>
    </row>
    <row r="153" spans="1:13" x14ac:dyDescent="0.2">
      <c r="C153" t="b">
        <v>0</v>
      </c>
      <c r="D153">
        <v>4360.87</v>
      </c>
      <c r="E153" t="s">
        <v>30</v>
      </c>
    </row>
    <row r="154" spans="1:13" x14ac:dyDescent="0.2">
      <c r="A154" t="s">
        <v>0</v>
      </c>
    </row>
    <row r="155" spans="1:13" x14ac:dyDescent="0.2"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</row>
    <row r="156" spans="1:13" x14ac:dyDescent="0.2">
      <c r="B156" t="b">
        <v>0</v>
      </c>
      <c r="C156" t="s">
        <v>38</v>
      </c>
      <c r="D156" t="s">
        <v>39</v>
      </c>
      <c r="E156" t="s">
        <v>9</v>
      </c>
      <c r="G156" t="s">
        <v>10</v>
      </c>
    </row>
    <row r="157" spans="1:13" x14ac:dyDescent="0.2">
      <c r="B157" t="s">
        <v>11</v>
      </c>
    </row>
    <row r="158" spans="1:13" x14ac:dyDescent="0.2"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 t="s">
        <v>22</v>
      </c>
      <c r="M158" t="s">
        <v>23</v>
      </c>
    </row>
    <row r="159" spans="1:13" x14ac:dyDescent="0.2">
      <c r="B159" t="s">
        <v>24</v>
      </c>
      <c r="C159">
        <v>59</v>
      </c>
      <c r="E159" t="s">
        <v>25</v>
      </c>
      <c r="F159">
        <v>64.290000000000006</v>
      </c>
      <c r="G159">
        <v>42.9</v>
      </c>
      <c r="I159" t="s">
        <v>26</v>
      </c>
      <c r="K159">
        <v>0.1</v>
      </c>
      <c r="L159">
        <v>7</v>
      </c>
    </row>
    <row r="160" spans="1:13" x14ac:dyDescent="0.2">
      <c r="C160" t="s">
        <v>27</v>
      </c>
    </row>
    <row r="161" spans="2:13" x14ac:dyDescent="0.2">
      <c r="C161" t="s">
        <v>28</v>
      </c>
      <c r="D161" t="s">
        <v>16</v>
      </c>
      <c r="E161" t="s">
        <v>29</v>
      </c>
      <c r="F161" t="s">
        <v>18</v>
      </c>
    </row>
    <row r="162" spans="2:13" x14ac:dyDescent="0.2">
      <c r="C162" t="b">
        <v>0</v>
      </c>
      <c r="D162">
        <v>90</v>
      </c>
      <c r="E162" t="s">
        <v>30</v>
      </c>
    </row>
    <row r="163" spans="2:13" x14ac:dyDescent="0.2">
      <c r="C163" t="b">
        <v>0</v>
      </c>
      <c r="D163">
        <v>80</v>
      </c>
      <c r="E163" t="s">
        <v>30</v>
      </c>
    </row>
    <row r="164" spans="2:13" x14ac:dyDescent="0.2">
      <c r="C164" t="b">
        <v>0</v>
      </c>
      <c r="D164">
        <v>30</v>
      </c>
      <c r="E164" t="s">
        <v>30</v>
      </c>
    </row>
    <row r="165" spans="2:13" x14ac:dyDescent="0.2">
      <c r="C165" t="b">
        <v>0</v>
      </c>
      <c r="D165">
        <v>60</v>
      </c>
      <c r="E165" t="s">
        <v>30</v>
      </c>
    </row>
    <row r="166" spans="2:13" x14ac:dyDescent="0.2">
      <c r="C166" t="b">
        <v>0</v>
      </c>
      <c r="D166">
        <v>60</v>
      </c>
      <c r="E166" t="s">
        <v>30</v>
      </c>
    </row>
    <row r="167" spans="2:13" x14ac:dyDescent="0.2">
      <c r="C167" t="b">
        <v>0</v>
      </c>
      <c r="D167">
        <v>100</v>
      </c>
      <c r="E167" t="s">
        <v>30</v>
      </c>
    </row>
    <row r="168" spans="2:13" x14ac:dyDescent="0.2">
      <c r="C168" t="b">
        <v>0</v>
      </c>
      <c r="D168">
        <v>30</v>
      </c>
      <c r="E168" t="s">
        <v>30</v>
      </c>
    </row>
    <row r="169" spans="2:13" x14ac:dyDescent="0.2">
      <c r="B169" t="s">
        <v>11</v>
      </c>
    </row>
    <row r="170" spans="2:13" x14ac:dyDescent="0.2"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  <c r="J170" t="s">
        <v>20</v>
      </c>
      <c r="K170" t="s">
        <v>21</v>
      </c>
      <c r="L170" t="s">
        <v>22</v>
      </c>
      <c r="M170" t="s">
        <v>23</v>
      </c>
    </row>
    <row r="171" spans="2:13" x14ac:dyDescent="0.2">
      <c r="B171" t="s">
        <v>31</v>
      </c>
      <c r="C171">
        <v>45</v>
      </c>
      <c r="E171" t="s">
        <v>25</v>
      </c>
      <c r="F171">
        <v>621.46</v>
      </c>
      <c r="G171">
        <v>7.3</v>
      </c>
      <c r="K171">
        <v>0.1</v>
      </c>
      <c r="L171">
        <v>7</v>
      </c>
    </row>
    <row r="172" spans="2:13" x14ac:dyDescent="0.2">
      <c r="C172" t="s">
        <v>27</v>
      </c>
    </row>
    <row r="173" spans="2:13" x14ac:dyDescent="0.2">
      <c r="C173" t="s">
        <v>28</v>
      </c>
      <c r="D173" t="s">
        <v>16</v>
      </c>
      <c r="E173" t="s">
        <v>29</v>
      </c>
      <c r="F173" t="s">
        <v>18</v>
      </c>
    </row>
    <row r="174" spans="2:13" x14ac:dyDescent="0.2">
      <c r="C174" t="b">
        <v>0</v>
      </c>
      <c r="D174">
        <v>580.03</v>
      </c>
      <c r="E174" t="s">
        <v>30</v>
      </c>
    </row>
    <row r="175" spans="2:13" x14ac:dyDescent="0.2">
      <c r="C175" t="b">
        <v>0</v>
      </c>
      <c r="D175">
        <v>590.03</v>
      </c>
      <c r="E175" t="s">
        <v>30</v>
      </c>
    </row>
    <row r="176" spans="2:13" x14ac:dyDescent="0.2">
      <c r="C176" t="b">
        <v>0</v>
      </c>
      <c r="D176">
        <v>620.03</v>
      </c>
      <c r="E176" t="s">
        <v>30</v>
      </c>
    </row>
    <row r="177" spans="2:13" x14ac:dyDescent="0.2">
      <c r="C177" t="b">
        <v>0</v>
      </c>
      <c r="D177">
        <v>600.03</v>
      </c>
      <c r="E177" t="s">
        <v>30</v>
      </c>
    </row>
    <row r="178" spans="2:13" x14ac:dyDescent="0.2">
      <c r="C178" t="b">
        <v>0</v>
      </c>
      <c r="D178">
        <v>690.04</v>
      </c>
      <c r="E178" t="s">
        <v>30</v>
      </c>
    </row>
    <row r="179" spans="2:13" x14ac:dyDescent="0.2">
      <c r="C179" t="b">
        <v>0</v>
      </c>
      <c r="D179">
        <v>590.03</v>
      </c>
      <c r="E179" t="s">
        <v>30</v>
      </c>
    </row>
    <row r="180" spans="2:13" x14ac:dyDescent="0.2">
      <c r="C180" t="b">
        <v>0</v>
      </c>
      <c r="D180">
        <v>680.05</v>
      </c>
      <c r="E180" t="s">
        <v>30</v>
      </c>
    </row>
    <row r="181" spans="2:13" x14ac:dyDescent="0.2">
      <c r="B181" t="s">
        <v>11</v>
      </c>
    </row>
    <row r="182" spans="2:13" x14ac:dyDescent="0.2"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20</v>
      </c>
      <c r="K182" t="s">
        <v>21</v>
      </c>
      <c r="L182" t="s">
        <v>22</v>
      </c>
      <c r="M182" t="s">
        <v>23</v>
      </c>
    </row>
    <row r="183" spans="2:13" x14ac:dyDescent="0.2">
      <c r="B183" t="s">
        <v>32</v>
      </c>
      <c r="C183">
        <v>72</v>
      </c>
      <c r="E183" t="s">
        <v>25</v>
      </c>
      <c r="F183">
        <v>522.89</v>
      </c>
      <c r="G183">
        <v>10.5</v>
      </c>
      <c r="K183">
        <v>0.1</v>
      </c>
      <c r="L183">
        <v>7</v>
      </c>
    </row>
    <row r="184" spans="2:13" x14ac:dyDescent="0.2">
      <c r="C184" t="s">
        <v>27</v>
      </c>
    </row>
    <row r="185" spans="2:13" x14ac:dyDescent="0.2">
      <c r="C185" t="s">
        <v>28</v>
      </c>
      <c r="D185" t="s">
        <v>16</v>
      </c>
      <c r="E185" t="s">
        <v>29</v>
      </c>
      <c r="F185" t="s">
        <v>18</v>
      </c>
    </row>
    <row r="186" spans="2:13" x14ac:dyDescent="0.2">
      <c r="C186" t="b">
        <v>0</v>
      </c>
      <c r="D186">
        <v>610.03</v>
      </c>
      <c r="E186" t="s">
        <v>30</v>
      </c>
    </row>
    <row r="187" spans="2:13" x14ac:dyDescent="0.2">
      <c r="C187" t="b">
        <v>0</v>
      </c>
      <c r="D187">
        <v>540.03</v>
      </c>
      <c r="E187" t="s">
        <v>30</v>
      </c>
    </row>
    <row r="188" spans="2:13" x14ac:dyDescent="0.2">
      <c r="C188" t="b">
        <v>0</v>
      </c>
      <c r="D188">
        <v>430.02</v>
      </c>
      <c r="E188" t="s">
        <v>30</v>
      </c>
    </row>
    <row r="189" spans="2:13" x14ac:dyDescent="0.2">
      <c r="C189" t="b">
        <v>0</v>
      </c>
      <c r="D189">
        <v>540.03</v>
      </c>
      <c r="E189" t="s">
        <v>30</v>
      </c>
    </row>
    <row r="190" spans="2:13" x14ac:dyDescent="0.2">
      <c r="C190" t="b">
        <v>0</v>
      </c>
      <c r="D190">
        <v>490.03</v>
      </c>
      <c r="E190" t="s">
        <v>30</v>
      </c>
    </row>
    <row r="191" spans="2:13" x14ac:dyDescent="0.2">
      <c r="C191" t="b">
        <v>0</v>
      </c>
      <c r="D191">
        <v>530.03</v>
      </c>
      <c r="E191" t="s">
        <v>30</v>
      </c>
    </row>
    <row r="192" spans="2:13" x14ac:dyDescent="0.2">
      <c r="C192" t="b">
        <v>0</v>
      </c>
      <c r="D192">
        <v>520.03</v>
      </c>
      <c r="E192" t="s">
        <v>30</v>
      </c>
    </row>
    <row r="193" spans="1:13" x14ac:dyDescent="0.2">
      <c r="B193" t="s">
        <v>11</v>
      </c>
    </row>
    <row r="194" spans="1:13" x14ac:dyDescent="0.2"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20</v>
      </c>
      <c r="K194" t="s">
        <v>21</v>
      </c>
      <c r="L194" t="s">
        <v>22</v>
      </c>
      <c r="M194" t="s">
        <v>23</v>
      </c>
    </row>
    <row r="195" spans="1:13" x14ac:dyDescent="0.2">
      <c r="B195" t="s">
        <v>33</v>
      </c>
      <c r="C195">
        <v>89</v>
      </c>
      <c r="E195" t="s">
        <v>25</v>
      </c>
      <c r="F195">
        <v>2506.0300000000002</v>
      </c>
      <c r="G195">
        <v>8.9</v>
      </c>
      <c r="K195">
        <v>0.1</v>
      </c>
      <c r="L195">
        <v>7</v>
      </c>
    </row>
    <row r="196" spans="1:13" x14ac:dyDescent="0.2">
      <c r="C196" t="s">
        <v>27</v>
      </c>
    </row>
    <row r="197" spans="1:13" x14ac:dyDescent="0.2">
      <c r="C197" t="s">
        <v>28</v>
      </c>
      <c r="D197" t="s">
        <v>16</v>
      </c>
      <c r="E197" t="s">
        <v>29</v>
      </c>
      <c r="F197" t="s">
        <v>18</v>
      </c>
    </row>
    <row r="198" spans="1:13" x14ac:dyDescent="0.2">
      <c r="C198" t="b">
        <v>0</v>
      </c>
      <c r="D198">
        <v>2720.35</v>
      </c>
      <c r="E198" t="s">
        <v>30</v>
      </c>
    </row>
    <row r="199" spans="1:13" x14ac:dyDescent="0.2">
      <c r="C199" t="b">
        <v>0</v>
      </c>
      <c r="D199">
        <v>2130.2399999999998</v>
      </c>
      <c r="E199" t="s">
        <v>30</v>
      </c>
    </row>
    <row r="200" spans="1:13" x14ac:dyDescent="0.2">
      <c r="C200" t="b">
        <v>0</v>
      </c>
      <c r="D200">
        <v>2340.2800000000002</v>
      </c>
      <c r="E200" t="s">
        <v>30</v>
      </c>
    </row>
    <row r="201" spans="1:13" x14ac:dyDescent="0.2">
      <c r="C201" t="b">
        <v>0</v>
      </c>
      <c r="D201">
        <v>2400.31</v>
      </c>
      <c r="E201" t="s">
        <v>30</v>
      </c>
    </row>
    <row r="202" spans="1:13" x14ac:dyDescent="0.2">
      <c r="C202" t="b">
        <v>0</v>
      </c>
      <c r="D202">
        <v>2690.34</v>
      </c>
      <c r="E202" t="s">
        <v>30</v>
      </c>
    </row>
    <row r="203" spans="1:13" x14ac:dyDescent="0.2">
      <c r="C203" t="b">
        <v>0</v>
      </c>
      <c r="D203">
        <v>2570.3200000000002</v>
      </c>
      <c r="E203" t="s">
        <v>30</v>
      </c>
    </row>
    <row r="204" spans="1:13" x14ac:dyDescent="0.2">
      <c r="C204" t="b">
        <v>0</v>
      </c>
      <c r="D204">
        <v>2690.36</v>
      </c>
      <c r="E204" t="s">
        <v>30</v>
      </c>
    </row>
    <row r="205" spans="1:13" x14ac:dyDescent="0.2">
      <c r="A205" t="s">
        <v>0</v>
      </c>
    </row>
    <row r="206" spans="1:13" x14ac:dyDescent="0.2"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</row>
    <row r="207" spans="1:13" x14ac:dyDescent="0.2">
      <c r="B207" t="b">
        <v>0</v>
      </c>
      <c r="C207" t="s">
        <v>40</v>
      </c>
      <c r="D207" t="s">
        <v>41</v>
      </c>
      <c r="E207" t="s">
        <v>9</v>
      </c>
      <c r="G207" t="s">
        <v>10</v>
      </c>
    </row>
    <row r="208" spans="1:13" x14ac:dyDescent="0.2">
      <c r="B208" t="s">
        <v>11</v>
      </c>
    </row>
    <row r="209" spans="2:13" x14ac:dyDescent="0.2">
      <c r="B209" t="s">
        <v>12</v>
      </c>
      <c r="C209" t="s">
        <v>13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20</v>
      </c>
      <c r="K209" t="s">
        <v>21</v>
      </c>
      <c r="L209" t="s">
        <v>22</v>
      </c>
      <c r="M209" t="s">
        <v>23</v>
      </c>
    </row>
    <row r="210" spans="2:13" x14ac:dyDescent="0.2">
      <c r="B210" t="s">
        <v>24</v>
      </c>
      <c r="C210">
        <v>59</v>
      </c>
      <c r="E210" t="s">
        <v>25</v>
      </c>
      <c r="F210">
        <v>68.569999999999993</v>
      </c>
      <c r="G210">
        <v>25.9</v>
      </c>
      <c r="I210" t="s">
        <v>26</v>
      </c>
      <c r="K210">
        <v>0.1</v>
      </c>
      <c r="L210">
        <v>7</v>
      </c>
    </row>
    <row r="211" spans="2:13" x14ac:dyDescent="0.2">
      <c r="C211" t="s">
        <v>27</v>
      </c>
    </row>
    <row r="212" spans="2:13" x14ac:dyDescent="0.2">
      <c r="C212" t="s">
        <v>28</v>
      </c>
      <c r="D212" t="s">
        <v>16</v>
      </c>
      <c r="E212" t="s">
        <v>29</v>
      </c>
      <c r="F212" t="s">
        <v>18</v>
      </c>
    </row>
    <row r="213" spans="2:13" x14ac:dyDescent="0.2">
      <c r="C213" t="b">
        <v>0</v>
      </c>
      <c r="D213">
        <v>70</v>
      </c>
      <c r="E213" t="s">
        <v>30</v>
      </c>
    </row>
    <row r="214" spans="2:13" x14ac:dyDescent="0.2">
      <c r="C214" t="b">
        <v>0</v>
      </c>
      <c r="D214">
        <v>50</v>
      </c>
      <c r="E214" t="s">
        <v>30</v>
      </c>
    </row>
    <row r="215" spans="2:13" x14ac:dyDescent="0.2">
      <c r="C215" t="b">
        <v>0</v>
      </c>
      <c r="D215">
        <v>80</v>
      </c>
      <c r="E215" t="s">
        <v>30</v>
      </c>
    </row>
    <row r="216" spans="2:13" x14ac:dyDescent="0.2">
      <c r="C216" t="b">
        <v>0</v>
      </c>
      <c r="D216">
        <v>90</v>
      </c>
      <c r="E216" t="s">
        <v>30</v>
      </c>
    </row>
    <row r="217" spans="2:13" x14ac:dyDescent="0.2">
      <c r="C217" t="b">
        <v>0</v>
      </c>
      <c r="D217">
        <v>80</v>
      </c>
      <c r="E217" t="s">
        <v>30</v>
      </c>
    </row>
    <row r="218" spans="2:13" x14ac:dyDescent="0.2">
      <c r="C218" t="b">
        <v>0</v>
      </c>
      <c r="D218">
        <v>70</v>
      </c>
      <c r="E218" t="s">
        <v>30</v>
      </c>
    </row>
    <row r="219" spans="2:13" x14ac:dyDescent="0.2">
      <c r="C219" t="b">
        <v>0</v>
      </c>
      <c r="D219">
        <v>40</v>
      </c>
      <c r="E219" t="s">
        <v>30</v>
      </c>
    </row>
    <row r="220" spans="2:13" x14ac:dyDescent="0.2">
      <c r="B220" t="s">
        <v>11</v>
      </c>
    </row>
    <row r="221" spans="2:13" x14ac:dyDescent="0.2"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20</v>
      </c>
      <c r="K221" t="s">
        <v>21</v>
      </c>
      <c r="L221" t="s">
        <v>22</v>
      </c>
      <c r="M221" t="s">
        <v>23</v>
      </c>
    </row>
    <row r="222" spans="2:13" x14ac:dyDescent="0.2">
      <c r="B222" t="s">
        <v>31</v>
      </c>
      <c r="C222">
        <v>45</v>
      </c>
      <c r="E222" t="s">
        <v>25</v>
      </c>
      <c r="F222">
        <v>964.35</v>
      </c>
      <c r="G222">
        <v>8.6</v>
      </c>
      <c r="K222">
        <v>0.1</v>
      </c>
      <c r="L222">
        <v>7</v>
      </c>
    </row>
    <row r="223" spans="2:13" x14ac:dyDescent="0.2">
      <c r="C223" t="s">
        <v>27</v>
      </c>
    </row>
    <row r="224" spans="2:13" x14ac:dyDescent="0.2">
      <c r="C224" t="s">
        <v>28</v>
      </c>
      <c r="D224" t="s">
        <v>16</v>
      </c>
      <c r="E224" t="s">
        <v>29</v>
      </c>
      <c r="F224" t="s">
        <v>18</v>
      </c>
    </row>
    <row r="225" spans="2:13" x14ac:dyDescent="0.2">
      <c r="C225" t="b">
        <v>0</v>
      </c>
      <c r="D225">
        <v>940.06</v>
      </c>
      <c r="E225" t="s">
        <v>30</v>
      </c>
    </row>
    <row r="226" spans="2:13" x14ac:dyDescent="0.2">
      <c r="C226" t="b">
        <v>0</v>
      </c>
      <c r="D226">
        <v>1060.07</v>
      </c>
      <c r="E226" t="s">
        <v>30</v>
      </c>
    </row>
    <row r="227" spans="2:13" x14ac:dyDescent="0.2">
      <c r="C227" t="b">
        <v>0</v>
      </c>
      <c r="D227">
        <v>840.06</v>
      </c>
      <c r="E227" t="s">
        <v>30</v>
      </c>
    </row>
    <row r="228" spans="2:13" x14ac:dyDescent="0.2">
      <c r="C228" t="b">
        <v>0</v>
      </c>
      <c r="D228">
        <v>960.07</v>
      </c>
      <c r="E228" t="s">
        <v>30</v>
      </c>
    </row>
    <row r="229" spans="2:13" x14ac:dyDescent="0.2">
      <c r="C229" t="b">
        <v>0</v>
      </c>
      <c r="D229">
        <v>960.06</v>
      </c>
      <c r="E229" t="s">
        <v>30</v>
      </c>
    </row>
    <row r="230" spans="2:13" x14ac:dyDescent="0.2">
      <c r="C230" t="b">
        <v>0</v>
      </c>
      <c r="D230">
        <v>1080.0899999999999</v>
      </c>
      <c r="E230" t="s">
        <v>30</v>
      </c>
    </row>
    <row r="231" spans="2:13" x14ac:dyDescent="0.2">
      <c r="C231" t="b">
        <v>0</v>
      </c>
      <c r="D231">
        <v>910.06</v>
      </c>
      <c r="E231" t="s">
        <v>30</v>
      </c>
    </row>
    <row r="232" spans="2:13" x14ac:dyDescent="0.2">
      <c r="B232" t="s">
        <v>11</v>
      </c>
    </row>
    <row r="233" spans="2:13" x14ac:dyDescent="0.2"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20</v>
      </c>
      <c r="K233" t="s">
        <v>21</v>
      </c>
      <c r="L233" t="s">
        <v>22</v>
      </c>
      <c r="M233" t="s">
        <v>23</v>
      </c>
    </row>
    <row r="234" spans="2:13" x14ac:dyDescent="0.2">
      <c r="B234" t="s">
        <v>32</v>
      </c>
      <c r="C234">
        <v>72</v>
      </c>
      <c r="E234" t="s">
        <v>25</v>
      </c>
      <c r="F234">
        <v>682.9</v>
      </c>
      <c r="G234">
        <v>5.5</v>
      </c>
      <c r="K234">
        <v>0.1</v>
      </c>
      <c r="L234">
        <v>7</v>
      </c>
    </row>
    <row r="235" spans="2:13" x14ac:dyDescent="0.2">
      <c r="C235" t="s">
        <v>27</v>
      </c>
    </row>
    <row r="236" spans="2:13" x14ac:dyDescent="0.2">
      <c r="C236" t="s">
        <v>28</v>
      </c>
      <c r="D236" t="s">
        <v>16</v>
      </c>
      <c r="E236" t="s">
        <v>29</v>
      </c>
      <c r="F236" t="s">
        <v>18</v>
      </c>
    </row>
    <row r="237" spans="2:13" x14ac:dyDescent="0.2">
      <c r="C237" t="b">
        <v>0</v>
      </c>
      <c r="D237">
        <v>730.05</v>
      </c>
      <c r="E237" t="s">
        <v>30</v>
      </c>
    </row>
    <row r="238" spans="2:13" x14ac:dyDescent="0.2">
      <c r="C238" t="b">
        <v>0</v>
      </c>
      <c r="D238">
        <v>680.04</v>
      </c>
      <c r="E238" t="s">
        <v>30</v>
      </c>
    </row>
    <row r="239" spans="2:13" x14ac:dyDescent="0.2">
      <c r="C239" t="b">
        <v>0</v>
      </c>
      <c r="D239">
        <v>630.04</v>
      </c>
      <c r="E239" t="s">
        <v>30</v>
      </c>
    </row>
    <row r="240" spans="2:13" x14ac:dyDescent="0.2">
      <c r="C240" t="b">
        <v>0</v>
      </c>
      <c r="D240">
        <v>680.04</v>
      </c>
      <c r="E240" t="s">
        <v>30</v>
      </c>
    </row>
    <row r="241" spans="1:13" x14ac:dyDescent="0.2">
      <c r="C241" t="b">
        <v>0</v>
      </c>
      <c r="D241">
        <v>710.04</v>
      </c>
      <c r="E241" t="s">
        <v>30</v>
      </c>
    </row>
    <row r="242" spans="1:13" x14ac:dyDescent="0.2">
      <c r="C242" t="b">
        <v>0</v>
      </c>
      <c r="D242">
        <v>710.05</v>
      </c>
      <c r="E242" t="s">
        <v>30</v>
      </c>
    </row>
    <row r="243" spans="1:13" x14ac:dyDescent="0.2">
      <c r="C243" t="b">
        <v>0</v>
      </c>
      <c r="D243">
        <v>640.03</v>
      </c>
      <c r="E243" t="s">
        <v>30</v>
      </c>
    </row>
    <row r="244" spans="1:13" x14ac:dyDescent="0.2">
      <c r="B244" t="s">
        <v>11</v>
      </c>
    </row>
    <row r="245" spans="1:13" x14ac:dyDescent="0.2"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20</v>
      </c>
      <c r="K245" t="s">
        <v>21</v>
      </c>
      <c r="L245" t="s">
        <v>22</v>
      </c>
      <c r="M245" t="s">
        <v>23</v>
      </c>
    </row>
    <row r="246" spans="1:13" x14ac:dyDescent="0.2">
      <c r="B246" t="s">
        <v>33</v>
      </c>
      <c r="C246">
        <v>89</v>
      </c>
      <c r="E246" t="s">
        <v>25</v>
      </c>
      <c r="F246">
        <v>3963.57</v>
      </c>
      <c r="G246">
        <v>5.9</v>
      </c>
      <c r="K246">
        <v>0.1</v>
      </c>
      <c r="L246">
        <v>7</v>
      </c>
    </row>
    <row r="247" spans="1:13" x14ac:dyDescent="0.2">
      <c r="C247" t="s">
        <v>27</v>
      </c>
    </row>
    <row r="248" spans="1:13" x14ac:dyDescent="0.2">
      <c r="C248" t="s">
        <v>28</v>
      </c>
      <c r="D248" t="s">
        <v>16</v>
      </c>
      <c r="E248" t="s">
        <v>29</v>
      </c>
      <c r="F248" t="s">
        <v>18</v>
      </c>
    </row>
    <row r="249" spans="1:13" x14ac:dyDescent="0.2">
      <c r="C249" t="b">
        <v>0</v>
      </c>
      <c r="D249">
        <v>3950.72</v>
      </c>
      <c r="E249" t="s">
        <v>30</v>
      </c>
    </row>
    <row r="250" spans="1:13" x14ac:dyDescent="0.2">
      <c r="C250" t="b">
        <v>0</v>
      </c>
      <c r="D250">
        <v>3920.68</v>
      </c>
      <c r="E250" t="s">
        <v>30</v>
      </c>
    </row>
    <row r="251" spans="1:13" x14ac:dyDescent="0.2">
      <c r="C251" t="b">
        <v>0</v>
      </c>
      <c r="D251">
        <v>4120.76</v>
      </c>
      <c r="E251" t="s">
        <v>30</v>
      </c>
    </row>
    <row r="252" spans="1:13" x14ac:dyDescent="0.2">
      <c r="C252" t="b">
        <v>0</v>
      </c>
      <c r="D252">
        <v>3720.64</v>
      </c>
      <c r="E252" t="s">
        <v>30</v>
      </c>
    </row>
    <row r="253" spans="1:13" x14ac:dyDescent="0.2">
      <c r="C253" t="b">
        <v>0</v>
      </c>
      <c r="D253">
        <v>3670.58</v>
      </c>
      <c r="E253" t="s">
        <v>30</v>
      </c>
    </row>
    <row r="254" spans="1:13" x14ac:dyDescent="0.2">
      <c r="C254" t="b">
        <v>0</v>
      </c>
      <c r="D254">
        <v>4010.74</v>
      </c>
      <c r="E254" t="s">
        <v>30</v>
      </c>
    </row>
    <row r="255" spans="1:13" x14ac:dyDescent="0.2">
      <c r="C255" t="b">
        <v>0</v>
      </c>
      <c r="D255">
        <v>4350.8599999999997</v>
      </c>
      <c r="E255" t="s">
        <v>30</v>
      </c>
    </row>
    <row r="256" spans="1:13" x14ac:dyDescent="0.2">
      <c r="A256" t="s">
        <v>0</v>
      </c>
    </row>
    <row r="257" spans="2:13" x14ac:dyDescent="0.2"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</row>
    <row r="258" spans="2:13" x14ac:dyDescent="0.2">
      <c r="B258" t="b">
        <v>0</v>
      </c>
      <c r="C258" t="s">
        <v>42</v>
      </c>
      <c r="D258" t="s">
        <v>43</v>
      </c>
      <c r="E258" t="s">
        <v>44</v>
      </c>
      <c r="F258">
        <v>1</v>
      </c>
      <c r="G258" t="s">
        <v>45</v>
      </c>
    </row>
    <row r="259" spans="2:13" x14ac:dyDescent="0.2">
      <c r="B259" t="s">
        <v>11</v>
      </c>
    </row>
    <row r="260" spans="2:13" x14ac:dyDescent="0.2">
      <c r="B260" t="s">
        <v>12</v>
      </c>
      <c r="C260" t="s">
        <v>13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20</v>
      </c>
      <c r="K260" t="s">
        <v>21</v>
      </c>
      <c r="L260" t="s">
        <v>22</v>
      </c>
      <c r="M260" t="s">
        <v>23</v>
      </c>
    </row>
    <row r="261" spans="2:13" x14ac:dyDescent="0.2">
      <c r="B261" t="s">
        <v>24</v>
      </c>
      <c r="C261">
        <v>59</v>
      </c>
      <c r="E261" t="s">
        <v>25</v>
      </c>
      <c r="F261">
        <v>55.71</v>
      </c>
      <c r="G261">
        <v>41.3</v>
      </c>
      <c r="H261">
        <v>0</v>
      </c>
      <c r="I261" t="s">
        <v>26</v>
      </c>
      <c r="J261" t="s">
        <v>46</v>
      </c>
      <c r="K261">
        <v>0.1</v>
      </c>
      <c r="L261">
        <v>7</v>
      </c>
    </row>
    <row r="262" spans="2:13" x14ac:dyDescent="0.2">
      <c r="C262" t="s">
        <v>27</v>
      </c>
    </row>
    <row r="263" spans="2:13" x14ac:dyDescent="0.2">
      <c r="C263" t="s">
        <v>28</v>
      </c>
      <c r="D263" t="s">
        <v>16</v>
      </c>
      <c r="E263" t="s">
        <v>29</v>
      </c>
      <c r="F263" t="s">
        <v>18</v>
      </c>
    </row>
    <row r="264" spans="2:13" x14ac:dyDescent="0.2">
      <c r="C264" t="b">
        <v>0</v>
      </c>
      <c r="D264">
        <v>70</v>
      </c>
      <c r="E264" t="s">
        <v>30</v>
      </c>
      <c r="F264">
        <v>0</v>
      </c>
    </row>
    <row r="265" spans="2:13" x14ac:dyDescent="0.2">
      <c r="C265" t="b">
        <v>0</v>
      </c>
      <c r="D265">
        <v>20</v>
      </c>
      <c r="E265" t="s">
        <v>30</v>
      </c>
      <c r="F265">
        <v>0</v>
      </c>
    </row>
    <row r="266" spans="2:13" x14ac:dyDescent="0.2">
      <c r="C266" t="b">
        <v>0</v>
      </c>
      <c r="D266">
        <v>50</v>
      </c>
      <c r="E266" t="s">
        <v>30</v>
      </c>
      <c r="F266">
        <v>0</v>
      </c>
    </row>
    <row r="267" spans="2:13" x14ac:dyDescent="0.2">
      <c r="C267" t="b">
        <v>0</v>
      </c>
      <c r="D267">
        <v>30</v>
      </c>
      <c r="E267" t="s">
        <v>30</v>
      </c>
      <c r="F267">
        <v>0</v>
      </c>
    </row>
    <row r="268" spans="2:13" x14ac:dyDescent="0.2">
      <c r="C268" t="b">
        <v>0</v>
      </c>
      <c r="D268">
        <v>80</v>
      </c>
      <c r="E268" t="s">
        <v>30</v>
      </c>
      <c r="F268">
        <v>0</v>
      </c>
    </row>
    <row r="269" spans="2:13" x14ac:dyDescent="0.2">
      <c r="C269" t="b">
        <v>0</v>
      </c>
      <c r="D269">
        <v>70</v>
      </c>
      <c r="E269" t="s">
        <v>30</v>
      </c>
      <c r="F269">
        <v>0</v>
      </c>
    </row>
    <row r="270" spans="2:13" x14ac:dyDescent="0.2">
      <c r="C270" t="b">
        <v>0</v>
      </c>
      <c r="D270">
        <v>70</v>
      </c>
      <c r="E270" t="s">
        <v>30</v>
      </c>
      <c r="F270">
        <v>0</v>
      </c>
    </row>
    <row r="271" spans="2:13" x14ac:dyDescent="0.2">
      <c r="B271" t="s">
        <v>11</v>
      </c>
    </row>
    <row r="272" spans="2:13" x14ac:dyDescent="0.2"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19</v>
      </c>
      <c r="J272" t="s">
        <v>20</v>
      </c>
      <c r="K272" t="s">
        <v>21</v>
      </c>
      <c r="L272" t="s">
        <v>22</v>
      </c>
      <c r="M272" t="s">
        <v>23</v>
      </c>
    </row>
    <row r="273" spans="2:13" x14ac:dyDescent="0.2">
      <c r="B273" t="s">
        <v>31</v>
      </c>
      <c r="C273">
        <v>45</v>
      </c>
      <c r="E273" t="s">
        <v>25</v>
      </c>
      <c r="F273">
        <v>1032.93</v>
      </c>
      <c r="G273">
        <v>10.9</v>
      </c>
      <c r="K273">
        <v>0.1</v>
      </c>
      <c r="L273">
        <v>7</v>
      </c>
      <c r="M273">
        <v>100</v>
      </c>
    </row>
    <row r="274" spans="2:13" x14ac:dyDescent="0.2">
      <c r="C274" t="s">
        <v>27</v>
      </c>
    </row>
    <row r="275" spans="2:13" x14ac:dyDescent="0.2">
      <c r="C275" t="s">
        <v>28</v>
      </c>
      <c r="D275" t="s">
        <v>16</v>
      </c>
      <c r="E275" t="s">
        <v>29</v>
      </c>
      <c r="F275" t="s">
        <v>18</v>
      </c>
    </row>
    <row r="276" spans="2:13" x14ac:dyDescent="0.2">
      <c r="C276" t="b">
        <v>0</v>
      </c>
      <c r="D276">
        <v>910.05</v>
      </c>
      <c r="E276" t="s">
        <v>30</v>
      </c>
    </row>
    <row r="277" spans="2:13" x14ac:dyDescent="0.2">
      <c r="C277" t="b">
        <v>0</v>
      </c>
      <c r="D277">
        <v>1090.08</v>
      </c>
      <c r="E277" t="s">
        <v>30</v>
      </c>
    </row>
    <row r="278" spans="2:13" x14ac:dyDescent="0.2">
      <c r="C278" t="b">
        <v>0</v>
      </c>
      <c r="D278">
        <v>1090.08</v>
      </c>
      <c r="E278" t="s">
        <v>30</v>
      </c>
    </row>
    <row r="279" spans="2:13" x14ac:dyDescent="0.2">
      <c r="C279" t="b">
        <v>0</v>
      </c>
      <c r="D279">
        <v>940.06</v>
      </c>
      <c r="E279" t="s">
        <v>30</v>
      </c>
    </row>
    <row r="280" spans="2:13" x14ac:dyDescent="0.2">
      <c r="C280" t="b">
        <v>0</v>
      </c>
      <c r="D280">
        <v>1020.08</v>
      </c>
      <c r="E280" t="s">
        <v>30</v>
      </c>
    </row>
    <row r="281" spans="2:13" x14ac:dyDescent="0.2">
      <c r="C281" t="b">
        <v>0</v>
      </c>
      <c r="D281">
        <v>950.08</v>
      </c>
      <c r="E281" t="s">
        <v>30</v>
      </c>
    </row>
    <row r="282" spans="2:13" x14ac:dyDescent="0.2">
      <c r="C282" t="b">
        <v>0</v>
      </c>
      <c r="D282">
        <v>1230.0999999999999</v>
      </c>
      <c r="E282" t="s">
        <v>30</v>
      </c>
    </row>
    <row r="283" spans="2:13" x14ac:dyDescent="0.2">
      <c r="B283" t="s">
        <v>11</v>
      </c>
    </row>
    <row r="284" spans="2:13" x14ac:dyDescent="0.2">
      <c r="B284" t="s">
        <v>12</v>
      </c>
      <c r="C284" t="s">
        <v>13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20</v>
      </c>
      <c r="K284" t="s">
        <v>21</v>
      </c>
      <c r="L284" t="s">
        <v>22</v>
      </c>
      <c r="M284" t="s">
        <v>23</v>
      </c>
    </row>
    <row r="285" spans="2:13" x14ac:dyDescent="0.2">
      <c r="B285" t="s">
        <v>32</v>
      </c>
      <c r="C285">
        <v>72</v>
      </c>
      <c r="E285" t="s">
        <v>25</v>
      </c>
      <c r="F285">
        <v>745.76</v>
      </c>
      <c r="G285">
        <v>9.9</v>
      </c>
      <c r="K285">
        <v>0.1</v>
      </c>
      <c r="L285">
        <v>7</v>
      </c>
      <c r="M285">
        <v>100</v>
      </c>
    </row>
    <row r="286" spans="2:13" x14ac:dyDescent="0.2">
      <c r="C286" t="s">
        <v>27</v>
      </c>
    </row>
    <row r="287" spans="2:13" x14ac:dyDescent="0.2">
      <c r="C287" t="s">
        <v>28</v>
      </c>
      <c r="D287" t="s">
        <v>16</v>
      </c>
      <c r="E287" t="s">
        <v>29</v>
      </c>
      <c r="F287" t="s">
        <v>18</v>
      </c>
    </row>
    <row r="288" spans="2:13" x14ac:dyDescent="0.2">
      <c r="C288" t="b">
        <v>0</v>
      </c>
      <c r="D288">
        <v>680.04</v>
      </c>
      <c r="E288" t="s">
        <v>30</v>
      </c>
    </row>
    <row r="289" spans="2:13" x14ac:dyDescent="0.2">
      <c r="C289" t="b">
        <v>0</v>
      </c>
      <c r="D289">
        <v>700.05</v>
      </c>
      <c r="E289" t="s">
        <v>30</v>
      </c>
    </row>
    <row r="290" spans="2:13" x14ac:dyDescent="0.2">
      <c r="C290" t="b">
        <v>0</v>
      </c>
      <c r="D290">
        <v>700.05</v>
      </c>
      <c r="E290" t="s">
        <v>30</v>
      </c>
    </row>
    <row r="291" spans="2:13" x14ac:dyDescent="0.2">
      <c r="C291" t="b">
        <v>0</v>
      </c>
      <c r="D291">
        <v>820.06</v>
      </c>
      <c r="E291" t="s">
        <v>30</v>
      </c>
    </row>
    <row r="292" spans="2:13" x14ac:dyDescent="0.2">
      <c r="C292" t="b">
        <v>0</v>
      </c>
      <c r="D292">
        <v>760.05</v>
      </c>
      <c r="E292" t="s">
        <v>30</v>
      </c>
    </row>
    <row r="293" spans="2:13" x14ac:dyDescent="0.2">
      <c r="C293" t="b">
        <v>0</v>
      </c>
      <c r="D293">
        <v>690.04</v>
      </c>
      <c r="E293" t="s">
        <v>30</v>
      </c>
    </row>
    <row r="294" spans="2:13" x14ac:dyDescent="0.2">
      <c r="C294" t="b">
        <v>0</v>
      </c>
      <c r="D294">
        <v>870.06</v>
      </c>
      <c r="E294" t="s">
        <v>30</v>
      </c>
    </row>
    <row r="295" spans="2:13" x14ac:dyDescent="0.2">
      <c r="B295" t="s">
        <v>11</v>
      </c>
    </row>
    <row r="296" spans="2:13" x14ac:dyDescent="0.2">
      <c r="B296" t="s">
        <v>12</v>
      </c>
      <c r="C296" t="s">
        <v>13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20</v>
      </c>
      <c r="K296" t="s">
        <v>21</v>
      </c>
      <c r="L296" t="s">
        <v>22</v>
      </c>
      <c r="M296" t="s">
        <v>23</v>
      </c>
    </row>
    <row r="297" spans="2:13" x14ac:dyDescent="0.2">
      <c r="B297" t="s">
        <v>33</v>
      </c>
      <c r="C297">
        <v>89</v>
      </c>
      <c r="E297" t="s">
        <v>25</v>
      </c>
      <c r="F297">
        <v>3944.99</v>
      </c>
      <c r="G297">
        <v>7.3</v>
      </c>
      <c r="K297">
        <v>0.1</v>
      </c>
      <c r="L297">
        <v>7</v>
      </c>
      <c r="M297">
        <v>100</v>
      </c>
    </row>
    <row r="298" spans="2:13" x14ac:dyDescent="0.2">
      <c r="C298" t="s">
        <v>27</v>
      </c>
    </row>
    <row r="299" spans="2:13" x14ac:dyDescent="0.2">
      <c r="C299" t="s">
        <v>28</v>
      </c>
      <c r="D299" t="s">
        <v>16</v>
      </c>
      <c r="E299" t="s">
        <v>29</v>
      </c>
      <c r="F299" t="s">
        <v>18</v>
      </c>
    </row>
    <row r="300" spans="2:13" x14ac:dyDescent="0.2">
      <c r="C300" t="b">
        <v>0</v>
      </c>
      <c r="D300">
        <v>3460.57</v>
      </c>
      <c r="E300" t="s">
        <v>30</v>
      </c>
    </row>
    <row r="301" spans="2:13" x14ac:dyDescent="0.2">
      <c r="C301" t="b">
        <v>0</v>
      </c>
      <c r="D301">
        <v>4070.73</v>
      </c>
      <c r="E301" t="s">
        <v>30</v>
      </c>
    </row>
    <row r="302" spans="2:13" x14ac:dyDescent="0.2">
      <c r="C302" t="b">
        <v>0</v>
      </c>
      <c r="D302">
        <v>3910.66</v>
      </c>
      <c r="E302" t="s">
        <v>30</v>
      </c>
    </row>
    <row r="303" spans="2:13" x14ac:dyDescent="0.2">
      <c r="C303" t="b">
        <v>0</v>
      </c>
      <c r="D303">
        <v>3710.64</v>
      </c>
      <c r="E303" t="s">
        <v>30</v>
      </c>
    </row>
    <row r="304" spans="2:13" x14ac:dyDescent="0.2">
      <c r="C304" t="b">
        <v>0</v>
      </c>
      <c r="D304">
        <v>4130.78</v>
      </c>
      <c r="E304" t="s">
        <v>30</v>
      </c>
    </row>
    <row r="305" spans="1:13" x14ac:dyDescent="0.2">
      <c r="C305" t="b">
        <v>0</v>
      </c>
      <c r="D305">
        <v>3990.72</v>
      </c>
      <c r="E305" t="s">
        <v>30</v>
      </c>
    </row>
    <row r="306" spans="1:13" x14ac:dyDescent="0.2">
      <c r="C306" t="b">
        <v>0</v>
      </c>
      <c r="D306">
        <v>4340.83</v>
      </c>
      <c r="E306" t="s">
        <v>30</v>
      </c>
    </row>
    <row r="307" spans="1:13" x14ac:dyDescent="0.2">
      <c r="A307" t="s">
        <v>0</v>
      </c>
    </row>
    <row r="308" spans="1:13" x14ac:dyDescent="0.2"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</row>
    <row r="309" spans="1:13" x14ac:dyDescent="0.2">
      <c r="B309" t="b">
        <v>0</v>
      </c>
      <c r="C309" t="s">
        <v>47</v>
      </c>
      <c r="D309" t="s">
        <v>48</v>
      </c>
      <c r="E309" t="s">
        <v>49</v>
      </c>
      <c r="F309">
        <v>2</v>
      </c>
      <c r="G309" t="s">
        <v>50</v>
      </c>
    </row>
    <row r="310" spans="1:13" x14ac:dyDescent="0.2">
      <c r="B310" t="s">
        <v>11</v>
      </c>
    </row>
    <row r="311" spans="1:13" x14ac:dyDescent="0.2">
      <c r="B311" t="s">
        <v>12</v>
      </c>
      <c r="C311" t="s">
        <v>13</v>
      </c>
      <c r="D311" t="s">
        <v>14</v>
      </c>
      <c r="E311" t="s">
        <v>15</v>
      </c>
      <c r="F311" t="s">
        <v>16</v>
      </c>
      <c r="G311" t="s">
        <v>17</v>
      </c>
      <c r="H311" t="s">
        <v>18</v>
      </c>
      <c r="I311" t="s">
        <v>19</v>
      </c>
      <c r="J311" t="s">
        <v>20</v>
      </c>
      <c r="K311" t="s">
        <v>21</v>
      </c>
      <c r="L311" t="s">
        <v>22</v>
      </c>
      <c r="M311" t="s">
        <v>23</v>
      </c>
    </row>
    <row r="312" spans="1:13" x14ac:dyDescent="0.2">
      <c r="B312" t="s">
        <v>24</v>
      </c>
      <c r="C312">
        <v>59</v>
      </c>
      <c r="E312" t="s">
        <v>25</v>
      </c>
      <c r="F312">
        <v>2005.93</v>
      </c>
      <c r="G312">
        <v>6.8</v>
      </c>
      <c r="H312">
        <v>1E-3</v>
      </c>
      <c r="I312" t="s">
        <v>26</v>
      </c>
      <c r="J312">
        <v>7</v>
      </c>
      <c r="K312">
        <v>0.1</v>
      </c>
      <c r="L312">
        <v>7</v>
      </c>
    </row>
    <row r="313" spans="1:13" x14ac:dyDescent="0.2">
      <c r="C313" t="s">
        <v>27</v>
      </c>
    </row>
    <row r="314" spans="1:13" x14ac:dyDescent="0.2">
      <c r="C314" t="s">
        <v>28</v>
      </c>
      <c r="D314" t="s">
        <v>16</v>
      </c>
      <c r="E314" t="s">
        <v>29</v>
      </c>
      <c r="F314" t="s">
        <v>18</v>
      </c>
    </row>
    <row r="315" spans="1:13" x14ac:dyDescent="0.2">
      <c r="C315" t="b">
        <v>0</v>
      </c>
      <c r="D315">
        <v>1920.19</v>
      </c>
      <c r="E315" t="s">
        <v>30</v>
      </c>
      <c r="F315">
        <v>1E-3</v>
      </c>
    </row>
    <row r="316" spans="1:13" x14ac:dyDescent="0.2">
      <c r="C316" t="b">
        <v>0</v>
      </c>
      <c r="D316">
        <v>1830.17</v>
      </c>
      <c r="E316" t="s">
        <v>30</v>
      </c>
      <c r="F316">
        <v>1E-3</v>
      </c>
    </row>
    <row r="317" spans="1:13" x14ac:dyDescent="0.2">
      <c r="C317" t="b">
        <v>0</v>
      </c>
      <c r="D317">
        <v>2040.23</v>
      </c>
      <c r="E317" t="s">
        <v>30</v>
      </c>
      <c r="F317">
        <v>1E-3</v>
      </c>
    </row>
    <row r="318" spans="1:13" x14ac:dyDescent="0.2">
      <c r="C318" t="b">
        <v>0</v>
      </c>
      <c r="D318">
        <v>2270.2800000000002</v>
      </c>
      <c r="E318" t="s">
        <v>30</v>
      </c>
      <c r="F318">
        <v>1E-3</v>
      </c>
    </row>
    <row r="319" spans="1:13" x14ac:dyDescent="0.2">
      <c r="C319" t="b">
        <v>0</v>
      </c>
      <c r="D319">
        <v>2030.2</v>
      </c>
      <c r="E319" t="s">
        <v>30</v>
      </c>
      <c r="F319">
        <v>1E-3</v>
      </c>
    </row>
    <row r="320" spans="1:13" x14ac:dyDescent="0.2">
      <c r="C320" t="b">
        <v>0</v>
      </c>
      <c r="D320">
        <v>1950.21</v>
      </c>
      <c r="E320" t="s">
        <v>30</v>
      </c>
      <c r="F320">
        <v>1E-3</v>
      </c>
    </row>
    <row r="321" spans="2:13" x14ac:dyDescent="0.2">
      <c r="C321" t="b">
        <v>0</v>
      </c>
      <c r="D321">
        <v>2000.22</v>
      </c>
      <c r="E321" t="s">
        <v>30</v>
      </c>
      <c r="F321">
        <v>1E-3</v>
      </c>
    </row>
    <row r="322" spans="2:13" x14ac:dyDescent="0.2">
      <c r="B322" t="s">
        <v>11</v>
      </c>
    </row>
    <row r="323" spans="2:13" x14ac:dyDescent="0.2">
      <c r="B323" t="s">
        <v>12</v>
      </c>
      <c r="C323" t="s">
        <v>13</v>
      </c>
      <c r="D323" t="s">
        <v>14</v>
      </c>
      <c r="E323" t="s">
        <v>15</v>
      </c>
      <c r="F323" t="s">
        <v>16</v>
      </c>
      <c r="G323" t="s">
        <v>17</v>
      </c>
      <c r="H323" t="s">
        <v>18</v>
      </c>
      <c r="I323" t="s">
        <v>19</v>
      </c>
      <c r="J323" t="s">
        <v>20</v>
      </c>
      <c r="K323" t="s">
        <v>21</v>
      </c>
      <c r="L323" t="s">
        <v>22</v>
      </c>
      <c r="M323" t="s">
        <v>23</v>
      </c>
    </row>
    <row r="324" spans="2:13" x14ac:dyDescent="0.2">
      <c r="B324" t="s">
        <v>31</v>
      </c>
      <c r="C324">
        <v>45</v>
      </c>
      <c r="E324" t="s">
        <v>25</v>
      </c>
      <c r="F324">
        <v>960.07</v>
      </c>
      <c r="G324">
        <v>7</v>
      </c>
      <c r="K324">
        <v>0.1</v>
      </c>
      <c r="L324">
        <v>7</v>
      </c>
      <c r="M324">
        <v>92.9</v>
      </c>
    </row>
    <row r="325" spans="2:13" x14ac:dyDescent="0.2">
      <c r="C325" t="s">
        <v>27</v>
      </c>
    </row>
    <row r="326" spans="2:13" x14ac:dyDescent="0.2">
      <c r="C326" t="s">
        <v>28</v>
      </c>
      <c r="D326" t="s">
        <v>16</v>
      </c>
      <c r="E326" t="s">
        <v>29</v>
      </c>
      <c r="F326" t="s">
        <v>18</v>
      </c>
    </row>
    <row r="327" spans="2:13" x14ac:dyDescent="0.2">
      <c r="C327" t="b">
        <v>0</v>
      </c>
      <c r="D327">
        <v>1050.08</v>
      </c>
      <c r="E327" t="s">
        <v>30</v>
      </c>
    </row>
    <row r="328" spans="2:13" x14ac:dyDescent="0.2">
      <c r="C328" t="b">
        <v>0</v>
      </c>
      <c r="D328">
        <v>910.06</v>
      </c>
      <c r="E328" t="s">
        <v>30</v>
      </c>
    </row>
    <row r="329" spans="2:13" x14ac:dyDescent="0.2">
      <c r="C329" t="b">
        <v>0</v>
      </c>
      <c r="D329">
        <v>970.06</v>
      </c>
      <c r="E329" t="s">
        <v>30</v>
      </c>
    </row>
    <row r="330" spans="2:13" x14ac:dyDescent="0.2">
      <c r="C330" t="b">
        <v>0</v>
      </c>
      <c r="D330">
        <v>890.06</v>
      </c>
      <c r="E330" t="s">
        <v>30</v>
      </c>
    </row>
    <row r="331" spans="2:13" x14ac:dyDescent="0.2">
      <c r="C331" t="b">
        <v>0</v>
      </c>
      <c r="D331">
        <v>1050.08</v>
      </c>
      <c r="E331" t="s">
        <v>30</v>
      </c>
    </row>
    <row r="332" spans="2:13" x14ac:dyDescent="0.2">
      <c r="C332" t="b">
        <v>0</v>
      </c>
      <c r="D332">
        <v>900.06</v>
      </c>
      <c r="E332" t="s">
        <v>30</v>
      </c>
    </row>
    <row r="333" spans="2:13" x14ac:dyDescent="0.2">
      <c r="C333" t="b">
        <v>0</v>
      </c>
      <c r="D333">
        <v>950.07</v>
      </c>
      <c r="E333" t="s">
        <v>30</v>
      </c>
    </row>
    <row r="334" spans="2:13" x14ac:dyDescent="0.2">
      <c r="B334" t="s">
        <v>11</v>
      </c>
    </row>
    <row r="335" spans="2:13" x14ac:dyDescent="0.2">
      <c r="B335" t="s">
        <v>12</v>
      </c>
      <c r="C335" t="s">
        <v>13</v>
      </c>
      <c r="D335" t="s">
        <v>14</v>
      </c>
      <c r="E335" t="s">
        <v>15</v>
      </c>
      <c r="F335" t="s">
        <v>16</v>
      </c>
      <c r="G335" t="s">
        <v>17</v>
      </c>
      <c r="H335" t="s">
        <v>18</v>
      </c>
      <c r="I335" t="s">
        <v>19</v>
      </c>
      <c r="J335" t="s">
        <v>20</v>
      </c>
      <c r="K335" t="s">
        <v>21</v>
      </c>
      <c r="L335" t="s">
        <v>22</v>
      </c>
      <c r="M335" t="s">
        <v>23</v>
      </c>
    </row>
    <row r="336" spans="2:13" x14ac:dyDescent="0.2">
      <c r="B336" t="s">
        <v>32</v>
      </c>
      <c r="C336">
        <v>72</v>
      </c>
      <c r="E336" t="s">
        <v>25</v>
      </c>
      <c r="F336">
        <v>714.33</v>
      </c>
      <c r="G336">
        <v>14.3</v>
      </c>
      <c r="K336">
        <v>0.1</v>
      </c>
      <c r="L336">
        <v>7</v>
      </c>
      <c r="M336">
        <v>95.8</v>
      </c>
    </row>
    <row r="337" spans="2:13" x14ac:dyDescent="0.2">
      <c r="C337" t="s">
        <v>27</v>
      </c>
    </row>
    <row r="338" spans="2:13" x14ac:dyDescent="0.2">
      <c r="C338" t="s">
        <v>28</v>
      </c>
      <c r="D338" t="s">
        <v>16</v>
      </c>
      <c r="E338" t="s">
        <v>29</v>
      </c>
      <c r="F338" t="s">
        <v>18</v>
      </c>
    </row>
    <row r="339" spans="2:13" x14ac:dyDescent="0.2">
      <c r="C339" t="b">
        <v>0</v>
      </c>
      <c r="D339">
        <v>650.04</v>
      </c>
      <c r="E339" t="s">
        <v>30</v>
      </c>
    </row>
    <row r="340" spans="2:13" x14ac:dyDescent="0.2">
      <c r="C340" t="b">
        <v>0</v>
      </c>
      <c r="D340">
        <v>750.05</v>
      </c>
      <c r="E340" t="s">
        <v>30</v>
      </c>
    </row>
    <row r="341" spans="2:13" x14ac:dyDescent="0.2">
      <c r="C341" t="b">
        <v>0</v>
      </c>
      <c r="D341">
        <v>810.05</v>
      </c>
      <c r="E341" t="s">
        <v>30</v>
      </c>
    </row>
    <row r="342" spans="2:13" x14ac:dyDescent="0.2">
      <c r="C342" t="b">
        <v>0</v>
      </c>
      <c r="D342">
        <v>790.05</v>
      </c>
      <c r="E342" t="s">
        <v>30</v>
      </c>
    </row>
    <row r="343" spans="2:13" x14ac:dyDescent="0.2">
      <c r="C343" t="b">
        <v>0</v>
      </c>
      <c r="D343">
        <v>580.03</v>
      </c>
      <c r="E343" t="s">
        <v>30</v>
      </c>
    </row>
    <row r="344" spans="2:13" x14ac:dyDescent="0.2">
      <c r="C344" t="b">
        <v>0</v>
      </c>
      <c r="D344">
        <v>600.03</v>
      </c>
      <c r="E344" t="s">
        <v>30</v>
      </c>
    </row>
    <row r="345" spans="2:13" x14ac:dyDescent="0.2">
      <c r="C345" t="b">
        <v>0</v>
      </c>
      <c r="D345">
        <v>820.05</v>
      </c>
      <c r="E345" t="s">
        <v>30</v>
      </c>
    </row>
    <row r="346" spans="2:13" x14ac:dyDescent="0.2">
      <c r="B346" t="s">
        <v>11</v>
      </c>
    </row>
    <row r="347" spans="2:13" x14ac:dyDescent="0.2">
      <c r="B347" t="s">
        <v>12</v>
      </c>
      <c r="C347" t="s">
        <v>13</v>
      </c>
      <c r="D347" t="s">
        <v>14</v>
      </c>
      <c r="E347" t="s">
        <v>15</v>
      </c>
      <c r="F347" t="s">
        <v>16</v>
      </c>
      <c r="G347" t="s">
        <v>17</v>
      </c>
      <c r="H347" t="s">
        <v>18</v>
      </c>
      <c r="I347" t="s">
        <v>19</v>
      </c>
      <c r="J347" t="s">
        <v>20</v>
      </c>
      <c r="K347" t="s">
        <v>21</v>
      </c>
      <c r="L347" t="s">
        <v>22</v>
      </c>
      <c r="M347" t="s">
        <v>23</v>
      </c>
    </row>
    <row r="348" spans="2:13" x14ac:dyDescent="0.2">
      <c r="B348" t="s">
        <v>33</v>
      </c>
      <c r="C348">
        <v>89</v>
      </c>
      <c r="E348" t="s">
        <v>25</v>
      </c>
      <c r="F348">
        <v>3817.82</v>
      </c>
      <c r="G348">
        <v>5.7</v>
      </c>
      <c r="K348">
        <v>0.1</v>
      </c>
      <c r="L348">
        <v>7</v>
      </c>
      <c r="M348">
        <v>96.8</v>
      </c>
    </row>
    <row r="349" spans="2:13" x14ac:dyDescent="0.2">
      <c r="C349" t="s">
        <v>27</v>
      </c>
    </row>
    <row r="350" spans="2:13" x14ac:dyDescent="0.2">
      <c r="C350" t="s">
        <v>28</v>
      </c>
      <c r="D350" t="s">
        <v>16</v>
      </c>
      <c r="E350" t="s">
        <v>29</v>
      </c>
      <c r="F350" t="s">
        <v>18</v>
      </c>
    </row>
    <row r="351" spans="2:13" x14ac:dyDescent="0.2">
      <c r="C351" t="b">
        <v>0</v>
      </c>
      <c r="D351">
        <v>3740.71</v>
      </c>
      <c r="E351" t="s">
        <v>30</v>
      </c>
    </row>
    <row r="352" spans="2:13" x14ac:dyDescent="0.2">
      <c r="C352" t="b">
        <v>0</v>
      </c>
      <c r="D352">
        <v>3380.52</v>
      </c>
      <c r="E352" t="s">
        <v>30</v>
      </c>
    </row>
    <row r="353" spans="1:13" x14ac:dyDescent="0.2">
      <c r="C353" t="b">
        <v>0</v>
      </c>
      <c r="D353">
        <v>4000.76</v>
      </c>
      <c r="E353" t="s">
        <v>30</v>
      </c>
    </row>
    <row r="354" spans="1:13" x14ac:dyDescent="0.2">
      <c r="C354" t="b">
        <v>0</v>
      </c>
      <c r="D354">
        <v>3980.69</v>
      </c>
      <c r="E354" t="s">
        <v>30</v>
      </c>
    </row>
    <row r="355" spans="1:13" x14ac:dyDescent="0.2">
      <c r="C355" t="b">
        <v>0</v>
      </c>
      <c r="D355">
        <v>3940.69</v>
      </c>
      <c r="E355" t="s">
        <v>30</v>
      </c>
    </row>
    <row r="356" spans="1:13" x14ac:dyDescent="0.2">
      <c r="C356" t="b">
        <v>0</v>
      </c>
      <c r="D356">
        <v>3910.68</v>
      </c>
      <c r="E356" t="s">
        <v>30</v>
      </c>
    </row>
    <row r="357" spans="1:13" x14ac:dyDescent="0.2">
      <c r="C357" t="b">
        <v>0</v>
      </c>
      <c r="D357">
        <v>3770.67</v>
      </c>
      <c r="E357" t="s">
        <v>30</v>
      </c>
    </row>
    <row r="358" spans="1:13" x14ac:dyDescent="0.2">
      <c r="A358" t="s">
        <v>0</v>
      </c>
    </row>
    <row r="359" spans="1:13" x14ac:dyDescent="0.2"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</row>
    <row r="360" spans="1:13" x14ac:dyDescent="0.2">
      <c r="B360" t="b">
        <v>0</v>
      </c>
      <c r="C360" t="s">
        <v>51</v>
      </c>
      <c r="D360" t="s">
        <v>52</v>
      </c>
      <c r="E360" t="s">
        <v>49</v>
      </c>
      <c r="F360">
        <v>3</v>
      </c>
      <c r="G360" t="s">
        <v>53</v>
      </c>
    </row>
    <row r="361" spans="1:13" x14ac:dyDescent="0.2">
      <c r="B361" t="s">
        <v>11</v>
      </c>
    </row>
    <row r="362" spans="1:13" x14ac:dyDescent="0.2"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">
        <v>17</v>
      </c>
      <c r="H362" t="s">
        <v>18</v>
      </c>
      <c r="I362" t="s">
        <v>19</v>
      </c>
      <c r="J362" t="s">
        <v>20</v>
      </c>
      <c r="K362" t="s">
        <v>21</v>
      </c>
      <c r="L362" t="s">
        <v>22</v>
      </c>
      <c r="M362" t="s">
        <v>23</v>
      </c>
    </row>
    <row r="363" spans="1:13" x14ac:dyDescent="0.2">
      <c r="B363" t="s">
        <v>24</v>
      </c>
      <c r="C363">
        <v>59</v>
      </c>
      <c r="E363" t="s">
        <v>25</v>
      </c>
      <c r="F363">
        <v>20668.57</v>
      </c>
      <c r="G363">
        <v>2.1</v>
      </c>
      <c r="H363">
        <v>8.9999999999999993E-3</v>
      </c>
      <c r="I363" t="s">
        <v>26</v>
      </c>
      <c r="J363">
        <v>2.1</v>
      </c>
      <c r="K363">
        <v>0.1</v>
      </c>
      <c r="L363">
        <v>7</v>
      </c>
    </row>
    <row r="364" spans="1:13" x14ac:dyDescent="0.2">
      <c r="C364" t="s">
        <v>27</v>
      </c>
    </row>
    <row r="365" spans="1:13" x14ac:dyDescent="0.2">
      <c r="C365" t="s">
        <v>28</v>
      </c>
      <c r="D365" t="s">
        <v>16</v>
      </c>
      <c r="E365" t="s">
        <v>29</v>
      </c>
      <c r="F365" t="s">
        <v>18</v>
      </c>
    </row>
    <row r="366" spans="1:13" x14ac:dyDescent="0.2">
      <c r="C366" t="b">
        <v>0</v>
      </c>
      <c r="D366">
        <v>20795.84</v>
      </c>
      <c r="E366" t="s">
        <v>30</v>
      </c>
      <c r="F366">
        <v>8.9999999999999993E-3</v>
      </c>
    </row>
    <row r="367" spans="1:13" x14ac:dyDescent="0.2">
      <c r="C367" t="b">
        <v>0</v>
      </c>
      <c r="D367">
        <v>20735.87</v>
      </c>
      <c r="E367" t="s">
        <v>30</v>
      </c>
      <c r="F367">
        <v>8.9999999999999993E-3</v>
      </c>
    </row>
    <row r="368" spans="1:13" x14ac:dyDescent="0.2">
      <c r="C368" t="b">
        <v>0</v>
      </c>
      <c r="D368">
        <v>20415.259999999998</v>
      </c>
      <c r="E368" t="s">
        <v>30</v>
      </c>
      <c r="F368">
        <v>8.9999999999999993E-3</v>
      </c>
    </row>
    <row r="369" spans="2:13" x14ac:dyDescent="0.2">
      <c r="C369" t="b">
        <v>0</v>
      </c>
      <c r="D369">
        <v>20495.45</v>
      </c>
      <c r="E369" t="s">
        <v>30</v>
      </c>
      <c r="F369">
        <v>8.9999999999999993E-3</v>
      </c>
    </row>
    <row r="370" spans="2:13" x14ac:dyDescent="0.2">
      <c r="C370" t="b">
        <v>0</v>
      </c>
      <c r="D370">
        <v>19934.57</v>
      </c>
      <c r="E370" t="s">
        <v>30</v>
      </c>
      <c r="F370">
        <v>8.9999999999999993E-3</v>
      </c>
    </row>
    <row r="371" spans="2:13" x14ac:dyDescent="0.2">
      <c r="C371" t="b">
        <v>0</v>
      </c>
      <c r="D371">
        <v>20986.29</v>
      </c>
      <c r="E371" t="s">
        <v>30</v>
      </c>
      <c r="F371">
        <v>8.9999999999999993E-3</v>
      </c>
    </row>
    <row r="372" spans="2:13" x14ac:dyDescent="0.2">
      <c r="C372" t="b">
        <v>0</v>
      </c>
      <c r="D372">
        <v>21316.71</v>
      </c>
      <c r="E372" t="s">
        <v>30</v>
      </c>
      <c r="F372">
        <v>8.9999999999999993E-3</v>
      </c>
    </row>
    <row r="373" spans="2:13" x14ac:dyDescent="0.2">
      <c r="B373" t="s">
        <v>11</v>
      </c>
    </row>
    <row r="374" spans="2:13" x14ac:dyDescent="0.2"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 t="s">
        <v>17</v>
      </c>
      <c r="H374" t="s">
        <v>18</v>
      </c>
      <c r="I374" t="s">
        <v>19</v>
      </c>
      <c r="J374" t="s">
        <v>20</v>
      </c>
      <c r="K374" t="s">
        <v>21</v>
      </c>
      <c r="L374" t="s">
        <v>22</v>
      </c>
      <c r="M374" t="s">
        <v>23</v>
      </c>
    </row>
    <row r="375" spans="2:13" x14ac:dyDescent="0.2">
      <c r="B375" t="s">
        <v>31</v>
      </c>
      <c r="C375">
        <v>45</v>
      </c>
      <c r="E375" t="s">
        <v>25</v>
      </c>
      <c r="F375">
        <v>950.06</v>
      </c>
      <c r="G375">
        <v>10.5</v>
      </c>
      <c r="K375">
        <v>0.1</v>
      </c>
      <c r="L375">
        <v>7</v>
      </c>
      <c r="M375">
        <v>92</v>
      </c>
    </row>
    <row r="376" spans="2:13" x14ac:dyDescent="0.2">
      <c r="C376" t="s">
        <v>27</v>
      </c>
    </row>
    <row r="377" spans="2:13" x14ac:dyDescent="0.2">
      <c r="C377" t="s">
        <v>28</v>
      </c>
      <c r="D377" t="s">
        <v>16</v>
      </c>
      <c r="E377" t="s">
        <v>29</v>
      </c>
      <c r="F377" t="s">
        <v>18</v>
      </c>
    </row>
    <row r="378" spans="2:13" x14ac:dyDescent="0.2">
      <c r="C378" t="b">
        <v>0</v>
      </c>
      <c r="D378">
        <v>920.06</v>
      </c>
      <c r="E378" t="s">
        <v>30</v>
      </c>
    </row>
    <row r="379" spans="2:13" x14ac:dyDescent="0.2">
      <c r="C379" t="b">
        <v>0</v>
      </c>
      <c r="D379">
        <v>1010.07</v>
      </c>
      <c r="E379" t="s">
        <v>30</v>
      </c>
    </row>
    <row r="380" spans="2:13" x14ac:dyDescent="0.2">
      <c r="C380" t="b">
        <v>0</v>
      </c>
      <c r="D380">
        <v>760.05</v>
      </c>
      <c r="E380" t="s">
        <v>30</v>
      </c>
    </row>
    <row r="381" spans="2:13" x14ac:dyDescent="0.2">
      <c r="C381" t="b">
        <v>0</v>
      </c>
      <c r="D381">
        <v>940.06</v>
      </c>
      <c r="E381" t="s">
        <v>30</v>
      </c>
    </row>
    <row r="382" spans="2:13" x14ac:dyDescent="0.2">
      <c r="C382" t="b">
        <v>0</v>
      </c>
      <c r="D382">
        <v>990.07</v>
      </c>
      <c r="E382" t="s">
        <v>30</v>
      </c>
    </row>
    <row r="383" spans="2:13" x14ac:dyDescent="0.2">
      <c r="C383" t="b">
        <v>0</v>
      </c>
      <c r="D383">
        <v>1080.08</v>
      </c>
      <c r="E383" t="s">
        <v>30</v>
      </c>
    </row>
    <row r="384" spans="2:13" x14ac:dyDescent="0.2">
      <c r="C384" t="b">
        <v>0</v>
      </c>
      <c r="D384">
        <v>950.06</v>
      </c>
      <c r="E384" t="s">
        <v>30</v>
      </c>
    </row>
    <row r="385" spans="2:13" x14ac:dyDescent="0.2">
      <c r="B385" t="s">
        <v>11</v>
      </c>
    </row>
    <row r="386" spans="2:13" x14ac:dyDescent="0.2"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">
        <v>17</v>
      </c>
      <c r="H386" t="s">
        <v>18</v>
      </c>
      <c r="I386" t="s">
        <v>19</v>
      </c>
      <c r="J386" t="s">
        <v>20</v>
      </c>
      <c r="K386" t="s">
        <v>21</v>
      </c>
      <c r="L386" t="s">
        <v>22</v>
      </c>
      <c r="M386" t="s">
        <v>23</v>
      </c>
    </row>
    <row r="387" spans="2:13" x14ac:dyDescent="0.2">
      <c r="B387" t="s">
        <v>32</v>
      </c>
      <c r="C387">
        <v>72</v>
      </c>
      <c r="E387" t="s">
        <v>25</v>
      </c>
      <c r="F387">
        <v>740.05</v>
      </c>
      <c r="G387">
        <v>9.1</v>
      </c>
      <c r="K387">
        <v>0.1</v>
      </c>
      <c r="L387">
        <v>7</v>
      </c>
      <c r="M387">
        <v>99.2</v>
      </c>
    </row>
    <row r="388" spans="2:13" x14ac:dyDescent="0.2">
      <c r="C388" t="s">
        <v>27</v>
      </c>
    </row>
    <row r="389" spans="2:13" x14ac:dyDescent="0.2">
      <c r="C389" t="s">
        <v>28</v>
      </c>
      <c r="D389" t="s">
        <v>16</v>
      </c>
      <c r="E389" t="s">
        <v>29</v>
      </c>
      <c r="F389" t="s">
        <v>18</v>
      </c>
    </row>
    <row r="390" spans="2:13" x14ac:dyDescent="0.2">
      <c r="C390" t="b">
        <v>0</v>
      </c>
      <c r="D390">
        <v>750.05</v>
      </c>
      <c r="E390" t="s">
        <v>30</v>
      </c>
    </row>
    <row r="391" spans="2:13" x14ac:dyDescent="0.2">
      <c r="C391" t="b">
        <v>0</v>
      </c>
      <c r="D391">
        <v>670.04</v>
      </c>
      <c r="E391" t="s">
        <v>30</v>
      </c>
    </row>
    <row r="392" spans="2:13" x14ac:dyDescent="0.2">
      <c r="C392" t="b">
        <v>0</v>
      </c>
      <c r="D392">
        <v>720.04</v>
      </c>
      <c r="E392" t="s">
        <v>30</v>
      </c>
    </row>
    <row r="393" spans="2:13" x14ac:dyDescent="0.2">
      <c r="C393" t="b">
        <v>0</v>
      </c>
      <c r="D393">
        <v>750.05</v>
      </c>
      <c r="E393" t="s">
        <v>30</v>
      </c>
    </row>
    <row r="394" spans="2:13" x14ac:dyDescent="0.2">
      <c r="C394" t="b">
        <v>0</v>
      </c>
      <c r="D394">
        <v>860.07</v>
      </c>
      <c r="E394" t="s">
        <v>30</v>
      </c>
    </row>
    <row r="395" spans="2:13" x14ac:dyDescent="0.2">
      <c r="C395" t="b">
        <v>0</v>
      </c>
      <c r="D395">
        <v>770.06</v>
      </c>
      <c r="E395" t="s">
        <v>30</v>
      </c>
    </row>
    <row r="396" spans="2:13" x14ac:dyDescent="0.2">
      <c r="C396" t="b">
        <v>0</v>
      </c>
      <c r="D396">
        <v>660.05</v>
      </c>
      <c r="E396" t="s">
        <v>30</v>
      </c>
    </row>
    <row r="397" spans="2:13" x14ac:dyDescent="0.2">
      <c r="B397" t="s">
        <v>11</v>
      </c>
    </row>
    <row r="398" spans="2:13" x14ac:dyDescent="0.2">
      <c r="B398" t="s">
        <v>12</v>
      </c>
      <c r="C398" t="s">
        <v>13</v>
      </c>
      <c r="D398" t="s">
        <v>14</v>
      </c>
      <c r="E398" t="s">
        <v>15</v>
      </c>
      <c r="F398" t="s">
        <v>16</v>
      </c>
      <c r="G398" t="s">
        <v>17</v>
      </c>
      <c r="H398" t="s">
        <v>18</v>
      </c>
      <c r="I398" t="s">
        <v>19</v>
      </c>
      <c r="J398" t="s">
        <v>20</v>
      </c>
      <c r="K398" t="s">
        <v>21</v>
      </c>
      <c r="L398" t="s">
        <v>22</v>
      </c>
      <c r="M398" t="s">
        <v>23</v>
      </c>
    </row>
    <row r="399" spans="2:13" x14ac:dyDescent="0.2">
      <c r="B399" t="s">
        <v>33</v>
      </c>
      <c r="C399">
        <v>89</v>
      </c>
      <c r="E399" t="s">
        <v>25</v>
      </c>
      <c r="F399">
        <v>3736.36</v>
      </c>
      <c r="G399">
        <v>8.1999999999999993</v>
      </c>
      <c r="K399">
        <v>0.1</v>
      </c>
      <c r="L399">
        <v>7</v>
      </c>
      <c r="M399">
        <v>94.7</v>
      </c>
    </row>
    <row r="400" spans="2:13" x14ac:dyDescent="0.2">
      <c r="C400" t="s">
        <v>27</v>
      </c>
    </row>
    <row r="401" spans="1:13" x14ac:dyDescent="0.2">
      <c r="C401" t="s">
        <v>28</v>
      </c>
      <c r="D401" t="s">
        <v>16</v>
      </c>
      <c r="E401" t="s">
        <v>29</v>
      </c>
      <c r="F401" t="s">
        <v>18</v>
      </c>
    </row>
    <row r="402" spans="1:13" x14ac:dyDescent="0.2">
      <c r="C402" t="b">
        <v>0</v>
      </c>
      <c r="D402">
        <v>3150.47</v>
      </c>
      <c r="E402" t="s">
        <v>30</v>
      </c>
    </row>
    <row r="403" spans="1:13" x14ac:dyDescent="0.2">
      <c r="C403" t="b">
        <v>0</v>
      </c>
      <c r="D403">
        <v>3500.55</v>
      </c>
      <c r="E403" t="s">
        <v>30</v>
      </c>
    </row>
    <row r="404" spans="1:13" x14ac:dyDescent="0.2">
      <c r="C404" t="b">
        <v>0</v>
      </c>
      <c r="D404">
        <v>4000.72</v>
      </c>
      <c r="E404" t="s">
        <v>30</v>
      </c>
    </row>
    <row r="405" spans="1:13" x14ac:dyDescent="0.2">
      <c r="C405" t="b">
        <v>0</v>
      </c>
      <c r="D405">
        <v>3820.69</v>
      </c>
      <c r="E405" t="s">
        <v>30</v>
      </c>
    </row>
    <row r="406" spans="1:13" x14ac:dyDescent="0.2">
      <c r="C406" t="b">
        <v>0</v>
      </c>
      <c r="D406">
        <v>3840.69</v>
      </c>
      <c r="E406" t="s">
        <v>30</v>
      </c>
    </row>
    <row r="407" spans="1:13" x14ac:dyDescent="0.2">
      <c r="C407" t="b">
        <v>0</v>
      </c>
      <c r="D407">
        <v>3840.69</v>
      </c>
      <c r="E407" t="s">
        <v>30</v>
      </c>
    </row>
    <row r="408" spans="1:13" x14ac:dyDescent="0.2">
      <c r="C408" t="b">
        <v>0</v>
      </c>
      <c r="D408">
        <v>4000.73</v>
      </c>
      <c r="E408" t="s">
        <v>30</v>
      </c>
    </row>
    <row r="409" spans="1:13" x14ac:dyDescent="0.2">
      <c r="A409" t="s">
        <v>0</v>
      </c>
    </row>
    <row r="410" spans="1:13" x14ac:dyDescent="0.2"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</row>
    <row r="411" spans="1:13" x14ac:dyDescent="0.2">
      <c r="B411" t="b">
        <v>0</v>
      </c>
      <c r="C411" t="s">
        <v>54</v>
      </c>
      <c r="D411" t="s">
        <v>55</v>
      </c>
      <c r="E411" t="s">
        <v>49</v>
      </c>
      <c r="F411">
        <v>4</v>
      </c>
      <c r="G411" t="s">
        <v>56</v>
      </c>
    </row>
    <row r="412" spans="1:13" x14ac:dyDescent="0.2">
      <c r="B412" t="s">
        <v>11</v>
      </c>
    </row>
    <row r="413" spans="1:13" x14ac:dyDescent="0.2"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 t="s">
        <v>17</v>
      </c>
      <c r="H413" t="s">
        <v>18</v>
      </c>
      <c r="I413" t="s">
        <v>19</v>
      </c>
      <c r="J413" t="s">
        <v>20</v>
      </c>
      <c r="K413" t="s">
        <v>21</v>
      </c>
      <c r="L413" t="s">
        <v>22</v>
      </c>
      <c r="M413" t="s">
        <v>23</v>
      </c>
    </row>
    <row r="414" spans="1:13" x14ac:dyDescent="0.2">
      <c r="B414" t="s">
        <v>24</v>
      </c>
      <c r="C414">
        <v>59</v>
      </c>
      <c r="E414" t="s">
        <v>25</v>
      </c>
      <c r="F414">
        <v>108732.01</v>
      </c>
      <c r="G414">
        <v>1.5</v>
      </c>
      <c r="H414">
        <v>4.8000000000000001E-2</v>
      </c>
      <c r="I414" t="s">
        <v>26</v>
      </c>
      <c r="J414">
        <v>1.5</v>
      </c>
      <c r="K414">
        <v>0.1</v>
      </c>
      <c r="L414">
        <v>7</v>
      </c>
    </row>
    <row r="415" spans="1:13" x14ac:dyDescent="0.2">
      <c r="C415" t="s">
        <v>27</v>
      </c>
    </row>
    <row r="416" spans="1:13" x14ac:dyDescent="0.2">
      <c r="C416" t="s">
        <v>28</v>
      </c>
      <c r="D416" t="s">
        <v>16</v>
      </c>
      <c r="E416" t="s">
        <v>29</v>
      </c>
      <c r="F416" t="s">
        <v>18</v>
      </c>
    </row>
    <row r="417" spans="2:13" x14ac:dyDescent="0.2">
      <c r="C417" t="b">
        <v>0</v>
      </c>
      <c r="D417">
        <v>106400.17</v>
      </c>
      <c r="E417" t="s">
        <v>30</v>
      </c>
      <c r="F417">
        <v>4.7E-2</v>
      </c>
    </row>
    <row r="418" spans="2:13" x14ac:dyDescent="0.2">
      <c r="C418" t="b">
        <v>0</v>
      </c>
      <c r="D418">
        <v>107326.19</v>
      </c>
      <c r="E418" t="s">
        <v>30</v>
      </c>
      <c r="F418">
        <v>4.8000000000000001E-2</v>
      </c>
    </row>
    <row r="419" spans="2:13" x14ac:dyDescent="0.2">
      <c r="C419" t="b">
        <v>0</v>
      </c>
      <c r="D419">
        <v>110067.22</v>
      </c>
      <c r="E419" t="s">
        <v>30</v>
      </c>
      <c r="F419">
        <v>4.9000000000000002E-2</v>
      </c>
    </row>
    <row r="420" spans="2:13" x14ac:dyDescent="0.2">
      <c r="C420" t="b">
        <v>0</v>
      </c>
      <c r="D420">
        <v>108970.51</v>
      </c>
      <c r="E420" t="s">
        <v>30</v>
      </c>
      <c r="F420">
        <v>4.8000000000000001E-2</v>
      </c>
    </row>
    <row r="421" spans="2:13" x14ac:dyDescent="0.2">
      <c r="C421" t="b">
        <v>0</v>
      </c>
      <c r="D421">
        <v>110783.09</v>
      </c>
      <c r="E421" t="s">
        <v>30</v>
      </c>
      <c r="F421">
        <v>4.9000000000000002E-2</v>
      </c>
    </row>
    <row r="422" spans="2:13" x14ac:dyDescent="0.2">
      <c r="C422" t="b">
        <v>0</v>
      </c>
      <c r="D422">
        <v>107780.75</v>
      </c>
      <c r="E422" t="s">
        <v>30</v>
      </c>
      <c r="F422">
        <v>4.8000000000000001E-2</v>
      </c>
    </row>
    <row r="423" spans="2:13" x14ac:dyDescent="0.2">
      <c r="C423" t="b">
        <v>0</v>
      </c>
      <c r="D423">
        <v>109796.13</v>
      </c>
      <c r="E423" t="s">
        <v>30</v>
      </c>
      <c r="F423">
        <v>4.9000000000000002E-2</v>
      </c>
    </row>
    <row r="424" spans="2:13" x14ac:dyDescent="0.2">
      <c r="B424" t="s">
        <v>11</v>
      </c>
    </row>
    <row r="425" spans="2:13" x14ac:dyDescent="0.2"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">
        <v>17</v>
      </c>
      <c r="H425" t="s">
        <v>18</v>
      </c>
      <c r="I425" t="s">
        <v>19</v>
      </c>
      <c r="J425" t="s">
        <v>20</v>
      </c>
      <c r="K425" t="s">
        <v>21</v>
      </c>
      <c r="L425" t="s">
        <v>22</v>
      </c>
      <c r="M425" t="s">
        <v>23</v>
      </c>
    </row>
    <row r="426" spans="2:13" x14ac:dyDescent="0.2">
      <c r="B426" t="s">
        <v>31</v>
      </c>
      <c r="C426">
        <v>45</v>
      </c>
      <c r="E426" t="s">
        <v>25</v>
      </c>
      <c r="F426">
        <v>1144.3699999999999</v>
      </c>
      <c r="G426">
        <v>5.0999999999999996</v>
      </c>
      <c r="K426">
        <v>0.1</v>
      </c>
      <c r="L426">
        <v>7</v>
      </c>
      <c r="M426">
        <v>110.8</v>
      </c>
    </row>
    <row r="427" spans="2:13" x14ac:dyDescent="0.2">
      <c r="C427" t="s">
        <v>27</v>
      </c>
    </row>
    <row r="428" spans="2:13" x14ac:dyDescent="0.2">
      <c r="C428" t="s">
        <v>28</v>
      </c>
      <c r="D428" t="s">
        <v>16</v>
      </c>
      <c r="E428" t="s">
        <v>29</v>
      </c>
      <c r="F428" t="s">
        <v>18</v>
      </c>
    </row>
    <row r="429" spans="2:13" x14ac:dyDescent="0.2">
      <c r="C429" t="b">
        <v>0</v>
      </c>
      <c r="D429">
        <v>1140.07</v>
      </c>
      <c r="E429" t="s">
        <v>30</v>
      </c>
    </row>
    <row r="430" spans="2:13" x14ac:dyDescent="0.2">
      <c r="C430" t="b">
        <v>0</v>
      </c>
      <c r="D430">
        <v>1100.0899999999999</v>
      </c>
      <c r="E430" t="s">
        <v>30</v>
      </c>
    </row>
    <row r="431" spans="2:13" x14ac:dyDescent="0.2">
      <c r="C431" t="b">
        <v>0</v>
      </c>
      <c r="D431">
        <v>1120.0899999999999</v>
      </c>
      <c r="E431" t="s">
        <v>30</v>
      </c>
    </row>
    <row r="432" spans="2:13" x14ac:dyDescent="0.2">
      <c r="C432" t="b">
        <v>0</v>
      </c>
      <c r="D432">
        <v>1180.0899999999999</v>
      </c>
      <c r="E432" t="s">
        <v>30</v>
      </c>
    </row>
    <row r="433" spans="2:13" x14ac:dyDescent="0.2">
      <c r="C433" t="b">
        <v>0</v>
      </c>
      <c r="D433">
        <v>1250.0999999999999</v>
      </c>
      <c r="E433" t="s">
        <v>30</v>
      </c>
    </row>
    <row r="434" spans="2:13" x14ac:dyDescent="0.2">
      <c r="C434" t="b">
        <v>0</v>
      </c>
      <c r="D434">
        <v>1150.08</v>
      </c>
      <c r="E434" t="s">
        <v>30</v>
      </c>
    </row>
    <row r="435" spans="2:13" x14ac:dyDescent="0.2">
      <c r="C435" t="b">
        <v>0</v>
      </c>
      <c r="D435">
        <v>1070.0899999999999</v>
      </c>
      <c r="E435" t="s">
        <v>30</v>
      </c>
    </row>
    <row r="436" spans="2:13" x14ac:dyDescent="0.2">
      <c r="B436" t="s">
        <v>11</v>
      </c>
    </row>
    <row r="437" spans="2:13" x14ac:dyDescent="0.2">
      <c r="B437" t="s">
        <v>12</v>
      </c>
      <c r="C437" t="s">
        <v>13</v>
      </c>
      <c r="D437" t="s">
        <v>14</v>
      </c>
      <c r="E437" t="s">
        <v>15</v>
      </c>
      <c r="F437" t="s">
        <v>16</v>
      </c>
      <c r="G437" t="s">
        <v>17</v>
      </c>
      <c r="H437" t="s">
        <v>18</v>
      </c>
      <c r="I437" t="s">
        <v>19</v>
      </c>
      <c r="J437" t="s">
        <v>20</v>
      </c>
      <c r="K437" t="s">
        <v>21</v>
      </c>
      <c r="L437" t="s">
        <v>22</v>
      </c>
      <c r="M437" t="s">
        <v>23</v>
      </c>
    </row>
    <row r="438" spans="2:13" x14ac:dyDescent="0.2">
      <c r="B438" t="s">
        <v>32</v>
      </c>
      <c r="C438">
        <v>72</v>
      </c>
      <c r="E438" t="s">
        <v>25</v>
      </c>
      <c r="F438">
        <v>795.76</v>
      </c>
      <c r="G438">
        <v>4.2</v>
      </c>
      <c r="K438">
        <v>0.1</v>
      </c>
      <c r="L438">
        <v>7</v>
      </c>
      <c r="M438">
        <v>106.7</v>
      </c>
    </row>
    <row r="439" spans="2:13" x14ac:dyDescent="0.2">
      <c r="C439" t="s">
        <v>27</v>
      </c>
    </row>
    <row r="440" spans="2:13" x14ac:dyDescent="0.2">
      <c r="C440" t="s">
        <v>28</v>
      </c>
      <c r="D440" t="s">
        <v>16</v>
      </c>
      <c r="E440" t="s">
        <v>29</v>
      </c>
      <c r="F440" t="s">
        <v>18</v>
      </c>
    </row>
    <row r="441" spans="2:13" x14ac:dyDescent="0.2">
      <c r="C441" t="b">
        <v>0</v>
      </c>
      <c r="D441">
        <v>800.05</v>
      </c>
      <c r="E441" t="s">
        <v>30</v>
      </c>
    </row>
    <row r="442" spans="2:13" x14ac:dyDescent="0.2">
      <c r="C442" t="b">
        <v>0</v>
      </c>
      <c r="D442">
        <v>790.05</v>
      </c>
      <c r="E442" t="s">
        <v>30</v>
      </c>
    </row>
    <row r="443" spans="2:13" x14ac:dyDescent="0.2">
      <c r="C443" t="b">
        <v>0</v>
      </c>
      <c r="D443">
        <v>750.04</v>
      </c>
      <c r="E443" t="s">
        <v>30</v>
      </c>
    </row>
    <row r="444" spans="2:13" x14ac:dyDescent="0.2">
      <c r="C444" t="b">
        <v>0</v>
      </c>
      <c r="D444">
        <v>810.05</v>
      </c>
      <c r="E444" t="s">
        <v>30</v>
      </c>
    </row>
    <row r="445" spans="2:13" x14ac:dyDescent="0.2">
      <c r="C445" t="b">
        <v>0</v>
      </c>
      <c r="D445">
        <v>810.05</v>
      </c>
      <c r="E445" t="s">
        <v>30</v>
      </c>
    </row>
    <row r="446" spans="2:13" x14ac:dyDescent="0.2">
      <c r="C446" t="b">
        <v>0</v>
      </c>
      <c r="D446">
        <v>850.05</v>
      </c>
      <c r="E446" t="s">
        <v>30</v>
      </c>
    </row>
    <row r="447" spans="2:13" x14ac:dyDescent="0.2">
      <c r="C447" t="b">
        <v>0</v>
      </c>
      <c r="D447">
        <v>760.04</v>
      </c>
      <c r="E447" t="s">
        <v>30</v>
      </c>
    </row>
    <row r="448" spans="2:13" x14ac:dyDescent="0.2">
      <c r="B448" t="s">
        <v>11</v>
      </c>
    </row>
    <row r="449" spans="1:13" x14ac:dyDescent="0.2">
      <c r="B449" t="s">
        <v>12</v>
      </c>
      <c r="C449" t="s">
        <v>13</v>
      </c>
      <c r="D449" t="s">
        <v>14</v>
      </c>
      <c r="E449" t="s">
        <v>15</v>
      </c>
      <c r="F449" t="s">
        <v>16</v>
      </c>
      <c r="G449" t="s">
        <v>17</v>
      </c>
      <c r="H449" t="s">
        <v>18</v>
      </c>
      <c r="I449" t="s">
        <v>19</v>
      </c>
      <c r="J449" t="s">
        <v>20</v>
      </c>
      <c r="K449" t="s">
        <v>21</v>
      </c>
      <c r="L449" t="s">
        <v>22</v>
      </c>
      <c r="M449" t="s">
        <v>23</v>
      </c>
    </row>
    <row r="450" spans="1:13" x14ac:dyDescent="0.2">
      <c r="B450" t="s">
        <v>33</v>
      </c>
      <c r="C450">
        <v>89</v>
      </c>
      <c r="E450" t="s">
        <v>25</v>
      </c>
      <c r="F450">
        <v>4422.28</v>
      </c>
      <c r="G450">
        <v>6.5</v>
      </c>
      <c r="K450">
        <v>0.1</v>
      </c>
      <c r="L450">
        <v>7</v>
      </c>
      <c r="M450">
        <v>112.1</v>
      </c>
    </row>
    <row r="451" spans="1:13" x14ac:dyDescent="0.2">
      <c r="C451" t="s">
        <v>27</v>
      </c>
    </row>
    <row r="452" spans="1:13" x14ac:dyDescent="0.2">
      <c r="C452" t="s">
        <v>28</v>
      </c>
      <c r="D452" t="s">
        <v>16</v>
      </c>
      <c r="E452" t="s">
        <v>29</v>
      </c>
      <c r="F452" t="s">
        <v>18</v>
      </c>
    </row>
    <row r="453" spans="1:13" x14ac:dyDescent="0.2">
      <c r="C453" t="b">
        <v>0</v>
      </c>
      <c r="D453">
        <v>3980.71</v>
      </c>
      <c r="E453" t="s">
        <v>30</v>
      </c>
    </row>
    <row r="454" spans="1:13" x14ac:dyDescent="0.2">
      <c r="C454" t="b">
        <v>0</v>
      </c>
      <c r="D454">
        <v>4270.8500000000004</v>
      </c>
      <c r="E454" t="s">
        <v>30</v>
      </c>
    </row>
    <row r="455" spans="1:13" x14ac:dyDescent="0.2">
      <c r="C455" t="b">
        <v>0</v>
      </c>
      <c r="D455">
        <v>4861.01</v>
      </c>
      <c r="E455" t="s">
        <v>30</v>
      </c>
    </row>
    <row r="456" spans="1:13" x14ac:dyDescent="0.2">
      <c r="C456" t="b">
        <v>0</v>
      </c>
      <c r="D456">
        <v>4640.8900000000003</v>
      </c>
      <c r="E456" t="s">
        <v>30</v>
      </c>
    </row>
    <row r="457" spans="1:13" x14ac:dyDescent="0.2">
      <c r="C457" t="b">
        <v>0</v>
      </c>
      <c r="D457">
        <v>4260.79</v>
      </c>
      <c r="E457" t="s">
        <v>30</v>
      </c>
    </row>
    <row r="458" spans="1:13" x14ac:dyDescent="0.2">
      <c r="C458" t="b">
        <v>0</v>
      </c>
      <c r="D458">
        <v>4530.8900000000003</v>
      </c>
      <c r="E458" t="s">
        <v>30</v>
      </c>
    </row>
    <row r="459" spans="1:13" x14ac:dyDescent="0.2">
      <c r="C459" t="b">
        <v>0</v>
      </c>
      <c r="D459">
        <v>4410.84</v>
      </c>
      <c r="E459" t="s">
        <v>30</v>
      </c>
    </row>
    <row r="460" spans="1:13" x14ac:dyDescent="0.2">
      <c r="A460" t="s">
        <v>0</v>
      </c>
    </row>
    <row r="461" spans="1:13" x14ac:dyDescent="0.2"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</row>
    <row r="462" spans="1:13" x14ac:dyDescent="0.2">
      <c r="B462" t="b">
        <v>0</v>
      </c>
      <c r="C462" t="s">
        <v>57</v>
      </c>
      <c r="D462" t="s">
        <v>58</v>
      </c>
      <c r="E462" t="s">
        <v>49</v>
      </c>
      <c r="F462">
        <v>5</v>
      </c>
      <c r="G462" t="s">
        <v>59</v>
      </c>
    </row>
    <row r="463" spans="1:13" x14ac:dyDescent="0.2">
      <c r="B463" t="s">
        <v>11</v>
      </c>
    </row>
    <row r="464" spans="1:13" x14ac:dyDescent="0.2"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 t="s">
        <v>17</v>
      </c>
      <c r="H464" t="s">
        <v>18</v>
      </c>
      <c r="I464" t="s">
        <v>19</v>
      </c>
      <c r="J464" t="s">
        <v>20</v>
      </c>
      <c r="K464" t="s">
        <v>21</v>
      </c>
      <c r="L464" t="s">
        <v>22</v>
      </c>
      <c r="M464" t="s">
        <v>23</v>
      </c>
    </row>
    <row r="465" spans="2:13" x14ac:dyDescent="0.2">
      <c r="B465" t="s">
        <v>24</v>
      </c>
      <c r="C465">
        <v>59</v>
      </c>
      <c r="E465" t="s">
        <v>25</v>
      </c>
      <c r="F465">
        <v>205859.08</v>
      </c>
      <c r="G465">
        <v>1.2</v>
      </c>
      <c r="H465">
        <v>9.1999999999999998E-2</v>
      </c>
      <c r="I465" t="s">
        <v>26</v>
      </c>
      <c r="J465">
        <v>1.2</v>
      </c>
      <c r="K465">
        <v>0.1</v>
      </c>
      <c r="L465">
        <v>7</v>
      </c>
    </row>
    <row r="466" spans="2:13" x14ac:dyDescent="0.2">
      <c r="C466" t="s">
        <v>27</v>
      </c>
    </row>
    <row r="467" spans="2:13" x14ac:dyDescent="0.2">
      <c r="C467" t="s">
        <v>28</v>
      </c>
      <c r="D467" t="s">
        <v>16</v>
      </c>
      <c r="E467" t="s">
        <v>29</v>
      </c>
      <c r="F467" t="s">
        <v>18</v>
      </c>
    </row>
    <row r="468" spans="2:13" x14ac:dyDescent="0.2">
      <c r="C468" t="b">
        <v>0</v>
      </c>
      <c r="D468">
        <v>205226.13</v>
      </c>
      <c r="E468" t="s">
        <v>30</v>
      </c>
      <c r="F468">
        <v>9.0999999999999998E-2</v>
      </c>
    </row>
    <row r="469" spans="2:13" x14ac:dyDescent="0.2">
      <c r="C469" t="b">
        <v>0</v>
      </c>
      <c r="D469">
        <v>205591.67999999999</v>
      </c>
      <c r="E469" t="s">
        <v>30</v>
      </c>
      <c r="F469">
        <v>9.0999999999999998E-2</v>
      </c>
    </row>
    <row r="470" spans="2:13" x14ac:dyDescent="0.2">
      <c r="C470" t="b">
        <v>0</v>
      </c>
      <c r="D470">
        <v>207024.16</v>
      </c>
      <c r="E470" t="s">
        <v>30</v>
      </c>
      <c r="F470">
        <v>9.1999999999999998E-2</v>
      </c>
    </row>
    <row r="471" spans="2:13" x14ac:dyDescent="0.2">
      <c r="C471" t="b">
        <v>0</v>
      </c>
      <c r="D471">
        <v>208033.79</v>
      </c>
      <c r="E471" t="s">
        <v>30</v>
      </c>
      <c r="F471">
        <v>9.2999999999999999E-2</v>
      </c>
    </row>
    <row r="472" spans="2:13" x14ac:dyDescent="0.2">
      <c r="C472" t="b">
        <v>0</v>
      </c>
      <c r="D472">
        <v>207659.37</v>
      </c>
      <c r="E472" t="s">
        <v>30</v>
      </c>
      <c r="F472">
        <v>9.1999999999999998E-2</v>
      </c>
    </row>
    <row r="473" spans="2:13" x14ac:dyDescent="0.2">
      <c r="C473" t="b">
        <v>0</v>
      </c>
      <c r="D473">
        <v>206634.49</v>
      </c>
      <c r="E473" t="s">
        <v>30</v>
      </c>
      <c r="F473">
        <v>9.1999999999999998E-2</v>
      </c>
    </row>
    <row r="474" spans="2:13" x14ac:dyDescent="0.2">
      <c r="C474" t="b">
        <v>0</v>
      </c>
      <c r="D474">
        <v>200843.94</v>
      </c>
      <c r="E474" t="s">
        <v>30</v>
      </c>
      <c r="F474">
        <v>8.8999999999999996E-2</v>
      </c>
    </row>
    <row r="475" spans="2:13" x14ac:dyDescent="0.2">
      <c r="B475" t="s">
        <v>11</v>
      </c>
    </row>
    <row r="476" spans="2:13" x14ac:dyDescent="0.2">
      <c r="B476" t="s">
        <v>12</v>
      </c>
      <c r="C476" t="s">
        <v>13</v>
      </c>
      <c r="D476" t="s">
        <v>14</v>
      </c>
      <c r="E476" t="s">
        <v>15</v>
      </c>
      <c r="F476" t="s">
        <v>16</v>
      </c>
      <c r="G476" t="s">
        <v>17</v>
      </c>
      <c r="H476" t="s">
        <v>18</v>
      </c>
      <c r="I476" t="s">
        <v>19</v>
      </c>
      <c r="J476" t="s">
        <v>20</v>
      </c>
      <c r="K476" t="s">
        <v>21</v>
      </c>
      <c r="L476" t="s">
        <v>22</v>
      </c>
      <c r="M476" t="s">
        <v>23</v>
      </c>
    </row>
    <row r="477" spans="2:13" x14ac:dyDescent="0.2">
      <c r="B477" t="s">
        <v>31</v>
      </c>
      <c r="C477">
        <v>45</v>
      </c>
      <c r="E477" t="s">
        <v>25</v>
      </c>
      <c r="F477">
        <v>1097.22</v>
      </c>
      <c r="G477">
        <v>4</v>
      </c>
      <c r="K477">
        <v>0.1</v>
      </c>
      <c r="L477">
        <v>7</v>
      </c>
      <c r="M477">
        <v>106.2</v>
      </c>
    </row>
    <row r="478" spans="2:13" x14ac:dyDescent="0.2">
      <c r="C478" t="s">
        <v>27</v>
      </c>
    </row>
    <row r="479" spans="2:13" x14ac:dyDescent="0.2">
      <c r="C479" t="s">
        <v>28</v>
      </c>
      <c r="D479" t="s">
        <v>16</v>
      </c>
      <c r="E479" t="s">
        <v>29</v>
      </c>
      <c r="F479" t="s">
        <v>18</v>
      </c>
    </row>
    <row r="480" spans="2:13" x14ac:dyDescent="0.2">
      <c r="C480" t="b">
        <v>0</v>
      </c>
      <c r="D480">
        <v>1080.0899999999999</v>
      </c>
      <c r="E480" t="s">
        <v>30</v>
      </c>
    </row>
    <row r="481" spans="2:13" x14ac:dyDescent="0.2">
      <c r="C481" t="b">
        <v>0</v>
      </c>
      <c r="D481">
        <v>1080.08</v>
      </c>
      <c r="E481" t="s">
        <v>30</v>
      </c>
    </row>
    <row r="482" spans="2:13" x14ac:dyDescent="0.2">
      <c r="C482" t="b">
        <v>0</v>
      </c>
      <c r="D482">
        <v>1030.07</v>
      </c>
      <c r="E482" t="s">
        <v>30</v>
      </c>
    </row>
    <row r="483" spans="2:13" x14ac:dyDescent="0.2">
      <c r="C483" t="b">
        <v>0</v>
      </c>
      <c r="D483">
        <v>1080.07</v>
      </c>
      <c r="E483" t="s">
        <v>30</v>
      </c>
    </row>
    <row r="484" spans="2:13" x14ac:dyDescent="0.2">
      <c r="C484" t="b">
        <v>0</v>
      </c>
      <c r="D484">
        <v>1140.0899999999999</v>
      </c>
      <c r="E484" t="s">
        <v>30</v>
      </c>
    </row>
    <row r="485" spans="2:13" x14ac:dyDescent="0.2">
      <c r="C485" t="b">
        <v>0</v>
      </c>
      <c r="D485">
        <v>1110.08</v>
      </c>
      <c r="E485" t="s">
        <v>30</v>
      </c>
    </row>
    <row r="486" spans="2:13" x14ac:dyDescent="0.2">
      <c r="C486" t="b">
        <v>0</v>
      </c>
      <c r="D486">
        <v>1160.0899999999999</v>
      </c>
      <c r="E486" t="s">
        <v>30</v>
      </c>
    </row>
    <row r="487" spans="2:13" x14ac:dyDescent="0.2">
      <c r="B487" t="s">
        <v>11</v>
      </c>
    </row>
    <row r="488" spans="2:13" x14ac:dyDescent="0.2"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 t="s">
        <v>17</v>
      </c>
      <c r="H488" t="s">
        <v>18</v>
      </c>
      <c r="I488" t="s">
        <v>19</v>
      </c>
      <c r="J488" t="s">
        <v>20</v>
      </c>
      <c r="K488" t="s">
        <v>21</v>
      </c>
      <c r="L488" t="s">
        <v>22</v>
      </c>
      <c r="M488" t="s">
        <v>23</v>
      </c>
    </row>
    <row r="489" spans="2:13" x14ac:dyDescent="0.2">
      <c r="B489" t="s">
        <v>32</v>
      </c>
      <c r="C489">
        <v>72</v>
      </c>
      <c r="E489" t="s">
        <v>25</v>
      </c>
      <c r="F489">
        <v>820.05</v>
      </c>
      <c r="G489">
        <v>16.3</v>
      </c>
      <c r="K489">
        <v>0.1</v>
      </c>
      <c r="L489">
        <v>7</v>
      </c>
      <c r="M489">
        <v>110</v>
      </c>
    </row>
    <row r="490" spans="2:13" x14ac:dyDescent="0.2">
      <c r="C490" t="s">
        <v>27</v>
      </c>
    </row>
    <row r="491" spans="2:13" x14ac:dyDescent="0.2">
      <c r="C491" t="s">
        <v>28</v>
      </c>
      <c r="D491" t="s">
        <v>16</v>
      </c>
      <c r="E491" t="s">
        <v>29</v>
      </c>
      <c r="F491" t="s">
        <v>18</v>
      </c>
    </row>
    <row r="492" spans="2:13" x14ac:dyDescent="0.2">
      <c r="C492" t="b">
        <v>0</v>
      </c>
      <c r="D492">
        <v>850.05</v>
      </c>
      <c r="E492" t="s">
        <v>30</v>
      </c>
    </row>
    <row r="493" spans="2:13" x14ac:dyDescent="0.2">
      <c r="C493" t="b">
        <v>0</v>
      </c>
      <c r="D493">
        <v>850.05</v>
      </c>
      <c r="E493" t="s">
        <v>30</v>
      </c>
    </row>
    <row r="494" spans="2:13" x14ac:dyDescent="0.2">
      <c r="C494" t="b">
        <v>0</v>
      </c>
      <c r="D494">
        <v>790.04</v>
      </c>
      <c r="E494" t="s">
        <v>30</v>
      </c>
    </row>
    <row r="495" spans="2:13" x14ac:dyDescent="0.2">
      <c r="C495" t="b">
        <v>0</v>
      </c>
      <c r="D495">
        <v>1010.07</v>
      </c>
      <c r="E495" t="s">
        <v>30</v>
      </c>
    </row>
    <row r="496" spans="2:13" x14ac:dyDescent="0.2">
      <c r="C496" t="b">
        <v>0</v>
      </c>
      <c r="D496">
        <v>920.06</v>
      </c>
      <c r="E496" t="s">
        <v>30</v>
      </c>
    </row>
    <row r="497" spans="1:13" x14ac:dyDescent="0.2">
      <c r="C497" t="b">
        <v>0</v>
      </c>
      <c r="D497">
        <v>720.05</v>
      </c>
      <c r="E497" t="s">
        <v>30</v>
      </c>
    </row>
    <row r="498" spans="1:13" x14ac:dyDescent="0.2">
      <c r="C498" t="b">
        <v>0</v>
      </c>
      <c r="D498">
        <v>600.03</v>
      </c>
      <c r="E498" t="s">
        <v>30</v>
      </c>
    </row>
    <row r="499" spans="1:13" x14ac:dyDescent="0.2">
      <c r="B499" t="s">
        <v>11</v>
      </c>
    </row>
    <row r="500" spans="1:13" x14ac:dyDescent="0.2">
      <c r="B500" t="s">
        <v>12</v>
      </c>
      <c r="C500" t="s">
        <v>13</v>
      </c>
      <c r="D500" t="s">
        <v>14</v>
      </c>
      <c r="E500" t="s">
        <v>15</v>
      </c>
      <c r="F500" t="s">
        <v>16</v>
      </c>
      <c r="G500" t="s">
        <v>17</v>
      </c>
      <c r="H500" t="s">
        <v>18</v>
      </c>
      <c r="I500" t="s">
        <v>19</v>
      </c>
      <c r="J500" t="s">
        <v>20</v>
      </c>
      <c r="K500" t="s">
        <v>21</v>
      </c>
      <c r="L500" t="s">
        <v>22</v>
      </c>
      <c r="M500" t="s">
        <v>23</v>
      </c>
    </row>
    <row r="501" spans="1:13" x14ac:dyDescent="0.2">
      <c r="B501" t="s">
        <v>33</v>
      </c>
      <c r="C501">
        <v>89</v>
      </c>
      <c r="E501" t="s">
        <v>25</v>
      </c>
      <c r="F501">
        <v>4428</v>
      </c>
      <c r="G501">
        <v>3</v>
      </c>
      <c r="K501">
        <v>0.1</v>
      </c>
      <c r="L501">
        <v>7</v>
      </c>
      <c r="M501">
        <v>112.2</v>
      </c>
    </row>
    <row r="502" spans="1:13" x14ac:dyDescent="0.2">
      <c r="C502" t="s">
        <v>27</v>
      </c>
    </row>
    <row r="503" spans="1:13" x14ac:dyDescent="0.2">
      <c r="C503" t="s">
        <v>28</v>
      </c>
      <c r="D503" t="s">
        <v>16</v>
      </c>
      <c r="E503" t="s">
        <v>29</v>
      </c>
      <c r="F503" t="s">
        <v>18</v>
      </c>
    </row>
    <row r="504" spans="1:13" x14ac:dyDescent="0.2">
      <c r="C504" t="b">
        <v>0</v>
      </c>
      <c r="D504">
        <v>4300.8100000000004</v>
      </c>
      <c r="E504" t="s">
        <v>30</v>
      </c>
    </row>
    <row r="505" spans="1:13" x14ac:dyDescent="0.2">
      <c r="C505" t="b">
        <v>0</v>
      </c>
      <c r="D505">
        <v>4290.84</v>
      </c>
      <c r="E505" t="s">
        <v>30</v>
      </c>
    </row>
    <row r="506" spans="1:13" x14ac:dyDescent="0.2">
      <c r="C506" t="b">
        <v>0</v>
      </c>
      <c r="D506">
        <v>4430.8100000000004</v>
      </c>
      <c r="E506" t="s">
        <v>30</v>
      </c>
    </row>
    <row r="507" spans="1:13" x14ac:dyDescent="0.2">
      <c r="C507" t="b">
        <v>0</v>
      </c>
      <c r="D507">
        <v>4450.8900000000003</v>
      </c>
      <c r="E507" t="s">
        <v>30</v>
      </c>
    </row>
    <row r="508" spans="1:13" x14ac:dyDescent="0.2">
      <c r="C508" t="b">
        <v>0</v>
      </c>
      <c r="D508">
        <v>4680.9399999999996</v>
      </c>
      <c r="E508" t="s">
        <v>30</v>
      </c>
    </row>
    <row r="509" spans="1:13" x14ac:dyDescent="0.2">
      <c r="C509" t="b">
        <v>0</v>
      </c>
      <c r="D509">
        <v>4470.92</v>
      </c>
      <c r="E509" t="s">
        <v>30</v>
      </c>
    </row>
    <row r="510" spans="1:13" x14ac:dyDescent="0.2">
      <c r="C510" t="b">
        <v>0</v>
      </c>
      <c r="D510">
        <v>4370.82</v>
      </c>
      <c r="E510" t="s">
        <v>30</v>
      </c>
    </row>
    <row r="511" spans="1:13" x14ac:dyDescent="0.2">
      <c r="A511" t="s">
        <v>0</v>
      </c>
    </row>
    <row r="512" spans="1:13" x14ac:dyDescent="0.2"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</row>
    <row r="513" spans="1:13" x14ac:dyDescent="0.2">
      <c r="A513" t="s">
        <v>60</v>
      </c>
      <c r="B513" t="b">
        <v>0</v>
      </c>
      <c r="C513" t="s">
        <v>61</v>
      </c>
      <c r="D513" t="s">
        <v>62</v>
      </c>
      <c r="E513" t="s">
        <v>49</v>
      </c>
      <c r="F513">
        <v>6</v>
      </c>
      <c r="G513" t="s">
        <v>63</v>
      </c>
    </row>
    <row r="514" spans="1:13" x14ac:dyDescent="0.2">
      <c r="B514" t="s">
        <v>11</v>
      </c>
    </row>
    <row r="515" spans="1:13" x14ac:dyDescent="0.2">
      <c r="B515" t="s">
        <v>12</v>
      </c>
      <c r="C515" t="s">
        <v>13</v>
      </c>
      <c r="D515" t="s">
        <v>14</v>
      </c>
      <c r="E515" t="s">
        <v>15</v>
      </c>
      <c r="F515" t="s">
        <v>16</v>
      </c>
      <c r="G515" t="s">
        <v>17</v>
      </c>
      <c r="H515" t="s">
        <v>18</v>
      </c>
      <c r="I515" t="s">
        <v>19</v>
      </c>
      <c r="J515" t="s">
        <v>20</v>
      </c>
      <c r="K515" t="s">
        <v>21</v>
      </c>
      <c r="L515" t="s">
        <v>22</v>
      </c>
      <c r="M515" t="s">
        <v>23</v>
      </c>
    </row>
    <row r="516" spans="1:13" x14ac:dyDescent="0.2">
      <c r="B516" t="s">
        <v>24</v>
      </c>
      <c r="C516">
        <v>59</v>
      </c>
      <c r="E516" t="s">
        <v>25</v>
      </c>
      <c r="F516">
        <v>1114340.04</v>
      </c>
      <c r="G516">
        <v>0.5</v>
      </c>
      <c r="H516">
        <v>0.496</v>
      </c>
      <c r="I516" t="s">
        <v>26</v>
      </c>
      <c r="J516">
        <v>0.5</v>
      </c>
      <c r="K516">
        <v>0.1</v>
      </c>
      <c r="L516">
        <v>7</v>
      </c>
    </row>
    <row r="517" spans="1:13" x14ac:dyDescent="0.2">
      <c r="C517" t="s">
        <v>27</v>
      </c>
    </row>
    <row r="518" spans="1:13" x14ac:dyDescent="0.2">
      <c r="C518" t="s">
        <v>28</v>
      </c>
      <c r="D518" t="s">
        <v>16</v>
      </c>
      <c r="E518" t="s">
        <v>29</v>
      </c>
      <c r="F518" t="s">
        <v>18</v>
      </c>
    </row>
    <row r="519" spans="1:13" x14ac:dyDescent="0.2">
      <c r="C519" t="b">
        <v>0</v>
      </c>
      <c r="D519">
        <v>1119005.06</v>
      </c>
      <c r="E519" t="s">
        <v>30</v>
      </c>
      <c r="F519">
        <v>0.498</v>
      </c>
    </row>
    <row r="520" spans="1:13" x14ac:dyDescent="0.2">
      <c r="C520" t="b">
        <v>0</v>
      </c>
      <c r="D520">
        <v>1115809.67</v>
      </c>
      <c r="E520" t="s">
        <v>30</v>
      </c>
      <c r="F520">
        <v>0.496</v>
      </c>
    </row>
    <row r="521" spans="1:13" x14ac:dyDescent="0.2">
      <c r="C521" t="b">
        <v>0</v>
      </c>
      <c r="D521">
        <v>1123389.98</v>
      </c>
      <c r="E521" t="s">
        <v>30</v>
      </c>
      <c r="F521">
        <v>0.5</v>
      </c>
    </row>
    <row r="522" spans="1:13" x14ac:dyDescent="0.2">
      <c r="C522" t="b">
        <v>0</v>
      </c>
      <c r="D522">
        <v>1111980.3700000001</v>
      </c>
      <c r="E522" t="s">
        <v>30</v>
      </c>
      <c r="F522">
        <v>0.495</v>
      </c>
    </row>
    <row r="523" spans="1:13" x14ac:dyDescent="0.2">
      <c r="C523" t="b">
        <v>0</v>
      </c>
      <c r="D523">
        <v>1107413.03</v>
      </c>
      <c r="E523" t="s">
        <v>30</v>
      </c>
      <c r="F523">
        <v>0.49299999999999999</v>
      </c>
    </row>
    <row r="524" spans="1:13" x14ac:dyDescent="0.2">
      <c r="C524" t="b">
        <v>0</v>
      </c>
      <c r="D524">
        <v>1112229.75</v>
      </c>
      <c r="E524" t="s">
        <v>30</v>
      </c>
      <c r="F524">
        <v>0.495</v>
      </c>
    </row>
    <row r="525" spans="1:13" x14ac:dyDescent="0.2">
      <c r="C525" t="b">
        <v>0</v>
      </c>
      <c r="D525">
        <v>1110552.4099999999</v>
      </c>
      <c r="E525" t="s">
        <v>30</v>
      </c>
      <c r="F525">
        <v>0.49399999999999999</v>
      </c>
    </row>
    <row r="526" spans="1:13" x14ac:dyDescent="0.2">
      <c r="B526" t="s">
        <v>11</v>
      </c>
    </row>
    <row r="527" spans="1:13" x14ac:dyDescent="0.2">
      <c r="B527" t="s">
        <v>12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t="s">
        <v>20</v>
      </c>
      <c r="K527" t="s">
        <v>21</v>
      </c>
      <c r="L527" t="s">
        <v>22</v>
      </c>
      <c r="M527" t="s">
        <v>23</v>
      </c>
    </row>
    <row r="528" spans="1:13" x14ac:dyDescent="0.2">
      <c r="B528" t="s">
        <v>31</v>
      </c>
      <c r="C528">
        <v>45</v>
      </c>
      <c r="E528" t="s">
        <v>25</v>
      </c>
      <c r="F528">
        <v>1134.3699999999999</v>
      </c>
      <c r="G528">
        <v>8.3000000000000007</v>
      </c>
      <c r="K528">
        <v>0.1</v>
      </c>
      <c r="L528">
        <v>7</v>
      </c>
      <c r="M528">
        <v>109.8</v>
      </c>
    </row>
    <row r="529" spans="2:13" x14ac:dyDescent="0.2">
      <c r="C529" t="s">
        <v>27</v>
      </c>
    </row>
    <row r="530" spans="2:13" x14ac:dyDescent="0.2">
      <c r="C530" t="s">
        <v>28</v>
      </c>
      <c r="D530" t="s">
        <v>16</v>
      </c>
      <c r="E530" t="s">
        <v>29</v>
      </c>
      <c r="F530" t="s">
        <v>18</v>
      </c>
    </row>
    <row r="531" spans="2:13" x14ac:dyDescent="0.2">
      <c r="C531" t="b">
        <v>0</v>
      </c>
      <c r="D531">
        <v>1330.1</v>
      </c>
      <c r="E531" t="s">
        <v>30</v>
      </c>
    </row>
    <row r="532" spans="2:13" x14ac:dyDescent="0.2">
      <c r="C532" t="b">
        <v>0</v>
      </c>
      <c r="D532">
        <v>1160.0899999999999</v>
      </c>
      <c r="E532" t="s">
        <v>30</v>
      </c>
    </row>
    <row r="533" spans="2:13" x14ac:dyDescent="0.2">
      <c r="C533" t="b">
        <v>0</v>
      </c>
      <c r="D533">
        <v>1050.08</v>
      </c>
      <c r="E533" t="s">
        <v>30</v>
      </c>
    </row>
    <row r="534" spans="2:13" x14ac:dyDescent="0.2">
      <c r="C534" t="b">
        <v>0</v>
      </c>
      <c r="D534">
        <v>1120.0899999999999</v>
      </c>
      <c r="E534" t="s">
        <v>30</v>
      </c>
    </row>
    <row r="535" spans="2:13" x14ac:dyDescent="0.2">
      <c r="C535" t="b">
        <v>0</v>
      </c>
      <c r="D535">
        <v>1130.0899999999999</v>
      </c>
      <c r="E535" t="s">
        <v>30</v>
      </c>
    </row>
    <row r="536" spans="2:13" x14ac:dyDescent="0.2">
      <c r="C536" t="b">
        <v>0</v>
      </c>
      <c r="D536">
        <v>1060.08</v>
      </c>
      <c r="E536" t="s">
        <v>30</v>
      </c>
    </row>
    <row r="537" spans="2:13" x14ac:dyDescent="0.2">
      <c r="C537" t="b">
        <v>0</v>
      </c>
      <c r="D537">
        <v>1090.08</v>
      </c>
      <c r="E537" t="s">
        <v>30</v>
      </c>
    </row>
    <row r="538" spans="2:13" x14ac:dyDescent="0.2">
      <c r="B538" t="s">
        <v>11</v>
      </c>
    </row>
    <row r="539" spans="2:13" x14ac:dyDescent="0.2">
      <c r="B539" t="s">
        <v>12</v>
      </c>
      <c r="C539" t="s">
        <v>13</v>
      </c>
      <c r="D539" t="s">
        <v>14</v>
      </c>
      <c r="E539" t="s">
        <v>15</v>
      </c>
      <c r="F539" t="s">
        <v>16</v>
      </c>
      <c r="G539" t="s">
        <v>17</v>
      </c>
      <c r="H539" t="s">
        <v>18</v>
      </c>
      <c r="I539" t="s">
        <v>19</v>
      </c>
      <c r="J539" t="s">
        <v>20</v>
      </c>
      <c r="K539" t="s">
        <v>21</v>
      </c>
      <c r="L539" t="s">
        <v>22</v>
      </c>
      <c r="M539" t="s">
        <v>23</v>
      </c>
    </row>
    <row r="540" spans="2:13" x14ac:dyDescent="0.2">
      <c r="B540" t="s">
        <v>32</v>
      </c>
      <c r="C540">
        <v>72</v>
      </c>
      <c r="E540" t="s">
        <v>25</v>
      </c>
      <c r="F540">
        <v>820.06</v>
      </c>
      <c r="G540">
        <v>14.4</v>
      </c>
      <c r="K540">
        <v>0.1</v>
      </c>
      <c r="L540">
        <v>7</v>
      </c>
      <c r="M540">
        <v>110</v>
      </c>
    </row>
    <row r="541" spans="2:13" x14ac:dyDescent="0.2">
      <c r="C541" t="s">
        <v>27</v>
      </c>
    </row>
    <row r="542" spans="2:13" x14ac:dyDescent="0.2">
      <c r="C542" t="s">
        <v>28</v>
      </c>
      <c r="D542" t="s">
        <v>16</v>
      </c>
      <c r="E542" t="s">
        <v>29</v>
      </c>
      <c r="F542" t="s">
        <v>18</v>
      </c>
    </row>
    <row r="543" spans="2:13" x14ac:dyDescent="0.2">
      <c r="C543" t="b">
        <v>0</v>
      </c>
      <c r="D543">
        <v>880.06</v>
      </c>
      <c r="E543" t="s">
        <v>30</v>
      </c>
    </row>
    <row r="544" spans="2:13" x14ac:dyDescent="0.2">
      <c r="C544" t="b">
        <v>0</v>
      </c>
      <c r="D544">
        <v>840.06</v>
      </c>
      <c r="E544" t="s">
        <v>30</v>
      </c>
    </row>
    <row r="545" spans="2:13" x14ac:dyDescent="0.2">
      <c r="C545" t="b">
        <v>0</v>
      </c>
      <c r="D545">
        <v>1030.08</v>
      </c>
      <c r="E545" t="s">
        <v>30</v>
      </c>
    </row>
    <row r="546" spans="2:13" x14ac:dyDescent="0.2">
      <c r="C546" t="b">
        <v>0</v>
      </c>
      <c r="D546">
        <v>770.04</v>
      </c>
      <c r="E546" t="s">
        <v>30</v>
      </c>
    </row>
    <row r="547" spans="2:13" x14ac:dyDescent="0.2">
      <c r="C547" t="b">
        <v>0</v>
      </c>
      <c r="D547">
        <v>670.04</v>
      </c>
      <c r="E547" t="s">
        <v>30</v>
      </c>
    </row>
    <row r="548" spans="2:13" x14ac:dyDescent="0.2">
      <c r="C548" t="b">
        <v>0</v>
      </c>
      <c r="D548">
        <v>830.06</v>
      </c>
      <c r="E548" t="s">
        <v>30</v>
      </c>
    </row>
    <row r="549" spans="2:13" x14ac:dyDescent="0.2">
      <c r="C549" t="b">
        <v>0</v>
      </c>
      <c r="D549">
        <v>720.05</v>
      </c>
      <c r="E549" t="s">
        <v>30</v>
      </c>
    </row>
    <row r="550" spans="2:13" x14ac:dyDescent="0.2">
      <c r="B550" t="s">
        <v>11</v>
      </c>
    </row>
    <row r="551" spans="2:13" x14ac:dyDescent="0.2">
      <c r="B551" t="s">
        <v>12</v>
      </c>
      <c r="C551" t="s">
        <v>13</v>
      </c>
      <c r="D551" t="s">
        <v>14</v>
      </c>
      <c r="E551" t="s">
        <v>15</v>
      </c>
      <c r="F551" t="s">
        <v>16</v>
      </c>
      <c r="G551" t="s">
        <v>17</v>
      </c>
      <c r="H551" t="s">
        <v>18</v>
      </c>
      <c r="I551" t="s">
        <v>19</v>
      </c>
      <c r="J551" t="s">
        <v>20</v>
      </c>
      <c r="K551" t="s">
        <v>21</v>
      </c>
      <c r="L551" t="s">
        <v>22</v>
      </c>
      <c r="M551" t="s">
        <v>23</v>
      </c>
    </row>
    <row r="552" spans="2:13" x14ac:dyDescent="0.2">
      <c r="B552" t="s">
        <v>33</v>
      </c>
      <c r="C552">
        <v>89</v>
      </c>
      <c r="E552" t="s">
        <v>25</v>
      </c>
      <c r="F552">
        <v>4812.4399999999996</v>
      </c>
      <c r="G552">
        <v>4.0999999999999996</v>
      </c>
      <c r="K552">
        <v>0.1</v>
      </c>
      <c r="L552">
        <v>7</v>
      </c>
      <c r="M552">
        <v>122</v>
      </c>
    </row>
    <row r="553" spans="2:13" x14ac:dyDescent="0.2">
      <c r="C553" t="s">
        <v>27</v>
      </c>
    </row>
    <row r="554" spans="2:13" x14ac:dyDescent="0.2">
      <c r="C554" t="s">
        <v>28</v>
      </c>
      <c r="D554" t="s">
        <v>16</v>
      </c>
      <c r="E554" t="s">
        <v>29</v>
      </c>
      <c r="F554" t="s">
        <v>18</v>
      </c>
    </row>
    <row r="555" spans="2:13" x14ac:dyDescent="0.2">
      <c r="C555" t="b">
        <v>0</v>
      </c>
      <c r="D555">
        <v>4870.9799999999996</v>
      </c>
      <c r="E555" t="s">
        <v>30</v>
      </c>
    </row>
    <row r="556" spans="2:13" x14ac:dyDescent="0.2">
      <c r="C556" t="b">
        <v>0</v>
      </c>
      <c r="D556">
        <v>4911.01</v>
      </c>
      <c r="E556" t="s">
        <v>30</v>
      </c>
    </row>
    <row r="557" spans="2:13" x14ac:dyDescent="0.2">
      <c r="C557" t="b">
        <v>0</v>
      </c>
      <c r="D557">
        <v>4941.08</v>
      </c>
      <c r="E557" t="s">
        <v>30</v>
      </c>
    </row>
    <row r="558" spans="2:13" x14ac:dyDescent="0.2">
      <c r="C558" t="b">
        <v>0</v>
      </c>
      <c r="D558">
        <v>4811.0200000000004</v>
      </c>
      <c r="E558" t="s">
        <v>30</v>
      </c>
    </row>
    <row r="559" spans="2:13" x14ac:dyDescent="0.2">
      <c r="C559" t="b">
        <v>0</v>
      </c>
      <c r="D559">
        <v>4550.93</v>
      </c>
      <c r="E559" t="s">
        <v>30</v>
      </c>
    </row>
    <row r="560" spans="2:13" x14ac:dyDescent="0.2">
      <c r="C560" t="b">
        <v>0</v>
      </c>
      <c r="D560">
        <v>4540.8999999999996</v>
      </c>
      <c r="E560" t="s">
        <v>30</v>
      </c>
    </row>
    <row r="561" spans="1:13" x14ac:dyDescent="0.2">
      <c r="C561" t="b">
        <v>0</v>
      </c>
      <c r="D561">
        <v>5061.1400000000003</v>
      </c>
      <c r="E561" t="s">
        <v>30</v>
      </c>
    </row>
    <row r="562" spans="1:13" x14ac:dyDescent="0.2">
      <c r="A562" t="s">
        <v>0</v>
      </c>
    </row>
    <row r="563" spans="1:13" x14ac:dyDescent="0.2"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</row>
    <row r="564" spans="1:13" x14ac:dyDescent="0.2">
      <c r="B564" t="b">
        <v>0</v>
      </c>
      <c r="C564" t="s">
        <v>64</v>
      </c>
      <c r="D564" t="s">
        <v>65</v>
      </c>
      <c r="E564" t="s">
        <v>49</v>
      </c>
      <c r="F564">
        <v>7</v>
      </c>
      <c r="G564" t="s">
        <v>66</v>
      </c>
    </row>
    <row r="565" spans="1:13" x14ac:dyDescent="0.2">
      <c r="B565" t="s">
        <v>11</v>
      </c>
    </row>
    <row r="566" spans="1:13" x14ac:dyDescent="0.2">
      <c r="B566" t="s">
        <v>12</v>
      </c>
      <c r="C566" t="s">
        <v>13</v>
      </c>
      <c r="D566" t="s">
        <v>14</v>
      </c>
      <c r="E566" t="s">
        <v>15</v>
      </c>
      <c r="F566" t="s">
        <v>16</v>
      </c>
      <c r="G566" t="s">
        <v>17</v>
      </c>
      <c r="H566" t="s">
        <v>18</v>
      </c>
      <c r="I566" t="s">
        <v>19</v>
      </c>
      <c r="J566" t="s">
        <v>20</v>
      </c>
      <c r="K566" t="s">
        <v>21</v>
      </c>
      <c r="L566" t="s">
        <v>22</v>
      </c>
      <c r="M566" t="s">
        <v>23</v>
      </c>
    </row>
    <row r="567" spans="1:13" x14ac:dyDescent="0.2">
      <c r="B567" t="s">
        <v>24</v>
      </c>
      <c r="C567">
        <v>59</v>
      </c>
      <c r="E567" t="s">
        <v>25</v>
      </c>
      <c r="F567">
        <v>2421724.7599999998</v>
      </c>
      <c r="G567">
        <v>0.5</v>
      </c>
      <c r="H567">
        <v>1.077</v>
      </c>
      <c r="I567" t="s">
        <v>26</v>
      </c>
      <c r="J567">
        <v>0.5</v>
      </c>
      <c r="K567">
        <v>0.1</v>
      </c>
      <c r="L567">
        <v>7</v>
      </c>
    </row>
    <row r="568" spans="1:13" x14ac:dyDescent="0.2">
      <c r="C568" t="s">
        <v>27</v>
      </c>
    </row>
    <row r="569" spans="1:13" x14ac:dyDescent="0.2">
      <c r="C569" t="s">
        <v>28</v>
      </c>
      <c r="D569" t="s">
        <v>16</v>
      </c>
      <c r="E569" t="s">
        <v>29</v>
      </c>
      <c r="F569" t="s">
        <v>18</v>
      </c>
    </row>
    <row r="570" spans="1:13" x14ac:dyDescent="0.2">
      <c r="C570" t="b">
        <v>0</v>
      </c>
      <c r="D570">
        <v>2412270.12</v>
      </c>
      <c r="E570" t="s">
        <v>67</v>
      </c>
      <c r="F570">
        <v>1.073</v>
      </c>
    </row>
    <row r="571" spans="1:13" x14ac:dyDescent="0.2">
      <c r="C571" t="b">
        <v>0</v>
      </c>
      <c r="D571">
        <v>2410549.65</v>
      </c>
      <c r="E571" t="s">
        <v>67</v>
      </c>
      <c r="F571">
        <v>1.0720000000000001</v>
      </c>
    </row>
    <row r="572" spans="1:13" x14ac:dyDescent="0.2">
      <c r="C572" t="b">
        <v>0</v>
      </c>
      <c r="D572">
        <v>2423400.2799999998</v>
      </c>
      <c r="E572" t="s">
        <v>67</v>
      </c>
      <c r="F572">
        <v>1.0780000000000001</v>
      </c>
    </row>
    <row r="573" spans="1:13" x14ac:dyDescent="0.2">
      <c r="C573" t="b">
        <v>0</v>
      </c>
      <c r="D573">
        <v>2436026.5299999998</v>
      </c>
      <c r="E573" t="s">
        <v>67</v>
      </c>
      <c r="F573">
        <v>1.0840000000000001</v>
      </c>
    </row>
    <row r="574" spans="1:13" x14ac:dyDescent="0.2">
      <c r="C574" t="b">
        <v>0</v>
      </c>
      <c r="D574">
        <v>2439392.46</v>
      </c>
      <c r="E574" t="s">
        <v>67</v>
      </c>
      <c r="F574">
        <v>1.085</v>
      </c>
    </row>
    <row r="575" spans="1:13" x14ac:dyDescent="0.2">
      <c r="C575" t="b">
        <v>0</v>
      </c>
      <c r="D575">
        <v>2417610.75</v>
      </c>
      <c r="E575" t="s">
        <v>67</v>
      </c>
      <c r="F575">
        <v>1.075</v>
      </c>
    </row>
    <row r="576" spans="1:13" x14ac:dyDescent="0.2">
      <c r="C576" t="b">
        <v>0</v>
      </c>
      <c r="D576">
        <v>2412823.56</v>
      </c>
      <c r="E576" t="s">
        <v>67</v>
      </c>
      <c r="F576">
        <v>1.073</v>
      </c>
    </row>
    <row r="577" spans="2:13" x14ac:dyDescent="0.2">
      <c r="B577" t="s">
        <v>11</v>
      </c>
    </row>
    <row r="578" spans="2:13" x14ac:dyDescent="0.2">
      <c r="B578" t="s">
        <v>12</v>
      </c>
      <c r="C578" t="s">
        <v>13</v>
      </c>
      <c r="D578" t="s">
        <v>14</v>
      </c>
      <c r="E578" t="s">
        <v>15</v>
      </c>
      <c r="F578" t="s">
        <v>16</v>
      </c>
      <c r="G578" t="s">
        <v>17</v>
      </c>
      <c r="H578" t="s">
        <v>18</v>
      </c>
      <c r="I578" t="s">
        <v>19</v>
      </c>
      <c r="J578" t="s">
        <v>20</v>
      </c>
      <c r="K578" t="s">
        <v>21</v>
      </c>
      <c r="L578" t="s">
        <v>22</v>
      </c>
      <c r="M578" t="s">
        <v>23</v>
      </c>
    </row>
    <row r="579" spans="2:13" x14ac:dyDescent="0.2">
      <c r="B579" t="s">
        <v>31</v>
      </c>
      <c r="C579">
        <v>45</v>
      </c>
      <c r="E579" t="s">
        <v>25</v>
      </c>
      <c r="F579">
        <v>1150.0899999999999</v>
      </c>
      <c r="G579">
        <v>12.1</v>
      </c>
      <c r="K579">
        <v>0.1</v>
      </c>
      <c r="L579">
        <v>7</v>
      </c>
      <c r="M579">
        <v>111.3</v>
      </c>
    </row>
    <row r="580" spans="2:13" x14ac:dyDescent="0.2">
      <c r="C580" t="s">
        <v>27</v>
      </c>
    </row>
    <row r="581" spans="2:13" x14ac:dyDescent="0.2">
      <c r="C581" t="s">
        <v>28</v>
      </c>
      <c r="D581" t="s">
        <v>16</v>
      </c>
      <c r="E581" t="s">
        <v>29</v>
      </c>
      <c r="F581" t="s">
        <v>18</v>
      </c>
    </row>
    <row r="582" spans="2:13" x14ac:dyDescent="0.2">
      <c r="C582" t="b">
        <v>0</v>
      </c>
      <c r="D582">
        <v>950.07</v>
      </c>
      <c r="E582" t="s">
        <v>30</v>
      </c>
    </row>
    <row r="583" spans="2:13" x14ac:dyDescent="0.2">
      <c r="C583" t="b">
        <v>0</v>
      </c>
      <c r="D583">
        <v>1010.07</v>
      </c>
      <c r="E583" t="s">
        <v>30</v>
      </c>
    </row>
    <row r="584" spans="2:13" x14ac:dyDescent="0.2">
      <c r="C584" t="b">
        <v>0</v>
      </c>
      <c r="D584">
        <v>1200.0999999999999</v>
      </c>
      <c r="E584" t="s">
        <v>30</v>
      </c>
    </row>
    <row r="585" spans="2:13" x14ac:dyDescent="0.2">
      <c r="C585" t="b">
        <v>0</v>
      </c>
      <c r="D585">
        <v>1160.0899999999999</v>
      </c>
      <c r="E585" t="s">
        <v>30</v>
      </c>
    </row>
    <row r="586" spans="2:13" x14ac:dyDescent="0.2">
      <c r="C586" t="b">
        <v>0</v>
      </c>
      <c r="D586">
        <v>1370.12</v>
      </c>
      <c r="E586" t="s">
        <v>30</v>
      </c>
    </row>
    <row r="587" spans="2:13" x14ac:dyDescent="0.2">
      <c r="C587" t="b">
        <v>0</v>
      </c>
      <c r="D587">
        <v>1140.08</v>
      </c>
      <c r="E587" t="s">
        <v>30</v>
      </c>
    </row>
    <row r="588" spans="2:13" x14ac:dyDescent="0.2">
      <c r="C588" t="b">
        <v>0</v>
      </c>
      <c r="D588">
        <v>1220.0999999999999</v>
      </c>
      <c r="E588" t="s">
        <v>30</v>
      </c>
    </row>
    <row r="589" spans="2:13" x14ac:dyDescent="0.2">
      <c r="B589" t="s">
        <v>11</v>
      </c>
    </row>
    <row r="590" spans="2:13" x14ac:dyDescent="0.2">
      <c r="B590" t="s">
        <v>12</v>
      </c>
      <c r="C590" t="s">
        <v>13</v>
      </c>
      <c r="D590" t="s">
        <v>14</v>
      </c>
      <c r="E590" t="s">
        <v>15</v>
      </c>
      <c r="F590" t="s">
        <v>16</v>
      </c>
      <c r="G590" t="s">
        <v>17</v>
      </c>
      <c r="H590" t="s">
        <v>18</v>
      </c>
      <c r="I590" t="s">
        <v>19</v>
      </c>
      <c r="J590" t="s">
        <v>20</v>
      </c>
      <c r="K590" t="s">
        <v>21</v>
      </c>
      <c r="L590" t="s">
        <v>22</v>
      </c>
      <c r="M590" t="s">
        <v>23</v>
      </c>
    </row>
    <row r="591" spans="2:13" x14ac:dyDescent="0.2">
      <c r="B591" t="s">
        <v>32</v>
      </c>
      <c r="C591">
        <v>72</v>
      </c>
      <c r="E591" t="s">
        <v>25</v>
      </c>
      <c r="F591">
        <v>881.49</v>
      </c>
      <c r="G591">
        <v>8.1</v>
      </c>
      <c r="K591">
        <v>0.1</v>
      </c>
      <c r="L591">
        <v>7</v>
      </c>
      <c r="M591">
        <v>118.2</v>
      </c>
    </row>
    <row r="592" spans="2:13" x14ac:dyDescent="0.2">
      <c r="C592" t="s">
        <v>27</v>
      </c>
    </row>
    <row r="593" spans="2:13" x14ac:dyDescent="0.2">
      <c r="C593" t="s">
        <v>28</v>
      </c>
      <c r="D593" t="s">
        <v>16</v>
      </c>
      <c r="E593" t="s">
        <v>29</v>
      </c>
      <c r="F593" t="s">
        <v>18</v>
      </c>
    </row>
    <row r="594" spans="2:13" x14ac:dyDescent="0.2">
      <c r="C594" t="b">
        <v>0</v>
      </c>
      <c r="D594">
        <v>850.06</v>
      </c>
      <c r="E594" t="s">
        <v>30</v>
      </c>
    </row>
    <row r="595" spans="2:13" x14ac:dyDescent="0.2">
      <c r="C595" t="b">
        <v>0</v>
      </c>
      <c r="D595">
        <v>980.07</v>
      </c>
      <c r="E595" t="s">
        <v>30</v>
      </c>
    </row>
    <row r="596" spans="2:13" x14ac:dyDescent="0.2">
      <c r="C596" t="b">
        <v>0</v>
      </c>
      <c r="D596">
        <v>860.06</v>
      </c>
      <c r="E596" t="s">
        <v>30</v>
      </c>
    </row>
    <row r="597" spans="2:13" x14ac:dyDescent="0.2">
      <c r="C597" t="b">
        <v>0</v>
      </c>
      <c r="D597">
        <v>860.05</v>
      </c>
      <c r="E597" t="s">
        <v>30</v>
      </c>
    </row>
    <row r="598" spans="2:13" x14ac:dyDescent="0.2">
      <c r="C598" t="b">
        <v>0</v>
      </c>
      <c r="D598">
        <v>850.06</v>
      </c>
      <c r="E598" t="s">
        <v>30</v>
      </c>
    </row>
    <row r="599" spans="2:13" x14ac:dyDescent="0.2">
      <c r="C599" t="b">
        <v>0</v>
      </c>
      <c r="D599">
        <v>980.07</v>
      </c>
      <c r="E599" t="s">
        <v>30</v>
      </c>
    </row>
    <row r="600" spans="2:13" x14ac:dyDescent="0.2">
      <c r="C600" t="b">
        <v>0</v>
      </c>
      <c r="D600">
        <v>790.05</v>
      </c>
      <c r="E600" t="s">
        <v>30</v>
      </c>
    </row>
    <row r="601" spans="2:13" x14ac:dyDescent="0.2">
      <c r="B601" t="s">
        <v>11</v>
      </c>
    </row>
    <row r="602" spans="2:13" x14ac:dyDescent="0.2">
      <c r="B602" t="s">
        <v>12</v>
      </c>
      <c r="C602" t="s">
        <v>13</v>
      </c>
      <c r="D602" t="s">
        <v>14</v>
      </c>
      <c r="E602" t="s">
        <v>15</v>
      </c>
      <c r="F602" t="s">
        <v>16</v>
      </c>
      <c r="G602" t="s">
        <v>17</v>
      </c>
      <c r="H602" t="s">
        <v>18</v>
      </c>
      <c r="I602" t="s">
        <v>19</v>
      </c>
      <c r="J602" t="s">
        <v>20</v>
      </c>
      <c r="K602" t="s">
        <v>21</v>
      </c>
      <c r="L602" t="s">
        <v>22</v>
      </c>
      <c r="M602" t="s">
        <v>23</v>
      </c>
    </row>
    <row r="603" spans="2:13" x14ac:dyDescent="0.2">
      <c r="B603" t="s">
        <v>33</v>
      </c>
      <c r="C603">
        <v>89</v>
      </c>
      <c r="E603" t="s">
        <v>25</v>
      </c>
      <c r="F603">
        <v>4358</v>
      </c>
      <c r="G603">
        <v>6.9</v>
      </c>
      <c r="K603">
        <v>0.1</v>
      </c>
      <c r="L603">
        <v>7</v>
      </c>
      <c r="M603">
        <v>110.5</v>
      </c>
    </row>
    <row r="604" spans="2:13" x14ac:dyDescent="0.2">
      <c r="C604" t="s">
        <v>27</v>
      </c>
    </row>
    <row r="605" spans="2:13" x14ac:dyDescent="0.2">
      <c r="C605" t="s">
        <v>28</v>
      </c>
      <c r="D605" t="s">
        <v>16</v>
      </c>
      <c r="E605" t="s">
        <v>29</v>
      </c>
      <c r="F605" t="s">
        <v>18</v>
      </c>
    </row>
    <row r="606" spans="2:13" x14ac:dyDescent="0.2">
      <c r="C606" t="b">
        <v>0</v>
      </c>
      <c r="D606">
        <v>4240.83</v>
      </c>
      <c r="E606" t="s">
        <v>30</v>
      </c>
    </row>
    <row r="607" spans="2:13" x14ac:dyDescent="0.2">
      <c r="C607" t="b">
        <v>0</v>
      </c>
      <c r="D607">
        <v>4190.84</v>
      </c>
      <c r="E607" t="s">
        <v>30</v>
      </c>
    </row>
    <row r="608" spans="2:13" x14ac:dyDescent="0.2">
      <c r="C608" t="b">
        <v>0</v>
      </c>
      <c r="D608">
        <v>4630.93</v>
      </c>
      <c r="E608" t="s">
        <v>30</v>
      </c>
    </row>
    <row r="609" spans="1:13" x14ac:dyDescent="0.2">
      <c r="C609" t="b">
        <v>0</v>
      </c>
      <c r="D609">
        <v>3840.66</v>
      </c>
      <c r="E609" t="s">
        <v>30</v>
      </c>
    </row>
    <row r="610" spans="1:13" x14ac:dyDescent="0.2">
      <c r="C610" t="b">
        <v>0</v>
      </c>
      <c r="D610">
        <v>4671.0200000000004</v>
      </c>
      <c r="E610" t="s">
        <v>30</v>
      </c>
    </row>
    <row r="611" spans="1:13" x14ac:dyDescent="0.2">
      <c r="C611" t="b">
        <v>0</v>
      </c>
      <c r="D611">
        <v>4340.8599999999997</v>
      </c>
      <c r="E611" t="s">
        <v>30</v>
      </c>
    </row>
    <row r="612" spans="1:13" x14ac:dyDescent="0.2">
      <c r="C612" t="b">
        <v>0</v>
      </c>
      <c r="D612">
        <v>4590.8900000000003</v>
      </c>
      <c r="E612" t="s">
        <v>30</v>
      </c>
    </row>
    <row r="613" spans="1:13" x14ac:dyDescent="0.2">
      <c r="A613" t="s">
        <v>0</v>
      </c>
    </row>
    <row r="614" spans="1:13" x14ac:dyDescent="0.2"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</row>
    <row r="615" spans="1:13" x14ac:dyDescent="0.2">
      <c r="B615" t="b">
        <v>0</v>
      </c>
      <c r="C615" t="s">
        <v>68</v>
      </c>
      <c r="D615" t="s">
        <v>69</v>
      </c>
      <c r="E615" t="s">
        <v>49</v>
      </c>
      <c r="F615">
        <v>8</v>
      </c>
      <c r="G615" t="s">
        <v>70</v>
      </c>
    </row>
    <row r="616" spans="1:13" x14ac:dyDescent="0.2">
      <c r="B616" t="s">
        <v>11</v>
      </c>
    </row>
    <row r="617" spans="1:13" x14ac:dyDescent="0.2">
      <c r="B617" t="s">
        <v>12</v>
      </c>
      <c r="C617" t="s">
        <v>13</v>
      </c>
      <c r="D617" t="s">
        <v>14</v>
      </c>
      <c r="E617" t="s">
        <v>15</v>
      </c>
      <c r="F617" t="s">
        <v>16</v>
      </c>
      <c r="G617" t="s">
        <v>17</v>
      </c>
      <c r="H617" t="s">
        <v>18</v>
      </c>
      <c r="I617" t="s">
        <v>19</v>
      </c>
      <c r="J617" t="s">
        <v>20</v>
      </c>
      <c r="K617" t="s">
        <v>21</v>
      </c>
      <c r="L617" t="s">
        <v>22</v>
      </c>
      <c r="M617" t="s">
        <v>23</v>
      </c>
    </row>
    <row r="618" spans="1:13" x14ac:dyDescent="0.2">
      <c r="B618" t="s">
        <v>24</v>
      </c>
      <c r="C618">
        <v>59</v>
      </c>
      <c r="E618" t="s">
        <v>25</v>
      </c>
      <c r="F618">
        <v>21837173.600000001</v>
      </c>
      <c r="G618">
        <v>1.7</v>
      </c>
      <c r="H618">
        <v>9.7129999999999992</v>
      </c>
      <c r="I618" t="s">
        <v>26</v>
      </c>
      <c r="J618">
        <v>1.7</v>
      </c>
      <c r="K618">
        <v>0.1</v>
      </c>
      <c r="L618">
        <v>7</v>
      </c>
    </row>
    <row r="619" spans="1:13" x14ac:dyDescent="0.2">
      <c r="C619" t="s">
        <v>27</v>
      </c>
    </row>
    <row r="620" spans="1:13" x14ac:dyDescent="0.2">
      <c r="C620" t="s">
        <v>28</v>
      </c>
      <c r="D620" t="s">
        <v>16</v>
      </c>
      <c r="E620" t="s">
        <v>29</v>
      </c>
      <c r="F620" t="s">
        <v>18</v>
      </c>
    </row>
    <row r="621" spans="1:13" x14ac:dyDescent="0.2">
      <c r="C621" t="b">
        <v>0</v>
      </c>
      <c r="D621">
        <v>21978139.670000002</v>
      </c>
      <c r="E621" t="s">
        <v>67</v>
      </c>
      <c r="F621">
        <v>9.7759999999999998</v>
      </c>
    </row>
    <row r="622" spans="1:13" x14ac:dyDescent="0.2">
      <c r="C622" t="b">
        <v>0</v>
      </c>
      <c r="D622">
        <v>21710939.68</v>
      </c>
      <c r="E622" t="s">
        <v>67</v>
      </c>
      <c r="F622">
        <v>9.657</v>
      </c>
    </row>
    <row r="623" spans="1:13" x14ac:dyDescent="0.2">
      <c r="C623" t="b">
        <v>0</v>
      </c>
      <c r="D623">
        <v>22032817.170000002</v>
      </c>
      <c r="E623" t="s">
        <v>67</v>
      </c>
      <c r="F623">
        <v>9.8000000000000007</v>
      </c>
    </row>
    <row r="624" spans="1:13" x14ac:dyDescent="0.2">
      <c r="C624" t="b">
        <v>0</v>
      </c>
      <c r="D624">
        <v>21118314.690000001</v>
      </c>
      <c r="E624" t="s">
        <v>67</v>
      </c>
      <c r="F624">
        <v>9.3940000000000001</v>
      </c>
    </row>
    <row r="625" spans="2:13" x14ac:dyDescent="0.2">
      <c r="C625" t="b">
        <v>0</v>
      </c>
      <c r="D625">
        <v>21656754.68</v>
      </c>
      <c r="E625" t="s">
        <v>67</v>
      </c>
      <c r="F625">
        <v>9.6329999999999991</v>
      </c>
    </row>
    <row r="626" spans="2:13" x14ac:dyDescent="0.2">
      <c r="C626" t="b">
        <v>0</v>
      </c>
      <c r="D626">
        <v>22150807.170000002</v>
      </c>
      <c r="E626" t="s">
        <v>67</v>
      </c>
      <c r="F626">
        <v>9.8529999999999998</v>
      </c>
    </row>
    <row r="627" spans="2:13" x14ac:dyDescent="0.2">
      <c r="C627" t="b">
        <v>0</v>
      </c>
      <c r="D627">
        <v>22212442.170000002</v>
      </c>
      <c r="E627" t="s">
        <v>67</v>
      </c>
      <c r="F627">
        <v>9.8800000000000008</v>
      </c>
    </row>
    <row r="628" spans="2:13" x14ac:dyDescent="0.2">
      <c r="B628" t="s">
        <v>11</v>
      </c>
    </row>
    <row r="629" spans="2:13" x14ac:dyDescent="0.2">
      <c r="B629" t="s">
        <v>12</v>
      </c>
      <c r="C629" t="s">
        <v>13</v>
      </c>
      <c r="D629" t="s">
        <v>14</v>
      </c>
      <c r="E629" t="s">
        <v>15</v>
      </c>
      <c r="F629" t="s">
        <v>16</v>
      </c>
      <c r="G629" t="s">
        <v>17</v>
      </c>
      <c r="H629" t="s">
        <v>18</v>
      </c>
      <c r="I629" t="s">
        <v>19</v>
      </c>
      <c r="J629" t="s">
        <v>20</v>
      </c>
      <c r="K629" t="s">
        <v>21</v>
      </c>
      <c r="L629" t="s">
        <v>22</v>
      </c>
      <c r="M629" t="s">
        <v>23</v>
      </c>
    </row>
    <row r="630" spans="2:13" x14ac:dyDescent="0.2">
      <c r="B630" t="s">
        <v>31</v>
      </c>
      <c r="C630">
        <v>45</v>
      </c>
      <c r="E630" t="s">
        <v>25</v>
      </c>
      <c r="F630">
        <v>1072.93</v>
      </c>
      <c r="G630">
        <v>4.2</v>
      </c>
      <c r="K630">
        <v>0.1</v>
      </c>
      <c r="L630">
        <v>7</v>
      </c>
      <c r="M630">
        <v>103.9</v>
      </c>
    </row>
    <row r="631" spans="2:13" x14ac:dyDescent="0.2">
      <c r="C631" t="s">
        <v>27</v>
      </c>
    </row>
    <row r="632" spans="2:13" x14ac:dyDescent="0.2">
      <c r="C632" t="s">
        <v>28</v>
      </c>
      <c r="D632" t="s">
        <v>16</v>
      </c>
      <c r="E632" t="s">
        <v>29</v>
      </c>
      <c r="F632" t="s">
        <v>18</v>
      </c>
    </row>
    <row r="633" spans="2:13" x14ac:dyDescent="0.2">
      <c r="C633" t="b">
        <v>0</v>
      </c>
      <c r="D633">
        <v>1050.07</v>
      </c>
      <c r="E633" t="s">
        <v>30</v>
      </c>
    </row>
    <row r="634" spans="2:13" x14ac:dyDescent="0.2">
      <c r="C634" t="b">
        <v>0</v>
      </c>
      <c r="D634">
        <v>1130.08</v>
      </c>
      <c r="E634" t="s">
        <v>30</v>
      </c>
    </row>
    <row r="635" spans="2:13" x14ac:dyDescent="0.2">
      <c r="C635" t="b">
        <v>0</v>
      </c>
      <c r="D635">
        <v>1090.08</v>
      </c>
      <c r="E635" t="s">
        <v>30</v>
      </c>
    </row>
    <row r="636" spans="2:13" x14ac:dyDescent="0.2">
      <c r="C636" t="b">
        <v>0</v>
      </c>
      <c r="D636">
        <v>1000.07</v>
      </c>
      <c r="E636" t="s">
        <v>30</v>
      </c>
    </row>
    <row r="637" spans="2:13" x14ac:dyDescent="0.2">
      <c r="C637" t="b">
        <v>0</v>
      </c>
      <c r="D637">
        <v>1110.08</v>
      </c>
      <c r="E637" t="s">
        <v>30</v>
      </c>
    </row>
    <row r="638" spans="2:13" x14ac:dyDescent="0.2">
      <c r="C638" t="b">
        <v>0</v>
      </c>
      <c r="D638">
        <v>1090.07</v>
      </c>
      <c r="E638" t="s">
        <v>30</v>
      </c>
    </row>
    <row r="639" spans="2:13" x14ac:dyDescent="0.2">
      <c r="C639" t="b">
        <v>0</v>
      </c>
      <c r="D639">
        <v>1040.08</v>
      </c>
      <c r="E639" t="s">
        <v>30</v>
      </c>
    </row>
    <row r="640" spans="2:13" x14ac:dyDescent="0.2">
      <c r="B640" t="s">
        <v>11</v>
      </c>
    </row>
    <row r="641" spans="2:13" x14ac:dyDescent="0.2">
      <c r="B641" t="s">
        <v>12</v>
      </c>
      <c r="C641" t="s">
        <v>13</v>
      </c>
      <c r="D641" t="s">
        <v>14</v>
      </c>
      <c r="E641" t="s">
        <v>15</v>
      </c>
      <c r="F641" t="s">
        <v>16</v>
      </c>
      <c r="G641" t="s">
        <v>17</v>
      </c>
      <c r="H641" t="s">
        <v>18</v>
      </c>
      <c r="I641" t="s">
        <v>19</v>
      </c>
      <c r="J641" t="s">
        <v>20</v>
      </c>
      <c r="K641" t="s">
        <v>21</v>
      </c>
      <c r="L641" t="s">
        <v>22</v>
      </c>
      <c r="M641" t="s">
        <v>23</v>
      </c>
    </row>
    <row r="642" spans="2:13" x14ac:dyDescent="0.2">
      <c r="B642" t="s">
        <v>32</v>
      </c>
      <c r="C642">
        <v>72</v>
      </c>
      <c r="E642" t="s">
        <v>25</v>
      </c>
      <c r="F642">
        <v>788.62</v>
      </c>
      <c r="G642">
        <v>8.4</v>
      </c>
      <c r="K642">
        <v>0.1</v>
      </c>
      <c r="L642">
        <v>7</v>
      </c>
      <c r="M642">
        <v>105.7</v>
      </c>
    </row>
    <row r="643" spans="2:13" x14ac:dyDescent="0.2">
      <c r="C643" t="s">
        <v>27</v>
      </c>
    </row>
    <row r="644" spans="2:13" x14ac:dyDescent="0.2">
      <c r="C644" t="s">
        <v>28</v>
      </c>
      <c r="D644" t="s">
        <v>16</v>
      </c>
      <c r="E644" t="s">
        <v>29</v>
      </c>
      <c r="F644" t="s">
        <v>18</v>
      </c>
    </row>
    <row r="645" spans="2:13" x14ac:dyDescent="0.2">
      <c r="C645" t="b">
        <v>0</v>
      </c>
      <c r="D645">
        <v>800.05</v>
      </c>
      <c r="E645" t="s">
        <v>30</v>
      </c>
    </row>
    <row r="646" spans="2:13" x14ac:dyDescent="0.2">
      <c r="C646" t="b">
        <v>0</v>
      </c>
      <c r="D646">
        <v>920.06</v>
      </c>
      <c r="E646" t="s">
        <v>30</v>
      </c>
    </row>
    <row r="647" spans="2:13" x14ac:dyDescent="0.2">
      <c r="C647" t="b">
        <v>0</v>
      </c>
      <c r="D647">
        <v>800.06</v>
      </c>
      <c r="E647" t="s">
        <v>30</v>
      </c>
    </row>
    <row r="648" spans="2:13" x14ac:dyDescent="0.2">
      <c r="C648" t="b">
        <v>0</v>
      </c>
      <c r="D648">
        <v>780.04</v>
      </c>
      <c r="E648" t="s">
        <v>30</v>
      </c>
    </row>
    <row r="649" spans="2:13" x14ac:dyDescent="0.2">
      <c r="C649" t="b">
        <v>0</v>
      </c>
      <c r="D649">
        <v>740.05</v>
      </c>
      <c r="E649" t="s">
        <v>30</v>
      </c>
    </row>
    <row r="650" spans="2:13" x14ac:dyDescent="0.2">
      <c r="C650" t="b">
        <v>0</v>
      </c>
      <c r="D650">
        <v>770.05</v>
      </c>
      <c r="E650" t="s">
        <v>30</v>
      </c>
    </row>
    <row r="651" spans="2:13" x14ac:dyDescent="0.2">
      <c r="C651" t="b">
        <v>0</v>
      </c>
      <c r="D651">
        <v>710.04</v>
      </c>
      <c r="E651" t="s">
        <v>30</v>
      </c>
    </row>
    <row r="652" spans="2:13" x14ac:dyDescent="0.2">
      <c r="B652" t="s">
        <v>11</v>
      </c>
    </row>
    <row r="653" spans="2:13" x14ac:dyDescent="0.2">
      <c r="B653" t="s">
        <v>12</v>
      </c>
      <c r="C653" t="s">
        <v>13</v>
      </c>
      <c r="D653" t="s">
        <v>14</v>
      </c>
      <c r="E653" t="s">
        <v>15</v>
      </c>
      <c r="F653" t="s">
        <v>16</v>
      </c>
      <c r="G653" t="s">
        <v>17</v>
      </c>
      <c r="H653" t="s">
        <v>18</v>
      </c>
      <c r="I653" t="s">
        <v>19</v>
      </c>
      <c r="J653" t="s">
        <v>20</v>
      </c>
      <c r="K653" t="s">
        <v>21</v>
      </c>
      <c r="L653" t="s">
        <v>22</v>
      </c>
      <c r="M653" t="s">
        <v>23</v>
      </c>
    </row>
    <row r="654" spans="2:13" x14ac:dyDescent="0.2">
      <c r="B654" t="s">
        <v>33</v>
      </c>
      <c r="C654">
        <v>89</v>
      </c>
      <c r="E654" t="s">
        <v>25</v>
      </c>
      <c r="F654">
        <v>4270.8100000000004</v>
      </c>
      <c r="G654">
        <v>4.9000000000000004</v>
      </c>
      <c r="K654">
        <v>0.1</v>
      </c>
      <c r="L654">
        <v>7</v>
      </c>
      <c r="M654">
        <v>108.3</v>
      </c>
    </row>
    <row r="655" spans="2:13" x14ac:dyDescent="0.2">
      <c r="C655" t="s">
        <v>27</v>
      </c>
    </row>
    <row r="656" spans="2:13" x14ac:dyDescent="0.2">
      <c r="C656" t="s">
        <v>28</v>
      </c>
      <c r="D656" t="s">
        <v>16</v>
      </c>
      <c r="E656" t="s">
        <v>29</v>
      </c>
      <c r="F656" t="s">
        <v>18</v>
      </c>
    </row>
    <row r="657" spans="1:13" x14ac:dyDescent="0.2">
      <c r="C657" t="b">
        <v>0</v>
      </c>
      <c r="D657">
        <v>4030.74</v>
      </c>
      <c r="E657" t="s">
        <v>30</v>
      </c>
    </row>
    <row r="658" spans="1:13" x14ac:dyDescent="0.2">
      <c r="C658" t="b">
        <v>0</v>
      </c>
      <c r="D658">
        <v>4100.7299999999996</v>
      </c>
      <c r="E658" t="s">
        <v>30</v>
      </c>
    </row>
    <row r="659" spans="1:13" x14ac:dyDescent="0.2">
      <c r="C659" t="b">
        <v>0</v>
      </c>
      <c r="D659">
        <v>4200.7700000000004</v>
      </c>
      <c r="E659" t="s">
        <v>30</v>
      </c>
    </row>
    <row r="660" spans="1:13" x14ac:dyDescent="0.2">
      <c r="C660" t="b">
        <v>0</v>
      </c>
      <c r="D660">
        <v>4550.92</v>
      </c>
      <c r="E660" t="s">
        <v>30</v>
      </c>
    </row>
    <row r="661" spans="1:13" x14ac:dyDescent="0.2">
      <c r="C661" t="b">
        <v>0</v>
      </c>
      <c r="D661">
        <v>4380.83</v>
      </c>
      <c r="E661" t="s">
        <v>30</v>
      </c>
    </row>
    <row r="662" spans="1:13" x14ac:dyDescent="0.2">
      <c r="C662" t="b">
        <v>0</v>
      </c>
      <c r="D662">
        <v>4510.9399999999996</v>
      </c>
      <c r="E662" t="s">
        <v>30</v>
      </c>
    </row>
    <row r="663" spans="1:13" x14ac:dyDescent="0.2">
      <c r="C663" t="b">
        <v>0</v>
      </c>
      <c r="D663">
        <v>4120.7700000000004</v>
      </c>
      <c r="E663" t="s">
        <v>30</v>
      </c>
    </row>
    <row r="664" spans="1:13" x14ac:dyDescent="0.2">
      <c r="A664" t="s">
        <v>0</v>
      </c>
    </row>
    <row r="665" spans="1:13" x14ac:dyDescent="0.2"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</row>
    <row r="666" spans="1:13" x14ac:dyDescent="0.2">
      <c r="B666" t="b">
        <v>0</v>
      </c>
      <c r="C666" t="s">
        <v>71</v>
      </c>
      <c r="D666" t="s">
        <v>72</v>
      </c>
      <c r="E666" t="s">
        <v>49</v>
      </c>
      <c r="F666">
        <v>9</v>
      </c>
      <c r="G666" t="s">
        <v>73</v>
      </c>
    </row>
    <row r="667" spans="1:13" x14ac:dyDescent="0.2">
      <c r="B667" t="s">
        <v>11</v>
      </c>
    </row>
    <row r="668" spans="1:13" x14ac:dyDescent="0.2">
      <c r="B668" t="s">
        <v>12</v>
      </c>
      <c r="C668" t="s">
        <v>13</v>
      </c>
      <c r="D668" t="s">
        <v>14</v>
      </c>
      <c r="E668" t="s">
        <v>15</v>
      </c>
      <c r="F668" t="s">
        <v>16</v>
      </c>
      <c r="G668" t="s">
        <v>17</v>
      </c>
      <c r="H668" t="s">
        <v>18</v>
      </c>
      <c r="I668" t="s">
        <v>19</v>
      </c>
      <c r="J668" t="s">
        <v>20</v>
      </c>
      <c r="K668" t="s">
        <v>21</v>
      </c>
      <c r="L668" t="s">
        <v>22</v>
      </c>
      <c r="M668" t="s">
        <v>23</v>
      </c>
    </row>
    <row r="669" spans="1:13" x14ac:dyDescent="0.2">
      <c r="B669" t="s">
        <v>24</v>
      </c>
      <c r="C669">
        <v>59</v>
      </c>
      <c r="E669" t="s">
        <v>25</v>
      </c>
      <c r="F669">
        <v>112533001.18000001</v>
      </c>
      <c r="G669">
        <v>0.3</v>
      </c>
      <c r="H669">
        <v>50.055999999999997</v>
      </c>
      <c r="I669" t="s">
        <v>26</v>
      </c>
      <c r="J669">
        <v>0.3</v>
      </c>
      <c r="K669">
        <v>0.1</v>
      </c>
      <c r="L669">
        <v>7</v>
      </c>
    </row>
    <row r="670" spans="1:13" x14ac:dyDescent="0.2">
      <c r="C670" t="s">
        <v>27</v>
      </c>
    </row>
    <row r="671" spans="1:13" x14ac:dyDescent="0.2">
      <c r="C671" t="s">
        <v>28</v>
      </c>
      <c r="D671" t="s">
        <v>16</v>
      </c>
      <c r="E671" t="s">
        <v>29</v>
      </c>
      <c r="F671" t="s">
        <v>18</v>
      </c>
    </row>
    <row r="672" spans="1:13" x14ac:dyDescent="0.2">
      <c r="C672" t="b">
        <v>0</v>
      </c>
      <c r="D672">
        <v>112347998.33</v>
      </c>
      <c r="E672" t="s">
        <v>67</v>
      </c>
      <c r="F672">
        <v>49.973999999999997</v>
      </c>
    </row>
    <row r="673" spans="2:13" x14ac:dyDescent="0.2">
      <c r="C673" t="b">
        <v>0</v>
      </c>
      <c r="D673">
        <v>112627688.31999999</v>
      </c>
      <c r="E673" t="s">
        <v>67</v>
      </c>
      <c r="F673">
        <v>50.097999999999999</v>
      </c>
    </row>
    <row r="674" spans="2:13" x14ac:dyDescent="0.2">
      <c r="C674" t="b">
        <v>0</v>
      </c>
      <c r="D674">
        <v>112437128.31999999</v>
      </c>
      <c r="E674" t="s">
        <v>67</v>
      </c>
      <c r="F674">
        <v>50.012999999999998</v>
      </c>
    </row>
    <row r="675" spans="2:13" x14ac:dyDescent="0.2">
      <c r="C675" t="b">
        <v>0</v>
      </c>
      <c r="D675">
        <v>112233458.33</v>
      </c>
      <c r="E675" t="s">
        <v>67</v>
      </c>
      <c r="F675">
        <v>49.923000000000002</v>
      </c>
    </row>
    <row r="676" spans="2:13" x14ac:dyDescent="0.2">
      <c r="C676" t="b">
        <v>0</v>
      </c>
      <c r="D676">
        <v>113130988.31</v>
      </c>
      <c r="E676" t="s">
        <v>67</v>
      </c>
      <c r="F676">
        <v>50.322000000000003</v>
      </c>
    </row>
    <row r="677" spans="2:13" x14ac:dyDescent="0.2">
      <c r="C677" t="b">
        <v>0</v>
      </c>
      <c r="D677">
        <v>112704478.31999999</v>
      </c>
      <c r="E677" t="s">
        <v>67</v>
      </c>
      <c r="F677">
        <v>50.131999999999998</v>
      </c>
    </row>
    <row r="678" spans="2:13" x14ac:dyDescent="0.2">
      <c r="C678" t="b">
        <v>0</v>
      </c>
      <c r="D678">
        <v>112249268.33</v>
      </c>
      <c r="E678" t="s">
        <v>67</v>
      </c>
      <c r="F678">
        <v>49.93</v>
      </c>
    </row>
    <row r="679" spans="2:13" x14ac:dyDescent="0.2">
      <c r="B679" t="s">
        <v>11</v>
      </c>
    </row>
    <row r="680" spans="2:13" x14ac:dyDescent="0.2">
      <c r="B680" t="s">
        <v>12</v>
      </c>
      <c r="C680" t="s">
        <v>13</v>
      </c>
      <c r="D680" t="s">
        <v>14</v>
      </c>
      <c r="E680" t="s">
        <v>15</v>
      </c>
      <c r="F680" t="s">
        <v>16</v>
      </c>
      <c r="G680" t="s">
        <v>17</v>
      </c>
      <c r="H680" t="s">
        <v>18</v>
      </c>
      <c r="I680" t="s">
        <v>19</v>
      </c>
      <c r="J680" t="s">
        <v>20</v>
      </c>
      <c r="K680" t="s">
        <v>21</v>
      </c>
      <c r="L680" t="s">
        <v>22</v>
      </c>
      <c r="M680" t="s">
        <v>23</v>
      </c>
    </row>
    <row r="681" spans="2:13" x14ac:dyDescent="0.2">
      <c r="B681" t="s">
        <v>31</v>
      </c>
      <c r="C681">
        <v>45</v>
      </c>
      <c r="E681" t="s">
        <v>25</v>
      </c>
      <c r="F681">
        <v>968.64</v>
      </c>
      <c r="G681">
        <v>16.5</v>
      </c>
      <c r="K681">
        <v>0.1</v>
      </c>
      <c r="L681">
        <v>7</v>
      </c>
      <c r="M681">
        <v>93.8</v>
      </c>
    </row>
    <row r="682" spans="2:13" x14ac:dyDescent="0.2">
      <c r="C682" t="s">
        <v>27</v>
      </c>
    </row>
    <row r="683" spans="2:13" x14ac:dyDescent="0.2">
      <c r="C683" t="s">
        <v>28</v>
      </c>
      <c r="D683" t="s">
        <v>16</v>
      </c>
      <c r="E683" t="s">
        <v>29</v>
      </c>
      <c r="F683" t="s">
        <v>18</v>
      </c>
    </row>
    <row r="684" spans="2:13" x14ac:dyDescent="0.2">
      <c r="C684" t="b">
        <v>0</v>
      </c>
      <c r="D684">
        <v>1060.08</v>
      </c>
      <c r="E684" t="s">
        <v>30</v>
      </c>
    </row>
    <row r="685" spans="2:13" x14ac:dyDescent="0.2">
      <c r="C685" t="b">
        <v>0</v>
      </c>
      <c r="D685">
        <v>750.04</v>
      </c>
      <c r="E685" t="s">
        <v>30</v>
      </c>
    </row>
    <row r="686" spans="2:13" x14ac:dyDescent="0.2">
      <c r="C686" t="b">
        <v>0</v>
      </c>
      <c r="D686">
        <v>940.07</v>
      </c>
      <c r="E686" t="s">
        <v>30</v>
      </c>
    </row>
    <row r="687" spans="2:13" x14ac:dyDescent="0.2">
      <c r="C687" t="b">
        <v>0</v>
      </c>
      <c r="D687">
        <v>1040.07</v>
      </c>
      <c r="E687" t="s">
        <v>30</v>
      </c>
    </row>
    <row r="688" spans="2:13" x14ac:dyDescent="0.2">
      <c r="C688" t="b">
        <v>0</v>
      </c>
      <c r="D688">
        <v>870.06</v>
      </c>
      <c r="E688" t="s">
        <v>30</v>
      </c>
    </row>
    <row r="689" spans="2:13" x14ac:dyDescent="0.2">
      <c r="C689" t="b">
        <v>0</v>
      </c>
      <c r="D689">
        <v>880.06</v>
      </c>
      <c r="E689" t="s">
        <v>30</v>
      </c>
    </row>
    <row r="690" spans="2:13" x14ac:dyDescent="0.2">
      <c r="C690" t="b">
        <v>0</v>
      </c>
      <c r="D690">
        <v>1240.0999999999999</v>
      </c>
      <c r="E690" t="s">
        <v>30</v>
      </c>
    </row>
    <row r="691" spans="2:13" x14ac:dyDescent="0.2">
      <c r="B691" t="s">
        <v>11</v>
      </c>
    </row>
    <row r="692" spans="2:13" x14ac:dyDescent="0.2">
      <c r="B692" t="s">
        <v>12</v>
      </c>
      <c r="C692" t="s">
        <v>13</v>
      </c>
      <c r="D692" t="s">
        <v>14</v>
      </c>
      <c r="E692" t="s">
        <v>15</v>
      </c>
      <c r="F692" t="s">
        <v>16</v>
      </c>
      <c r="G692" t="s">
        <v>17</v>
      </c>
      <c r="H692" t="s">
        <v>18</v>
      </c>
      <c r="I692" t="s">
        <v>19</v>
      </c>
      <c r="J692" t="s">
        <v>20</v>
      </c>
      <c r="K692" t="s">
        <v>21</v>
      </c>
      <c r="L692" t="s">
        <v>22</v>
      </c>
      <c r="M692" t="s">
        <v>23</v>
      </c>
    </row>
    <row r="693" spans="2:13" x14ac:dyDescent="0.2">
      <c r="B693" t="s">
        <v>32</v>
      </c>
      <c r="C693">
        <v>72</v>
      </c>
      <c r="E693" t="s">
        <v>25</v>
      </c>
      <c r="F693">
        <v>810.05</v>
      </c>
      <c r="G693">
        <v>10.8</v>
      </c>
      <c r="K693">
        <v>0.1</v>
      </c>
      <c r="L693">
        <v>7</v>
      </c>
      <c r="M693">
        <v>108.6</v>
      </c>
    </row>
    <row r="694" spans="2:13" x14ac:dyDescent="0.2">
      <c r="C694" t="s">
        <v>27</v>
      </c>
    </row>
    <row r="695" spans="2:13" x14ac:dyDescent="0.2">
      <c r="C695" t="s">
        <v>28</v>
      </c>
      <c r="D695" t="s">
        <v>16</v>
      </c>
      <c r="E695" t="s">
        <v>29</v>
      </c>
      <c r="F695" t="s">
        <v>18</v>
      </c>
    </row>
    <row r="696" spans="2:13" x14ac:dyDescent="0.2">
      <c r="C696" t="b">
        <v>0</v>
      </c>
      <c r="D696">
        <v>700.04</v>
      </c>
      <c r="E696" t="s">
        <v>30</v>
      </c>
    </row>
    <row r="697" spans="2:13" x14ac:dyDescent="0.2">
      <c r="C697" t="b">
        <v>0</v>
      </c>
      <c r="D697">
        <v>860.07</v>
      </c>
      <c r="E697" t="s">
        <v>30</v>
      </c>
    </row>
    <row r="698" spans="2:13" x14ac:dyDescent="0.2">
      <c r="C698" t="b">
        <v>0</v>
      </c>
      <c r="D698">
        <v>920.07</v>
      </c>
      <c r="E698" t="s">
        <v>30</v>
      </c>
    </row>
    <row r="699" spans="2:13" x14ac:dyDescent="0.2">
      <c r="C699" t="b">
        <v>0</v>
      </c>
      <c r="D699">
        <v>680.04</v>
      </c>
      <c r="E699" t="s">
        <v>30</v>
      </c>
    </row>
    <row r="700" spans="2:13" x14ac:dyDescent="0.2">
      <c r="C700" t="b">
        <v>0</v>
      </c>
      <c r="D700">
        <v>850.05</v>
      </c>
      <c r="E700" t="s">
        <v>30</v>
      </c>
    </row>
    <row r="701" spans="2:13" x14ac:dyDescent="0.2">
      <c r="C701" t="b">
        <v>0</v>
      </c>
      <c r="D701">
        <v>820.05</v>
      </c>
      <c r="E701" t="s">
        <v>30</v>
      </c>
    </row>
    <row r="702" spans="2:13" x14ac:dyDescent="0.2">
      <c r="C702" t="b">
        <v>0</v>
      </c>
      <c r="D702">
        <v>840.06</v>
      </c>
      <c r="E702" t="s">
        <v>30</v>
      </c>
    </row>
    <row r="703" spans="2:13" x14ac:dyDescent="0.2">
      <c r="B703" t="s">
        <v>11</v>
      </c>
    </row>
    <row r="704" spans="2:13" x14ac:dyDescent="0.2">
      <c r="B704" t="s">
        <v>12</v>
      </c>
      <c r="C704" t="s">
        <v>13</v>
      </c>
      <c r="D704" t="s">
        <v>14</v>
      </c>
      <c r="E704" t="s">
        <v>15</v>
      </c>
      <c r="F704" t="s">
        <v>16</v>
      </c>
      <c r="G704" t="s">
        <v>17</v>
      </c>
      <c r="H704" t="s">
        <v>18</v>
      </c>
      <c r="I704" t="s">
        <v>19</v>
      </c>
      <c r="J704" t="s">
        <v>20</v>
      </c>
      <c r="K704" t="s">
        <v>21</v>
      </c>
      <c r="L704" t="s">
        <v>22</v>
      </c>
      <c r="M704" t="s">
        <v>23</v>
      </c>
    </row>
    <row r="705" spans="1:13" x14ac:dyDescent="0.2">
      <c r="B705" t="s">
        <v>33</v>
      </c>
      <c r="C705">
        <v>89</v>
      </c>
      <c r="E705" t="s">
        <v>25</v>
      </c>
      <c r="F705">
        <v>4083.61</v>
      </c>
      <c r="G705">
        <v>5.0999999999999996</v>
      </c>
      <c r="K705">
        <v>0.1</v>
      </c>
      <c r="L705">
        <v>7</v>
      </c>
      <c r="M705">
        <v>103.5</v>
      </c>
    </row>
    <row r="706" spans="1:13" x14ac:dyDescent="0.2">
      <c r="C706" t="s">
        <v>27</v>
      </c>
    </row>
    <row r="707" spans="1:13" x14ac:dyDescent="0.2">
      <c r="C707" t="s">
        <v>28</v>
      </c>
      <c r="D707" t="s">
        <v>16</v>
      </c>
      <c r="E707" t="s">
        <v>29</v>
      </c>
      <c r="F707" t="s">
        <v>18</v>
      </c>
    </row>
    <row r="708" spans="1:13" x14ac:dyDescent="0.2">
      <c r="C708" t="b">
        <v>0</v>
      </c>
      <c r="D708">
        <v>3840.64</v>
      </c>
      <c r="E708" t="s">
        <v>30</v>
      </c>
    </row>
    <row r="709" spans="1:13" x14ac:dyDescent="0.2">
      <c r="C709" t="b">
        <v>0</v>
      </c>
      <c r="D709">
        <v>4100.75</v>
      </c>
      <c r="E709" t="s">
        <v>30</v>
      </c>
    </row>
    <row r="710" spans="1:13" x14ac:dyDescent="0.2">
      <c r="C710" t="b">
        <v>0</v>
      </c>
      <c r="D710">
        <v>4320.83</v>
      </c>
      <c r="E710" t="s">
        <v>30</v>
      </c>
    </row>
    <row r="711" spans="1:13" x14ac:dyDescent="0.2">
      <c r="C711" t="b">
        <v>0</v>
      </c>
      <c r="D711">
        <v>3980.72</v>
      </c>
      <c r="E711" t="s">
        <v>30</v>
      </c>
    </row>
    <row r="712" spans="1:13" x14ac:dyDescent="0.2">
      <c r="C712" t="b">
        <v>0</v>
      </c>
      <c r="D712">
        <v>3850.67</v>
      </c>
      <c r="E712" t="s">
        <v>30</v>
      </c>
    </row>
    <row r="713" spans="1:13" x14ac:dyDescent="0.2">
      <c r="C713" t="b">
        <v>0</v>
      </c>
      <c r="D713">
        <v>4120.79</v>
      </c>
      <c r="E713" t="s">
        <v>30</v>
      </c>
    </row>
    <row r="714" spans="1:13" x14ac:dyDescent="0.2">
      <c r="C714" t="b">
        <v>0</v>
      </c>
      <c r="D714">
        <v>4370.8500000000004</v>
      </c>
      <c r="E714" t="s">
        <v>30</v>
      </c>
    </row>
    <row r="715" spans="1:13" x14ac:dyDescent="0.2">
      <c r="A715" t="s">
        <v>0</v>
      </c>
    </row>
    <row r="716" spans="1:13" x14ac:dyDescent="0.2"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</row>
    <row r="717" spans="1:13" x14ac:dyDescent="0.2">
      <c r="B717" t="b">
        <v>0</v>
      </c>
      <c r="C717" t="s">
        <v>74</v>
      </c>
      <c r="D717" t="s">
        <v>75</v>
      </c>
      <c r="E717" t="s">
        <v>9</v>
      </c>
      <c r="G717" t="s">
        <v>76</v>
      </c>
    </row>
    <row r="718" spans="1:13" x14ac:dyDescent="0.2">
      <c r="B718" t="s">
        <v>11</v>
      </c>
    </row>
    <row r="719" spans="1:13" x14ac:dyDescent="0.2">
      <c r="B719" t="s">
        <v>12</v>
      </c>
      <c r="C719" t="s">
        <v>13</v>
      </c>
      <c r="D719" t="s">
        <v>14</v>
      </c>
      <c r="E719" t="s">
        <v>15</v>
      </c>
      <c r="F719" t="s">
        <v>16</v>
      </c>
      <c r="G719" t="s">
        <v>17</v>
      </c>
      <c r="H719" t="s">
        <v>18</v>
      </c>
      <c r="I719" t="s">
        <v>19</v>
      </c>
      <c r="J719" t="s">
        <v>20</v>
      </c>
      <c r="K719" t="s">
        <v>21</v>
      </c>
      <c r="L719" t="s">
        <v>22</v>
      </c>
      <c r="M719" t="s">
        <v>23</v>
      </c>
    </row>
    <row r="720" spans="1:13" x14ac:dyDescent="0.2">
      <c r="B720" t="s">
        <v>24</v>
      </c>
      <c r="C720">
        <v>59</v>
      </c>
      <c r="E720" t="s">
        <v>25</v>
      </c>
      <c r="F720">
        <v>312.87</v>
      </c>
      <c r="G720">
        <v>17.100000000000001</v>
      </c>
      <c r="H720">
        <v>0</v>
      </c>
      <c r="I720" t="s">
        <v>26</v>
      </c>
      <c r="J720">
        <v>20.8</v>
      </c>
      <c r="K720">
        <v>0.1</v>
      </c>
      <c r="L720">
        <v>7</v>
      </c>
    </row>
    <row r="721" spans="2:13" x14ac:dyDescent="0.2">
      <c r="C721" t="s">
        <v>27</v>
      </c>
    </row>
    <row r="722" spans="2:13" x14ac:dyDescent="0.2">
      <c r="C722" t="s">
        <v>28</v>
      </c>
      <c r="D722" t="s">
        <v>16</v>
      </c>
      <c r="E722" t="s">
        <v>29</v>
      </c>
      <c r="F722" t="s">
        <v>18</v>
      </c>
    </row>
    <row r="723" spans="2:13" x14ac:dyDescent="0.2">
      <c r="C723" t="b">
        <v>0</v>
      </c>
      <c r="D723">
        <v>340.02</v>
      </c>
      <c r="E723" t="s">
        <v>30</v>
      </c>
      <c r="F723">
        <v>0</v>
      </c>
    </row>
    <row r="724" spans="2:13" x14ac:dyDescent="0.2">
      <c r="C724" t="b">
        <v>0</v>
      </c>
      <c r="D724">
        <v>330.01</v>
      </c>
      <c r="E724" t="s">
        <v>30</v>
      </c>
      <c r="F724">
        <v>0</v>
      </c>
    </row>
    <row r="725" spans="2:13" x14ac:dyDescent="0.2">
      <c r="C725" t="b">
        <v>0</v>
      </c>
      <c r="D725">
        <v>390.02</v>
      </c>
      <c r="E725" t="s">
        <v>30</v>
      </c>
      <c r="F725">
        <v>0</v>
      </c>
    </row>
    <row r="726" spans="2:13" x14ac:dyDescent="0.2">
      <c r="C726" t="b">
        <v>0</v>
      </c>
      <c r="D726">
        <v>220.01</v>
      </c>
      <c r="E726" t="s">
        <v>30</v>
      </c>
      <c r="F726">
        <v>0</v>
      </c>
    </row>
    <row r="727" spans="2:13" x14ac:dyDescent="0.2">
      <c r="C727" t="b">
        <v>0</v>
      </c>
      <c r="D727">
        <v>280.01</v>
      </c>
      <c r="E727" t="s">
        <v>30</v>
      </c>
      <c r="F727">
        <v>0</v>
      </c>
    </row>
    <row r="728" spans="2:13" x14ac:dyDescent="0.2">
      <c r="C728" t="b">
        <v>0</v>
      </c>
      <c r="D728">
        <v>330.01</v>
      </c>
      <c r="E728" t="s">
        <v>30</v>
      </c>
      <c r="F728">
        <v>0</v>
      </c>
    </row>
    <row r="729" spans="2:13" x14ac:dyDescent="0.2">
      <c r="C729" t="b">
        <v>0</v>
      </c>
      <c r="D729">
        <v>300.01</v>
      </c>
      <c r="E729" t="s">
        <v>30</v>
      </c>
      <c r="F729">
        <v>0</v>
      </c>
    </row>
    <row r="730" spans="2:13" x14ac:dyDescent="0.2">
      <c r="B730" t="s">
        <v>11</v>
      </c>
    </row>
    <row r="731" spans="2:13" x14ac:dyDescent="0.2">
      <c r="B731" t="s">
        <v>12</v>
      </c>
      <c r="C731" t="s">
        <v>13</v>
      </c>
      <c r="D731" t="s">
        <v>14</v>
      </c>
      <c r="E731" t="s">
        <v>15</v>
      </c>
      <c r="F731" t="s">
        <v>16</v>
      </c>
      <c r="G731" t="s">
        <v>17</v>
      </c>
      <c r="H731" t="s">
        <v>18</v>
      </c>
      <c r="I731" t="s">
        <v>19</v>
      </c>
      <c r="J731" t="s">
        <v>20</v>
      </c>
      <c r="K731" t="s">
        <v>21</v>
      </c>
      <c r="L731" t="s">
        <v>22</v>
      </c>
      <c r="M731" t="s">
        <v>23</v>
      </c>
    </row>
    <row r="732" spans="2:13" x14ac:dyDescent="0.2">
      <c r="B732" t="s">
        <v>31</v>
      </c>
      <c r="C732">
        <v>45</v>
      </c>
      <c r="E732" t="s">
        <v>25</v>
      </c>
      <c r="F732">
        <v>1014.36</v>
      </c>
      <c r="G732">
        <v>13.5</v>
      </c>
      <c r="K732">
        <v>0.1</v>
      </c>
      <c r="L732">
        <v>7</v>
      </c>
      <c r="M732">
        <v>98.2</v>
      </c>
    </row>
    <row r="733" spans="2:13" x14ac:dyDescent="0.2">
      <c r="C733" t="s">
        <v>27</v>
      </c>
    </row>
    <row r="734" spans="2:13" x14ac:dyDescent="0.2">
      <c r="C734" t="s">
        <v>28</v>
      </c>
      <c r="D734" t="s">
        <v>16</v>
      </c>
      <c r="E734" t="s">
        <v>29</v>
      </c>
      <c r="F734" t="s">
        <v>18</v>
      </c>
    </row>
    <row r="735" spans="2:13" x14ac:dyDescent="0.2">
      <c r="C735" t="b">
        <v>0</v>
      </c>
      <c r="D735">
        <v>1100.0899999999999</v>
      </c>
      <c r="E735" t="s">
        <v>30</v>
      </c>
    </row>
    <row r="736" spans="2:13" x14ac:dyDescent="0.2">
      <c r="C736" t="b">
        <v>0</v>
      </c>
      <c r="D736">
        <v>1200.0899999999999</v>
      </c>
      <c r="E736" t="s">
        <v>30</v>
      </c>
    </row>
    <row r="737" spans="2:13" x14ac:dyDescent="0.2">
      <c r="C737" t="b">
        <v>0</v>
      </c>
      <c r="D737">
        <v>910.06</v>
      </c>
      <c r="E737" t="s">
        <v>30</v>
      </c>
    </row>
    <row r="738" spans="2:13" x14ac:dyDescent="0.2">
      <c r="C738" t="b">
        <v>0</v>
      </c>
      <c r="D738">
        <v>1040.08</v>
      </c>
      <c r="E738" t="s">
        <v>30</v>
      </c>
    </row>
    <row r="739" spans="2:13" x14ac:dyDescent="0.2">
      <c r="C739" t="b">
        <v>0</v>
      </c>
      <c r="D739">
        <v>780.05</v>
      </c>
      <c r="E739" t="s">
        <v>30</v>
      </c>
    </row>
    <row r="740" spans="2:13" x14ac:dyDescent="0.2">
      <c r="C740" t="b">
        <v>0</v>
      </c>
      <c r="D740">
        <v>990.07</v>
      </c>
      <c r="E740" t="s">
        <v>30</v>
      </c>
    </row>
    <row r="741" spans="2:13" x14ac:dyDescent="0.2">
      <c r="C741" t="b">
        <v>0</v>
      </c>
      <c r="D741">
        <v>1080.0899999999999</v>
      </c>
      <c r="E741" t="s">
        <v>30</v>
      </c>
    </row>
    <row r="742" spans="2:13" x14ac:dyDescent="0.2">
      <c r="B742" t="s">
        <v>11</v>
      </c>
    </row>
    <row r="743" spans="2:13" x14ac:dyDescent="0.2">
      <c r="B743" t="s">
        <v>12</v>
      </c>
      <c r="C743" t="s">
        <v>13</v>
      </c>
      <c r="D743" t="s">
        <v>14</v>
      </c>
      <c r="E743" t="s">
        <v>15</v>
      </c>
      <c r="F743" t="s">
        <v>16</v>
      </c>
      <c r="G743" t="s">
        <v>17</v>
      </c>
      <c r="H743" t="s">
        <v>18</v>
      </c>
      <c r="I743" t="s">
        <v>19</v>
      </c>
      <c r="J743" t="s">
        <v>20</v>
      </c>
      <c r="K743" t="s">
        <v>21</v>
      </c>
      <c r="L743" t="s">
        <v>22</v>
      </c>
      <c r="M743" t="s">
        <v>23</v>
      </c>
    </row>
    <row r="744" spans="2:13" x14ac:dyDescent="0.2">
      <c r="B744" t="s">
        <v>32</v>
      </c>
      <c r="C744">
        <v>72</v>
      </c>
      <c r="E744" t="s">
        <v>25</v>
      </c>
      <c r="F744">
        <v>660.04</v>
      </c>
      <c r="G744">
        <v>12.4</v>
      </c>
      <c r="K744">
        <v>0.1</v>
      </c>
      <c r="L744">
        <v>7</v>
      </c>
      <c r="M744">
        <v>88.5</v>
      </c>
    </row>
    <row r="745" spans="2:13" x14ac:dyDescent="0.2">
      <c r="C745" t="s">
        <v>27</v>
      </c>
    </row>
    <row r="746" spans="2:13" x14ac:dyDescent="0.2">
      <c r="C746" t="s">
        <v>28</v>
      </c>
      <c r="D746" t="s">
        <v>16</v>
      </c>
      <c r="E746" t="s">
        <v>29</v>
      </c>
      <c r="F746" t="s">
        <v>18</v>
      </c>
    </row>
    <row r="747" spans="2:13" x14ac:dyDescent="0.2">
      <c r="C747" t="b">
        <v>0</v>
      </c>
      <c r="D747">
        <v>800.05</v>
      </c>
      <c r="E747" t="s">
        <v>30</v>
      </c>
    </row>
    <row r="748" spans="2:13" x14ac:dyDescent="0.2">
      <c r="C748" t="b">
        <v>0</v>
      </c>
      <c r="D748">
        <v>700.05</v>
      </c>
      <c r="E748" t="s">
        <v>30</v>
      </c>
    </row>
    <row r="749" spans="2:13" x14ac:dyDescent="0.2">
      <c r="C749" t="b">
        <v>0</v>
      </c>
      <c r="D749">
        <v>590.04</v>
      </c>
      <c r="E749" t="s">
        <v>30</v>
      </c>
    </row>
    <row r="750" spans="2:13" x14ac:dyDescent="0.2">
      <c r="C750" t="b">
        <v>0</v>
      </c>
      <c r="D750">
        <v>630.03</v>
      </c>
      <c r="E750" t="s">
        <v>30</v>
      </c>
    </row>
    <row r="751" spans="2:13" x14ac:dyDescent="0.2">
      <c r="C751" t="b">
        <v>0</v>
      </c>
      <c r="D751">
        <v>590.04</v>
      </c>
      <c r="E751" t="s">
        <v>30</v>
      </c>
    </row>
    <row r="752" spans="2:13" x14ac:dyDescent="0.2">
      <c r="C752" t="b">
        <v>0</v>
      </c>
      <c r="D752">
        <v>720.04</v>
      </c>
      <c r="E752" t="s">
        <v>30</v>
      </c>
    </row>
    <row r="753" spans="1:13" x14ac:dyDescent="0.2">
      <c r="C753" t="b">
        <v>0</v>
      </c>
      <c r="D753">
        <v>590.03</v>
      </c>
      <c r="E753" t="s">
        <v>30</v>
      </c>
    </row>
    <row r="754" spans="1:13" x14ac:dyDescent="0.2">
      <c r="B754" t="s">
        <v>11</v>
      </c>
    </row>
    <row r="755" spans="1:13" x14ac:dyDescent="0.2">
      <c r="B755" t="s">
        <v>12</v>
      </c>
      <c r="C755" t="s">
        <v>13</v>
      </c>
      <c r="D755" t="s">
        <v>14</v>
      </c>
      <c r="E755" t="s">
        <v>15</v>
      </c>
      <c r="F755" t="s">
        <v>16</v>
      </c>
      <c r="G755" t="s">
        <v>17</v>
      </c>
      <c r="H755" t="s">
        <v>18</v>
      </c>
      <c r="I755" t="s">
        <v>19</v>
      </c>
      <c r="J755" t="s">
        <v>20</v>
      </c>
      <c r="K755" t="s">
        <v>21</v>
      </c>
      <c r="L755" t="s">
        <v>22</v>
      </c>
      <c r="M755" t="s">
        <v>23</v>
      </c>
    </row>
    <row r="756" spans="1:13" x14ac:dyDescent="0.2">
      <c r="B756" t="s">
        <v>33</v>
      </c>
      <c r="C756">
        <v>89</v>
      </c>
      <c r="E756" t="s">
        <v>25</v>
      </c>
      <c r="F756">
        <v>3997.87</v>
      </c>
      <c r="G756">
        <v>12.9</v>
      </c>
      <c r="K756">
        <v>0.1</v>
      </c>
      <c r="L756">
        <v>7</v>
      </c>
      <c r="M756">
        <v>101.3</v>
      </c>
    </row>
    <row r="757" spans="1:13" x14ac:dyDescent="0.2">
      <c r="C757" t="s">
        <v>27</v>
      </c>
    </row>
    <row r="758" spans="1:13" x14ac:dyDescent="0.2">
      <c r="C758" t="s">
        <v>28</v>
      </c>
      <c r="D758" t="s">
        <v>16</v>
      </c>
      <c r="E758" t="s">
        <v>29</v>
      </c>
      <c r="F758" t="s">
        <v>18</v>
      </c>
    </row>
    <row r="759" spans="1:13" x14ac:dyDescent="0.2">
      <c r="C759" t="b">
        <v>0</v>
      </c>
      <c r="D759">
        <v>4570.91</v>
      </c>
      <c r="E759" t="s">
        <v>30</v>
      </c>
    </row>
    <row r="760" spans="1:13" x14ac:dyDescent="0.2">
      <c r="C760" t="b">
        <v>0</v>
      </c>
      <c r="D760">
        <v>4881.03</v>
      </c>
      <c r="E760" t="s">
        <v>30</v>
      </c>
    </row>
    <row r="761" spans="1:13" x14ac:dyDescent="0.2">
      <c r="C761" t="b">
        <v>0</v>
      </c>
      <c r="D761">
        <v>3690.64</v>
      </c>
      <c r="E761" t="s">
        <v>30</v>
      </c>
    </row>
    <row r="762" spans="1:13" x14ac:dyDescent="0.2">
      <c r="C762" t="b">
        <v>0</v>
      </c>
      <c r="D762">
        <v>3500.6</v>
      </c>
      <c r="E762" t="s">
        <v>30</v>
      </c>
    </row>
    <row r="763" spans="1:13" x14ac:dyDescent="0.2">
      <c r="C763" t="b">
        <v>0</v>
      </c>
      <c r="D763">
        <v>3770.63</v>
      </c>
      <c r="E763" t="s">
        <v>30</v>
      </c>
    </row>
    <row r="764" spans="1:13" x14ac:dyDescent="0.2">
      <c r="C764" t="b">
        <v>0</v>
      </c>
      <c r="D764">
        <v>3770.6</v>
      </c>
      <c r="E764" t="s">
        <v>30</v>
      </c>
    </row>
    <row r="765" spans="1:13" x14ac:dyDescent="0.2">
      <c r="C765" t="b">
        <v>0</v>
      </c>
      <c r="D765">
        <v>3800.67</v>
      </c>
      <c r="E765" t="s">
        <v>30</v>
      </c>
    </row>
    <row r="766" spans="1:13" x14ac:dyDescent="0.2">
      <c r="A766" t="s">
        <v>0</v>
      </c>
    </row>
    <row r="767" spans="1:13" x14ac:dyDescent="0.2"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</row>
    <row r="768" spans="1:13" x14ac:dyDescent="0.2">
      <c r="B768" t="b">
        <v>0</v>
      </c>
      <c r="C768" t="s">
        <v>77</v>
      </c>
      <c r="D768" t="s">
        <v>78</v>
      </c>
      <c r="E768" t="s">
        <v>9</v>
      </c>
      <c r="G768" t="s">
        <v>76</v>
      </c>
    </row>
    <row r="769" spans="2:13" x14ac:dyDescent="0.2">
      <c r="B769" t="s">
        <v>11</v>
      </c>
    </row>
    <row r="770" spans="2:13" x14ac:dyDescent="0.2"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17</v>
      </c>
      <c r="H770" t="s">
        <v>18</v>
      </c>
      <c r="I770" t="s">
        <v>19</v>
      </c>
      <c r="J770" t="s">
        <v>20</v>
      </c>
      <c r="K770" t="s">
        <v>21</v>
      </c>
      <c r="L770" t="s">
        <v>22</v>
      </c>
      <c r="M770" t="s">
        <v>23</v>
      </c>
    </row>
    <row r="771" spans="2:13" x14ac:dyDescent="0.2">
      <c r="B771" t="s">
        <v>24</v>
      </c>
      <c r="C771">
        <v>59</v>
      </c>
      <c r="E771" t="s">
        <v>25</v>
      </c>
      <c r="F771">
        <v>135.72</v>
      </c>
      <c r="G771">
        <v>15.3</v>
      </c>
      <c r="H771">
        <v>0</v>
      </c>
      <c r="I771" t="s">
        <v>26</v>
      </c>
      <c r="J771">
        <v>25.9</v>
      </c>
      <c r="K771">
        <v>0.1</v>
      </c>
      <c r="L771">
        <v>7</v>
      </c>
    </row>
    <row r="772" spans="2:13" x14ac:dyDescent="0.2">
      <c r="C772" t="s">
        <v>27</v>
      </c>
    </row>
    <row r="773" spans="2:13" x14ac:dyDescent="0.2">
      <c r="C773" t="s">
        <v>28</v>
      </c>
      <c r="D773" t="s">
        <v>16</v>
      </c>
      <c r="E773" t="s">
        <v>29</v>
      </c>
      <c r="F773" t="s">
        <v>18</v>
      </c>
    </row>
    <row r="774" spans="2:13" x14ac:dyDescent="0.2">
      <c r="C774" t="b">
        <v>0</v>
      </c>
      <c r="D774">
        <v>110</v>
      </c>
      <c r="E774" t="s">
        <v>30</v>
      </c>
      <c r="F774">
        <v>0</v>
      </c>
    </row>
    <row r="775" spans="2:13" x14ac:dyDescent="0.2">
      <c r="C775" t="b">
        <v>0</v>
      </c>
      <c r="D775">
        <v>160.01</v>
      </c>
      <c r="E775" t="s">
        <v>30</v>
      </c>
      <c r="F775">
        <v>0</v>
      </c>
    </row>
    <row r="776" spans="2:13" x14ac:dyDescent="0.2">
      <c r="C776" t="b">
        <v>0</v>
      </c>
      <c r="D776">
        <v>110</v>
      </c>
      <c r="E776" t="s">
        <v>30</v>
      </c>
      <c r="F776">
        <v>0</v>
      </c>
    </row>
    <row r="777" spans="2:13" x14ac:dyDescent="0.2">
      <c r="C777" t="b">
        <v>0</v>
      </c>
      <c r="D777">
        <v>140.01</v>
      </c>
      <c r="E777" t="s">
        <v>30</v>
      </c>
      <c r="F777">
        <v>0</v>
      </c>
    </row>
    <row r="778" spans="2:13" x14ac:dyDescent="0.2">
      <c r="C778" t="b">
        <v>0</v>
      </c>
      <c r="D778">
        <v>160.01</v>
      </c>
      <c r="E778" t="s">
        <v>30</v>
      </c>
      <c r="F778">
        <v>0</v>
      </c>
    </row>
    <row r="779" spans="2:13" x14ac:dyDescent="0.2">
      <c r="C779" t="b">
        <v>0</v>
      </c>
      <c r="D779">
        <v>140</v>
      </c>
      <c r="E779" t="s">
        <v>30</v>
      </c>
      <c r="F779">
        <v>0</v>
      </c>
    </row>
    <row r="780" spans="2:13" x14ac:dyDescent="0.2">
      <c r="C780" t="b">
        <v>0</v>
      </c>
      <c r="D780">
        <v>130.01</v>
      </c>
      <c r="E780" t="s">
        <v>30</v>
      </c>
      <c r="F780">
        <v>0</v>
      </c>
    </row>
    <row r="781" spans="2:13" x14ac:dyDescent="0.2">
      <c r="B781" t="s">
        <v>11</v>
      </c>
    </row>
    <row r="782" spans="2:13" x14ac:dyDescent="0.2">
      <c r="B782" t="s">
        <v>12</v>
      </c>
      <c r="C782" t="s">
        <v>13</v>
      </c>
      <c r="D782" t="s">
        <v>14</v>
      </c>
      <c r="E782" t="s">
        <v>15</v>
      </c>
      <c r="F782" t="s">
        <v>16</v>
      </c>
      <c r="G782" t="s">
        <v>17</v>
      </c>
      <c r="H782" t="s">
        <v>18</v>
      </c>
      <c r="I782" t="s">
        <v>19</v>
      </c>
      <c r="J782" t="s">
        <v>20</v>
      </c>
      <c r="K782" t="s">
        <v>21</v>
      </c>
      <c r="L782" t="s">
        <v>22</v>
      </c>
      <c r="M782" t="s">
        <v>23</v>
      </c>
    </row>
    <row r="783" spans="2:13" x14ac:dyDescent="0.2">
      <c r="B783" t="s">
        <v>31</v>
      </c>
      <c r="C783">
        <v>45</v>
      </c>
      <c r="E783" t="s">
        <v>25</v>
      </c>
      <c r="F783">
        <v>911.49</v>
      </c>
      <c r="G783">
        <v>10</v>
      </c>
      <c r="K783">
        <v>0.1</v>
      </c>
      <c r="L783">
        <v>7</v>
      </c>
      <c r="M783">
        <v>88.2</v>
      </c>
    </row>
    <row r="784" spans="2:13" x14ac:dyDescent="0.2">
      <c r="C784" t="s">
        <v>27</v>
      </c>
    </row>
    <row r="785" spans="2:13" x14ac:dyDescent="0.2">
      <c r="C785" t="s">
        <v>28</v>
      </c>
      <c r="D785" t="s">
        <v>16</v>
      </c>
      <c r="E785" t="s">
        <v>29</v>
      </c>
      <c r="F785" t="s">
        <v>18</v>
      </c>
    </row>
    <row r="786" spans="2:13" x14ac:dyDescent="0.2">
      <c r="C786" t="b">
        <v>0</v>
      </c>
      <c r="D786">
        <v>880.06</v>
      </c>
      <c r="E786" t="s">
        <v>30</v>
      </c>
    </row>
    <row r="787" spans="2:13" x14ac:dyDescent="0.2">
      <c r="C787" t="b">
        <v>0</v>
      </c>
      <c r="D787">
        <v>770.04</v>
      </c>
      <c r="E787" t="s">
        <v>30</v>
      </c>
    </row>
    <row r="788" spans="2:13" x14ac:dyDescent="0.2">
      <c r="C788" t="b">
        <v>0</v>
      </c>
      <c r="D788">
        <v>880.06</v>
      </c>
      <c r="E788" t="s">
        <v>30</v>
      </c>
    </row>
    <row r="789" spans="2:13" x14ac:dyDescent="0.2">
      <c r="C789" t="b">
        <v>0</v>
      </c>
      <c r="D789">
        <v>1030.08</v>
      </c>
      <c r="E789" t="s">
        <v>30</v>
      </c>
    </row>
    <row r="790" spans="2:13" x14ac:dyDescent="0.2">
      <c r="C790" t="b">
        <v>0</v>
      </c>
      <c r="D790">
        <v>1020.07</v>
      </c>
      <c r="E790" t="s">
        <v>30</v>
      </c>
    </row>
    <row r="791" spans="2:13" x14ac:dyDescent="0.2">
      <c r="C791" t="b">
        <v>0</v>
      </c>
      <c r="D791">
        <v>870.06</v>
      </c>
      <c r="E791" t="s">
        <v>30</v>
      </c>
    </row>
    <row r="792" spans="2:13" x14ac:dyDescent="0.2">
      <c r="C792" t="b">
        <v>0</v>
      </c>
      <c r="D792">
        <v>930.07</v>
      </c>
      <c r="E792" t="s">
        <v>30</v>
      </c>
    </row>
    <row r="793" spans="2:13" x14ac:dyDescent="0.2">
      <c r="B793" t="s">
        <v>11</v>
      </c>
    </row>
    <row r="794" spans="2:13" x14ac:dyDescent="0.2"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17</v>
      </c>
      <c r="H794" t="s">
        <v>18</v>
      </c>
      <c r="I794" t="s">
        <v>19</v>
      </c>
      <c r="J794" t="s">
        <v>20</v>
      </c>
      <c r="K794" t="s">
        <v>21</v>
      </c>
      <c r="L794" t="s">
        <v>22</v>
      </c>
      <c r="M794" t="s">
        <v>23</v>
      </c>
    </row>
    <row r="795" spans="2:13" x14ac:dyDescent="0.2">
      <c r="B795" t="s">
        <v>32</v>
      </c>
      <c r="C795">
        <v>72</v>
      </c>
      <c r="E795" t="s">
        <v>25</v>
      </c>
      <c r="F795">
        <v>742.9</v>
      </c>
      <c r="G795">
        <v>11.1</v>
      </c>
      <c r="K795">
        <v>0.1</v>
      </c>
      <c r="L795">
        <v>7</v>
      </c>
      <c r="M795">
        <v>99.6</v>
      </c>
    </row>
    <row r="796" spans="2:13" x14ac:dyDescent="0.2">
      <c r="C796" t="s">
        <v>27</v>
      </c>
    </row>
    <row r="797" spans="2:13" x14ac:dyDescent="0.2">
      <c r="C797" t="s">
        <v>28</v>
      </c>
      <c r="D797" t="s">
        <v>16</v>
      </c>
      <c r="E797" t="s">
        <v>29</v>
      </c>
      <c r="F797" t="s">
        <v>18</v>
      </c>
    </row>
    <row r="798" spans="2:13" x14ac:dyDescent="0.2">
      <c r="C798" t="b">
        <v>0</v>
      </c>
      <c r="D798">
        <v>810.05</v>
      </c>
      <c r="E798" t="s">
        <v>30</v>
      </c>
    </row>
    <row r="799" spans="2:13" x14ac:dyDescent="0.2">
      <c r="C799" t="b">
        <v>0</v>
      </c>
      <c r="D799">
        <v>750.04</v>
      </c>
      <c r="E799" t="s">
        <v>30</v>
      </c>
    </row>
    <row r="800" spans="2:13" x14ac:dyDescent="0.2">
      <c r="C800" t="b">
        <v>0</v>
      </c>
      <c r="D800">
        <v>890.06</v>
      </c>
      <c r="E800" t="s">
        <v>30</v>
      </c>
    </row>
    <row r="801" spans="2:13" x14ac:dyDescent="0.2">
      <c r="C801" t="b">
        <v>0</v>
      </c>
      <c r="D801">
        <v>670.04</v>
      </c>
      <c r="E801" t="s">
        <v>30</v>
      </c>
    </row>
    <row r="802" spans="2:13" x14ac:dyDescent="0.2">
      <c r="C802" t="b">
        <v>0</v>
      </c>
      <c r="D802">
        <v>720.04</v>
      </c>
      <c r="E802" t="s">
        <v>30</v>
      </c>
    </row>
    <row r="803" spans="2:13" x14ac:dyDescent="0.2">
      <c r="C803" t="b">
        <v>0</v>
      </c>
      <c r="D803">
        <v>700.04</v>
      </c>
      <c r="E803" t="s">
        <v>30</v>
      </c>
    </row>
    <row r="804" spans="2:13" x14ac:dyDescent="0.2">
      <c r="C804" t="b">
        <v>0</v>
      </c>
      <c r="D804">
        <v>660.04</v>
      </c>
      <c r="E804" t="s">
        <v>30</v>
      </c>
    </row>
    <row r="805" spans="2:13" x14ac:dyDescent="0.2">
      <c r="B805" t="s">
        <v>11</v>
      </c>
    </row>
    <row r="806" spans="2:13" x14ac:dyDescent="0.2">
      <c r="B806" t="s">
        <v>12</v>
      </c>
      <c r="C806" t="s">
        <v>13</v>
      </c>
      <c r="D806" t="s">
        <v>14</v>
      </c>
      <c r="E806" t="s">
        <v>15</v>
      </c>
      <c r="F806" t="s">
        <v>16</v>
      </c>
      <c r="G806" t="s">
        <v>17</v>
      </c>
      <c r="H806" t="s">
        <v>18</v>
      </c>
      <c r="I806" t="s">
        <v>19</v>
      </c>
      <c r="J806" t="s">
        <v>20</v>
      </c>
      <c r="K806" t="s">
        <v>21</v>
      </c>
      <c r="L806" t="s">
        <v>22</v>
      </c>
      <c r="M806" t="s">
        <v>23</v>
      </c>
    </row>
    <row r="807" spans="2:13" x14ac:dyDescent="0.2">
      <c r="B807" t="s">
        <v>33</v>
      </c>
      <c r="C807">
        <v>89</v>
      </c>
      <c r="E807" t="s">
        <v>25</v>
      </c>
      <c r="F807">
        <v>3993.58</v>
      </c>
      <c r="G807">
        <v>4</v>
      </c>
      <c r="K807">
        <v>0.1</v>
      </c>
      <c r="L807">
        <v>7</v>
      </c>
      <c r="M807">
        <v>101.2</v>
      </c>
    </row>
    <row r="808" spans="2:13" x14ac:dyDescent="0.2">
      <c r="C808" t="s">
        <v>27</v>
      </c>
    </row>
    <row r="809" spans="2:13" x14ac:dyDescent="0.2">
      <c r="C809" t="s">
        <v>28</v>
      </c>
      <c r="D809" t="s">
        <v>16</v>
      </c>
      <c r="E809" t="s">
        <v>29</v>
      </c>
      <c r="F809" t="s">
        <v>18</v>
      </c>
    </row>
    <row r="810" spans="2:13" x14ac:dyDescent="0.2">
      <c r="C810" t="b">
        <v>0</v>
      </c>
      <c r="D810">
        <v>4010.74</v>
      </c>
      <c r="E810" t="s">
        <v>30</v>
      </c>
    </row>
    <row r="811" spans="2:13" x14ac:dyDescent="0.2">
      <c r="C811" t="b">
        <v>0</v>
      </c>
      <c r="D811">
        <v>3840.66</v>
      </c>
      <c r="E811" t="s">
        <v>30</v>
      </c>
    </row>
    <row r="812" spans="2:13" x14ac:dyDescent="0.2">
      <c r="C812" t="b">
        <v>0</v>
      </c>
      <c r="D812">
        <v>3970.75</v>
      </c>
      <c r="E812" t="s">
        <v>30</v>
      </c>
    </row>
    <row r="813" spans="2:13" x14ac:dyDescent="0.2">
      <c r="C813" t="b">
        <v>0</v>
      </c>
      <c r="D813">
        <v>4090.76</v>
      </c>
      <c r="E813" t="s">
        <v>30</v>
      </c>
    </row>
    <row r="814" spans="2:13" x14ac:dyDescent="0.2">
      <c r="C814" t="b">
        <v>0</v>
      </c>
      <c r="D814">
        <v>3730.62</v>
      </c>
      <c r="E814" t="s">
        <v>30</v>
      </c>
    </row>
    <row r="815" spans="2:13" x14ac:dyDescent="0.2">
      <c r="C815" t="b">
        <v>0</v>
      </c>
      <c r="D815">
        <v>4130.76</v>
      </c>
      <c r="E815" t="s">
        <v>30</v>
      </c>
    </row>
    <row r="816" spans="2:13" x14ac:dyDescent="0.2">
      <c r="C816" t="b">
        <v>0</v>
      </c>
      <c r="D816">
        <v>4180.79</v>
      </c>
      <c r="E816" t="s">
        <v>30</v>
      </c>
    </row>
    <row r="817" spans="1:13" x14ac:dyDescent="0.2">
      <c r="A817" t="s">
        <v>0</v>
      </c>
    </row>
    <row r="818" spans="1:13" x14ac:dyDescent="0.2"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</row>
    <row r="819" spans="1:13" x14ac:dyDescent="0.2">
      <c r="B819" t="b">
        <v>0</v>
      </c>
      <c r="C819" t="s">
        <v>79</v>
      </c>
      <c r="D819" t="s">
        <v>80</v>
      </c>
      <c r="E819" t="s">
        <v>0</v>
      </c>
      <c r="G819" t="s">
        <v>81</v>
      </c>
    </row>
    <row r="820" spans="1:13" x14ac:dyDescent="0.2">
      <c r="B820" t="s">
        <v>11</v>
      </c>
    </row>
    <row r="821" spans="1:13" x14ac:dyDescent="0.2">
      <c r="B821" t="s">
        <v>12</v>
      </c>
      <c r="C821" t="s">
        <v>13</v>
      </c>
      <c r="D821" t="s">
        <v>14</v>
      </c>
      <c r="E821" t="s">
        <v>15</v>
      </c>
      <c r="F821" t="s">
        <v>16</v>
      </c>
      <c r="G821" t="s">
        <v>17</v>
      </c>
      <c r="H821" t="s">
        <v>18</v>
      </c>
      <c r="I821" t="s">
        <v>19</v>
      </c>
      <c r="J821" t="s">
        <v>20</v>
      </c>
      <c r="K821" t="s">
        <v>21</v>
      </c>
      <c r="L821" t="s">
        <v>22</v>
      </c>
      <c r="M821" t="s">
        <v>23</v>
      </c>
    </row>
    <row r="822" spans="1:13" x14ac:dyDescent="0.2">
      <c r="B822" t="s">
        <v>24</v>
      </c>
      <c r="C822">
        <v>59</v>
      </c>
      <c r="E822" t="s">
        <v>25</v>
      </c>
      <c r="F822">
        <v>20127.810000000001</v>
      </c>
      <c r="G822">
        <v>3.9</v>
      </c>
      <c r="H822">
        <v>8.9999999999999993E-3</v>
      </c>
      <c r="I822" t="s">
        <v>26</v>
      </c>
      <c r="J822">
        <v>3.9</v>
      </c>
      <c r="K822">
        <v>0.1</v>
      </c>
      <c r="L822">
        <v>7</v>
      </c>
    </row>
    <row r="823" spans="1:13" x14ac:dyDescent="0.2">
      <c r="C823" t="s">
        <v>27</v>
      </c>
    </row>
    <row r="824" spans="1:13" x14ac:dyDescent="0.2">
      <c r="C824" t="s">
        <v>28</v>
      </c>
      <c r="D824" t="s">
        <v>16</v>
      </c>
      <c r="E824" t="s">
        <v>29</v>
      </c>
      <c r="F824" t="s">
        <v>18</v>
      </c>
    </row>
    <row r="825" spans="1:13" x14ac:dyDescent="0.2">
      <c r="C825" t="b">
        <v>0</v>
      </c>
      <c r="D825">
        <v>19233.61</v>
      </c>
      <c r="E825" t="s">
        <v>30</v>
      </c>
      <c r="F825">
        <v>8.9999999999999993E-3</v>
      </c>
    </row>
    <row r="826" spans="1:13" x14ac:dyDescent="0.2">
      <c r="C826" t="b">
        <v>0</v>
      </c>
      <c r="D826">
        <v>18993.61</v>
      </c>
      <c r="E826" t="s">
        <v>30</v>
      </c>
      <c r="F826">
        <v>8.0000000000000002E-3</v>
      </c>
    </row>
    <row r="827" spans="1:13" x14ac:dyDescent="0.2">
      <c r="C827" t="b">
        <v>0</v>
      </c>
      <c r="D827">
        <v>19834.73</v>
      </c>
      <c r="E827" t="s">
        <v>30</v>
      </c>
      <c r="F827">
        <v>8.9999999999999993E-3</v>
      </c>
    </row>
    <row r="828" spans="1:13" x14ac:dyDescent="0.2">
      <c r="C828" t="b">
        <v>0</v>
      </c>
      <c r="D828">
        <v>20475.34</v>
      </c>
      <c r="E828" t="s">
        <v>30</v>
      </c>
      <c r="F828">
        <v>8.9999999999999993E-3</v>
      </c>
    </row>
    <row r="829" spans="1:13" x14ac:dyDescent="0.2">
      <c r="C829" t="b">
        <v>0</v>
      </c>
      <c r="D829">
        <v>20755.740000000002</v>
      </c>
      <c r="E829" t="s">
        <v>30</v>
      </c>
      <c r="F829">
        <v>8.9999999999999993E-3</v>
      </c>
    </row>
    <row r="830" spans="1:13" x14ac:dyDescent="0.2">
      <c r="C830" t="b">
        <v>0</v>
      </c>
      <c r="D830">
        <v>21026.28</v>
      </c>
      <c r="E830" t="s">
        <v>30</v>
      </c>
      <c r="F830">
        <v>8.9999999999999993E-3</v>
      </c>
    </row>
    <row r="831" spans="1:13" x14ac:dyDescent="0.2">
      <c r="C831" t="b">
        <v>0</v>
      </c>
      <c r="D831">
        <v>20575.38</v>
      </c>
      <c r="E831" t="s">
        <v>30</v>
      </c>
      <c r="F831">
        <v>8.9999999999999993E-3</v>
      </c>
    </row>
    <row r="832" spans="1:13" x14ac:dyDescent="0.2">
      <c r="B832" t="s">
        <v>11</v>
      </c>
    </row>
    <row r="833" spans="2:13" x14ac:dyDescent="0.2">
      <c r="B833" t="s">
        <v>12</v>
      </c>
      <c r="C833" t="s">
        <v>13</v>
      </c>
      <c r="D833" t="s">
        <v>14</v>
      </c>
      <c r="E833" t="s">
        <v>15</v>
      </c>
      <c r="F833" t="s">
        <v>16</v>
      </c>
      <c r="G833" t="s">
        <v>17</v>
      </c>
      <c r="H833" t="s">
        <v>18</v>
      </c>
      <c r="I833" t="s">
        <v>19</v>
      </c>
      <c r="J833" t="s">
        <v>20</v>
      </c>
      <c r="K833" t="s">
        <v>21</v>
      </c>
      <c r="L833" t="s">
        <v>22</v>
      </c>
      <c r="M833" t="s">
        <v>23</v>
      </c>
    </row>
    <row r="834" spans="2:13" x14ac:dyDescent="0.2">
      <c r="B834" t="s">
        <v>31</v>
      </c>
      <c r="C834">
        <v>45</v>
      </c>
      <c r="E834" t="s">
        <v>25</v>
      </c>
      <c r="F834">
        <v>912.92</v>
      </c>
      <c r="G834">
        <v>13.5</v>
      </c>
      <c r="K834">
        <v>0.1</v>
      </c>
      <c r="L834">
        <v>7</v>
      </c>
      <c r="M834">
        <v>88.4</v>
      </c>
    </row>
    <row r="835" spans="2:13" x14ac:dyDescent="0.2">
      <c r="C835" t="s">
        <v>27</v>
      </c>
    </row>
    <row r="836" spans="2:13" x14ac:dyDescent="0.2">
      <c r="C836" t="s">
        <v>28</v>
      </c>
      <c r="D836" t="s">
        <v>16</v>
      </c>
      <c r="E836" t="s">
        <v>29</v>
      </c>
      <c r="F836" t="s">
        <v>18</v>
      </c>
    </row>
    <row r="837" spans="2:13" x14ac:dyDescent="0.2">
      <c r="C837" t="b">
        <v>0</v>
      </c>
      <c r="D837">
        <v>850.05</v>
      </c>
      <c r="E837" t="s">
        <v>30</v>
      </c>
    </row>
    <row r="838" spans="2:13" x14ac:dyDescent="0.2">
      <c r="C838" t="b">
        <v>0</v>
      </c>
      <c r="D838">
        <v>890.06</v>
      </c>
      <c r="E838" t="s">
        <v>30</v>
      </c>
    </row>
    <row r="839" spans="2:13" x14ac:dyDescent="0.2">
      <c r="C839" t="b">
        <v>0</v>
      </c>
      <c r="D839">
        <v>700.05</v>
      </c>
      <c r="E839" t="s">
        <v>30</v>
      </c>
    </row>
    <row r="840" spans="2:13" x14ac:dyDescent="0.2">
      <c r="C840" t="b">
        <v>0</v>
      </c>
      <c r="D840">
        <v>1010.07</v>
      </c>
      <c r="E840" t="s">
        <v>30</v>
      </c>
    </row>
    <row r="841" spans="2:13" x14ac:dyDescent="0.2">
      <c r="C841" t="b">
        <v>0</v>
      </c>
      <c r="D841">
        <v>920.06</v>
      </c>
      <c r="E841" t="s">
        <v>30</v>
      </c>
    </row>
    <row r="842" spans="2:13" x14ac:dyDescent="0.2">
      <c r="C842" t="b">
        <v>0</v>
      </c>
      <c r="D842">
        <v>930.07</v>
      </c>
      <c r="E842" t="s">
        <v>30</v>
      </c>
    </row>
    <row r="843" spans="2:13" x14ac:dyDescent="0.2">
      <c r="C843" t="b">
        <v>0</v>
      </c>
      <c r="D843">
        <v>1090.08</v>
      </c>
      <c r="E843" t="s">
        <v>30</v>
      </c>
    </row>
    <row r="844" spans="2:13" x14ac:dyDescent="0.2">
      <c r="B844" t="s">
        <v>11</v>
      </c>
    </row>
    <row r="845" spans="2:13" x14ac:dyDescent="0.2">
      <c r="B845" t="s">
        <v>12</v>
      </c>
      <c r="C845" t="s">
        <v>13</v>
      </c>
      <c r="D845" t="s">
        <v>14</v>
      </c>
      <c r="E845" t="s">
        <v>15</v>
      </c>
      <c r="F845" t="s">
        <v>16</v>
      </c>
      <c r="G845" t="s">
        <v>17</v>
      </c>
      <c r="H845" t="s">
        <v>18</v>
      </c>
      <c r="I845" t="s">
        <v>19</v>
      </c>
      <c r="J845" t="s">
        <v>20</v>
      </c>
      <c r="K845" t="s">
        <v>21</v>
      </c>
      <c r="L845" t="s">
        <v>22</v>
      </c>
      <c r="M845" t="s">
        <v>23</v>
      </c>
    </row>
    <row r="846" spans="2:13" x14ac:dyDescent="0.2">
      <c r="B846" t="s">
        <v>32</v>
      </c>
      <c r="C846">
        <v>72</v>
      </c>
      <c r="E846" t="s">
        <v>25</v>
      </c>
      <c r="F846">
        <v>704.33</v>
      </c>
      <c r="G846">
        <v>15.5</v>
      </c>
      <c r="K846">
        <v>0.1</v>
      </c>
      <c r="L846">
        <v>7</v>
      </c>
      <c r="M846">
        <v>94.4</v>
      </c>
    </row>
    <row r="847" spans="2:13" x14ac:dyDescent="0.2">
      <c r="C847" t="s">
        <v>27</v>
      </c>
    </row>
    <row r="848" spans="2:13" x14ac:dyDescent="0.2">
      <c r="C848" t="s">
        <v>28</v>
      </c>
      <c r="D848" t="s">
        <v>16</v>
      </c>
      <c r="E848" t="s">
        <v>29</v>
      </c>
      <c r="F848" t="s">
        <v>18</v>
      </c>
    </row>
    <row r="849" spans="2:13" x14ac:dyDescent="0.2">
      <c r="C849" t="b">
        <v>0</v>
      </c>
      <c r="D849">
        <v>640.03</v>
      </c>
      <c r="E849" t="s">
        <v>30</v>
      </c>
    </row>
    <row r="850" spans="2:13" x14ac:dyDescent="0.2">
      <c r="C850" t="b">
        <v>0</v>
      </c>
      <c r="D850">
        <v>580.03</v>
      </c>
      <c r="E850" t="s">
        <v>30</v>
      </c>
    </row>
    <row r="851" spans="2:13" x14ac:dyDescent="0.2">
      <c r="C851" t="b">
        <v>0</v>
      </c>
      <c r="D851">
        <v>730.05</v>
      </c>
      <c r="E851" t="s">
        <v>30</v>
      </c>
    </row>
    <row r="852" spans="2:13" x14ac:dyDescent="0.2">
      <c r="C852" t="b">
        <v>0</v>
      </c>
      <c r="D852">
        <v>650.04</v>
      </c>
      <c r="E852" t="s">
        <v>30</v>
      </c>
    </row>
    <row r="853" spans="2:13" x14ac:dyDescent="0.2">
      <c r="C853" t="b">
        <v>0</v>
      </c>
      <c r="D853">
        <v>630.04</v>
      </c>
      <c r="E853" t="s">
        <v>30</v>
      </c>
    </row>
    <row r="854" spans="2:13" x14ac:dyDescent="0.2">
      <c r="C854" t="b">
        <v>0</v>
      </c>
      <c r="D854">
        <v>840.05</v>
      </c>
      <c r="E854" t="s">
        <v>30</v>
      </c>
    </row>
    <row r="855" spans="2:13" x14ac:dyDescent="0.2">
      <c r="C855" t="b">
        <v>0</v>
      </c>
      <c r="D855">
        <v>860.06</v>
      </c>
      <c r="E855" t="s">
        <v>30</v>
      </c>
    </row>
    <row r="856" spans="2:13" x14ac:dyDescent="0.2">
      <c r="B856" t="s">
        <v>11</v>
      </c>
    </row>
    <row r="857" spans="2:13" x14ac:dyDescent="0.2">
      <c r="B857" t="s">
        <v>12</v>
      </c>
      <c r="C857" t="s">
        <v>13</v>
      </c>
      <c r="D857" t="s">
        <v>14</v>
      </c>
      <c r="E857" t="s">
        <v>15</v>
      </c>
      <c r="F857" t="s">
        <v>16</v>
      </c>
      <c r="G857" t="s">
        <v>17</v>
      </c>
      <c r="H857" t="s">
        <v>18</v>
      </c>
      <c r="I857" t="s">
        <v>19</v>
      </c>
      <c r="J857" t="s">
        <v>20</v>
      </c>
      <c r="K857" t="s">
        <v>21</v>
      </c>
      <c r="L857" t="s">
        <v>22</v>
      </c>
      <c r="M857" t="s">
        <v>23</v>
      </c>
    </row>
    <row r="858" spans="2:13" x14ac:dyDescent="0.2">
      <c r="B858" t="s">
        <v>33</v>
      </c>
      <c r="C858">
        <v>89</v>
      </c>
      <c r="E858" t="s">
        <v>25</v>
      </c>
      <c r="F858">
        <v>3594.89</v>
      </c>
      <c r="G858">
        <v>9.8000000000000007</v>
      </c>
      <c r="K858">
        <v>0.1</v>
      </c>
      <c r="L858">
        <v>7</v>
      </c>
      <c r="M858">
        <v>91.1</v>
      </c>
    </row>
    <row r="859" spans="2:13" x14ac:dyDescent="0.2">
      <c r="C859" t="s">
        <v>27</v>
      </c>
    </row>
    <row r="860" spans="2:13" x14ac:dyDescent="0.2">
      <c r="C860" t="s">
        <v>28</v>
      </c>
      <c r="D860" t="s">
        <v>16</v>
      </c>
      <c r="E860" t="s">
        <v>29</v>
      </c>
      <c r="F860" t="s">
        <v>18</v>
      </c>
    </row>
    <row r="861" spans="2:13" x14ac:dyDescent="0.2">
      <c r="C861" t="b">
        <v>0</v>
      </c>
      <c r="D861">
        <v>3100.45</v>
      </c>
      <c r="E861" t="s">
        <v>30</v>
      </c>
    </row>
    <row r="862" spans="2:13" x14ac:dyDescent="0.2">
      <c r="C862" t="b">
        <v>0</v>
      </c>
      <c r="D862">
        <v>3400.52</v>
      </c>
      <c r="E862" t="s">
        <v>30</v>
      </c>
    </row>
    <row r="863" spans="2:13" x14ac:dyDescent="0.2">
      <c r="C863" t="b">
        <v>0</v>
      </c>
      <c r="D863">
        <v>3300.5</v>
      </c>
      <c r="E863" t="s">
        <v>30</v>
      </c>
    </row>
    <row r="864" spans="2:13" x14ac:dyDescent="0.2">
      <c r="C864" t="b">
        <v>0</v>
      </c>
      <c r="D864">
        <v>3800.68</v>
      </c>
      <c r="E864" t="s">
        <v>30</v>
      </c>
    </row>
    <row r="865" spans="1:13" x14ac:dyDescent="0.2">
      <c r="C865" t="b">
        <v>0</v>
      </c>
      <c r="D865">
        <v>3770.65</v>
      </c>
      <c r="E865" t="s">
        <v>30</v>
      </c>
    </row>
    <row r="866" spans="1:13" x14ac:dyDescent="0.2">
      <c r="C866" t="b">
        <v>0</v>
      </c>
      <c r="D866">
        <v>4140.78</v>
      </c>
      <c r="E866" t="s">
        <v>30</v>
      </c>
    </row>
    <row r="867" spans="1:13" x14ac:dyDescent="0.2">
      <c r="C867" t="b">
        <v>0</v>
      </c>
      <c r="D867">
        <v>3650.65</v>
      </c>
      <c r="E867" t="s">
        <v>30</v>
      </c>
    </row>
    <row r="868" spans="1:13" x14ac:dyDescent="0.2">
      <c r="A868" t="s">
        <v>0</v>
      </c>
    </row>
    <row r="869" spans="1:13" x14ac:dyDescent="0.2"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</row>
    <row r="870" spans="1:13" x14ac:dyDescent="0.2">
      <c r="B870" t="b">
        <v>0</v>
      </c>
      <c r="C870" t="s">
        <v>82</v>
      </c>
      <c r="D870" t="s">
        <v>83</v>
      </c>
      <c r="E870" t="s">
        <v>0</v>
      </c>
      <c r="G870" t="s">
        <v>84</v>
      </c>
    </row>
    <row r="871" spans="1:13" x14ac:dyDescent="0.2">
      <c r="B871" t="s">
        <v>11</v>
      </c>
    </row>
    <row r="872" spans="1:13" x14ac:dyDescent="0.2">
      <c r="B872" t="s">
        <v>12</v>
      </c>
      <c r="C872" t="s">
        <v>13</v>
      </c>
      <c r="D872" t="s">
        <v>14</v>
      </c>
      <c r="E872" t="s">
        <v>15</v>
      </c>
      <c r="F872" t="s">
        <v>16</v>
      </c>
      <c r="G872" t="s">
        <v>17</v>
      </c>
      <c r="H872" t="s">
        <v>18</v>
      </c>
      <c r="I872" t="s">
        <v>19</v>
      </c>
      <c r="J872" t="s">
        <v>20</v>
      </c>
      <c r="K872" t="s">
        <v>21</v>
      </c>
      <c r="L872" t="s">
        <v>22</v>
      </c>
      <c r="M872" t="s">
        <v>23</v>
      </c>
    </row>
    <row r="873" spans="1:13" x14ac:dyDescent="0.2">
      <c r="B873" t="s">
        <v>24</v>
      </c>
      <c r="C873">
        <v>59</v>
      </c>
      <c r="E873" t="s">
        <v>25</v>
      </c>
      <c r="F873">
        <v>18598.54</v>
      </c>
      <c r="G873">
        <v>2.5</v>
      </c>
      <c r="H873">
        <v>8.0000000000000002E-3</v>
      </c>
      <c r="I873" t="s">
        <v>26</v>
      </c>
      <c r="J873">
        <v>2.5</v>
      </c>
      <c r="K873">
        <v>0.1</v>
      </c>
      <c r="L873">
        <v>7</v>
      </c>
    </row>
    <row r="874" spans="1:13" x14ac:dyDescent="0.2">
      <c r="C874" t="s">
        <v>27</v>
      </c>
    </row>
    <row r="875" spans="1:13" x14ac:dyDescent="0.2">
      <c r="C875" t="s">
        <v>28</v>
      </c>
      <c r="D875" t="s">
        <v>16</v>
      </c>
      <c r="E875" t="s">
        <v>29</v>
      </c>
      <c r="F875" t="s">
        <v>18</v>
      </c>
    </row>
    <row r="876" spans="1:13" x14ac:dyDescent="0.2">
      <c r="C876" t="b">
        <v>0</v>
      </c>
      <c r="D876">
        <v>18632.96</v>
      </c>
      <c r="E876" t="s">
        <v>30</v>
      </c>
      <c r="F876">
        <v>8.0000000000000002E-3</v>
      </c>
    </row>
    <row r="877" spans="1:13" x14ac:dyDescent="0.2">
      <c r="C877" t="b">
        <v>0</v>
      </c>
      <c r="D877">
        <v>18152.21</v>
      </c>
      <c r="E877" t="s">
        <v>30</v>
      </c>
      <c r="F877">
        <v>8.0000000000000002E-3</v>
      </c>
    </row>
    <row r="878" spans="1:13" x14ac:dyDescent="0.2">
      <c r="C878" t="b">
        <v>0</v>
      </c>
      <c r="D878">
        <v>18502.64</v>
      </c>
      <c r="E878" t="s">
        <v>30</v>
      </c>
      <c r="F878">
        <v>8.0000000000000002E-3</v>
      </c>
    </row>
    <row r="879" spans="1:13" x14ac:dyDescent="0.2">
      <c r="C879" t="b">
        <v>0</v>
      </c>
      <c r="D879">
        <v>19393.84</v>
      </c>
      <c r="E879" t="s">
        <v>30</v>
      </c>
      <c r="F879">
        <v>8.9999999999999993E-3</v>
      </c>
    </row>
    <row r="880" spans="1:13" x14ac:dyDescent="0.2">
      <c r="C880" t="b">
        <v>0</v>
      </c>
      <c r="D880">
        <v>18993.5</v>
      </c>
      <c r="E880" t="s">
        <v>30</v>
      </c>
      <c r="F880">
        <v>8.0000000000000002E-3</v>
      </c>
    </row>
    <row r="881" spans="2:13" x14ac:dyDescent="0.2">
      <c r="C881" t="b">
        <v>0</v>
      </c>
      <c r="D881">
        <v>18102.150000000001</v>
      </c>
      <c r="E881" t="s">
        <v>30</v>
      </c>
      <c r="F881">
        <v>8.0000000000000002E-3</v>
      </c>
    </row>
    <row r="882" spans="2:13" x14ac:dyDescent="0.2">
      <c r="C882" t="b">
        <v>0</v>
      </c>
      <c r="D882">
        <v>18412.46</v>
      </c>
      <c r="E882" t="s">
        <v>30</v>
      </c>
      <c r="F882">
        <v>8.0000000000000002E-3</v>
      </c>
    </row>
    <row r="883" spans="2:13" x14ac:dyDescent="0.2">
      <c r="B883" t="s">
        <v>11</v>
      </c>
    </row>
    <row r="884" spans="2:13" x14ac:dyDescent="0.2">
      <c r="B884" t="s">
        <v>12</v>
      </c>
      <c r="C884" t="s">
        <v>13</v>
      </c>
      <c r="D884" t="s">
        <v>14</v>
      </c>
      <c r="E884" t="s">
        <v>15</v>
      </c>
      <c r="F884" t="s">
        <v>16</v>
      </c>
      <c r="G884" t="s">
        <v>17</v>
      </c>
      <c r="H884" t="s">
        <v>18</v>
      </c>
      <c r="I884" t="s">
        <v>19</v>
      </c>
      <c r="J884" t="s">
        <v>20</v>
      </c>
      <c r="K884" t="s">
        <v>21</v>
      </c>
      <c r="L884" t="s">
        <v>22</v>
      </c>
      <c r="M884" t="s">
        <v>23</v>
      </c>
    </row>
    <row r="885" spans="2:13" x14ac:dyDescent="0.2">
      <c r="B885" t="s">
        <v>31</v>
      </c>
      <c r="C885">
        <v>45</v>
      </c>
      <c r="E885" t="s">
        <v>25</v>
      </c>
      <c r="F885">
        <v>1050.08</v>
      </c>
      <c r="G885">
        <v>8.1</v>
      </c>
      <c r="K885">
        <v>0.1</v>
      </c>
      <c r="L885">
        <v>7</v>
      </c>
      <c r="M885">
        <v>101.7</v>
      </c>
    </row>
    <row r="886" spans="2:13" x14ac:dyDescent="0.2">
      <c r="C886" t="s">
        <v>27</v>
      </c>
    </row>
    <row r="887" spans="2:13" x14ac:dyDescent="0.2">
      <c r="C887" t="s">
        <v>28</v>
      </c>
      <c r="D887" t="s">
        <v>16</v>
      </c>
      <c r="E887" t="s">
        <v>29</v>
      </c>
      <c r="F887" t="s">
        <v>18</v>
      </c>
    </row>
    <row r="888" spans="2:13" x14ac:dyDescent="0.2">
      <c r="C888" t="b">
        <v>0</v>
      </c>
      <c r="D888">
        <v>940.07</v>
      </c>
      <c r="E888" t="s">
        <v>30</v>
      </c>
    </row>
    <row r="889" spans="2:13" x14ac:dyDescent="0.2">
      <c r="C889" t="b">
        <v>0</v>
      </c>
      <c r="D889">
        <v>1060.07</v>
      </c>
      <c r="E889" t="s">
        <v>30</v>
      </c>
    </row>
    <row r="890" spans="2:13" x14ac:dyDescent="0.2">
      <c r="C890" t="b">
        <v>0</v>
      </c>
      <c r="D890">
        <v>1110.0899999999999</v>
      </c>
      <c r="E890" t="s">
        <v>30</v>
      </c>
    </row>
    <row r="891" spans="2:13" x14ac:dyDescent="0.2">
      <c r="C891" t="b">
        <v>0</v>
      </c>
      <c r="D891">
        <v>1150.08</v>
      </c>
      <c r="E891" t="s">
        <v>30</v>
      </c>
    </row>
    <row r="892" spans="2:13" x14ac:dyDescent="0.2">
      <c r="C892" t="b">
        <v>0</v>
      </c>
      <c r="D892">
        <v>1110.0899999999999</v>
      </c>
      <c r="E892" t="s">
        <v>30</v>
      </c>
    </row>
    <row r="893" spans="2:13" x14ac:dyDescent="0.2">
      <c r="C893" t="b">
        <v>0</v>
      </c>
      <c r="D893">
        <v>1050.07</v>
      </c>
      <c r="E893" t="s">
        <v>30</v>
      </c>
    </row>
    <row r="894" spans="2:13" x14ac:dyDescent="0.2">
      <c r="C894" t="b">
        <v>0</v>
      </c>
      <c r="D894">
        <v>930.06</v>
      </c>
      <c r="E894" t="s">
        <v>30</v>
      </c>
    </row>
    <row r="895" spans="2:13" x14ac:dyDescent="0.2">
      <c r="B895" t="s">
        <v>11</v>
      </c>
    </row>
    <row r="896" spans="2:13" x14ac:dyDescent="0.2">
      <c r="B896" t="s">
        <v>12</v>
      </c>
      <c r="C896" t="s">
        <v>13</v>
      </c>
      <c r="D896" t="s">
        <v>14</v>
      </c>
      <c r="E896" t="s">
        <v>15</v>
      </c>
      <c r="F896" t="s">
        <v>16</v>
      </c>
      <c r="G896" t="s">
        <v>17</v>
      </c>
      <c r="H896" t="s">
        <v>18</v>
      </c>
      <c r="I896" t="s">
        <v>19</v>
      </c>
      <c r="J896" t="s">
        <v>20</v>
      </c>
      <c r="K896" t="s">
        <v>21</v>
      </c>
      <c r="L896" t="s">
        <v>22</v>
      </c>
      <c r="M896" t="s">
        <v>23</v>
      </c>
    </row>
    <row r="897" spans="2:13" x14ac:dyDescent="0.2">
      <c r="B897" t="s">
        <v>32</v>
      </c>
      <c r="C897">
        <v>72</v>
      </c>
      <c r="E897" t="s">
        <v>25</v>
      </c>
      <c r="F897">
        <v>807.2</v>
      </c>
      <c r="G897">
        <v>12.2</v>
      </c>
      <c r="K897">
        <v>0.1</v>
      </c>
      <c r="L897">
        <v>7</v>
      </c>
      <c r="M897">
        <v>108.2</v>
      </c>
    </row>
    <row r="898" spans="2:13" x14ac:dyDescent="0.2">
      <c r="C898" t="s">
        <v>27</v>
      </c>
    </row>
    <row r="899" spans="2:13" x14ac:dyDescent="0.2">
      <c r="C899" t="s">
        <v>28</v>
      </c>
      <c r="D899" t="s">
        <v>16</v>
      </c>
      <c r="E899" t="s">
        <v>29</v>
      </c>
      <c r="F899" t="s">
        <v>18</v>
      </c>
    </row>
    <row r="900" spans="2:13" x14ac:dyDescent="0.2">
      <c r="C900" t="b">
        <v>0</v>
      </c>
      <c r="D900">
        <v>770.05</v>
      </c>
      <c r="E900" t="s">
        <v>30</v>
      </c>
    </row>
    <row r="901" spans="2:13" x14ac:dyDescent="0.2">
      <c r="C901" t="b">
        <v>0</v>
      </c>
      <c r="D901">
        <v>640.04</v>
      </c>
      <c r="E901" t="s">
        <v>30</v>
      </c>
    </row>
    <row r="902" spans="2:13" x14ac:dyDescent="0.2">
      <c r="C902" t="b">
        <v>0</v>
      </c>
      <c r="D902">
        <v>800.07</v>
      </c>
      <c r="E902" t="s">
        <v>30</v>
      </c>
    </row>
    <row r="903" spans="2:13" x14ac:dyDescent="0.2">
      <c r="C903" t="b">
        <v>0</v>
      </c>
      <c r="D903">
        <v>940.07</v>
      </c>
      <c r="E903" t="s">
        <v>30</v>
      </c>
    </row>
    <row r="904" spans="2:13" x14ac:dyDescent="0.2">
      <c r="C904" t="b">
        <v>0</v>
      </c>
      <c r="D904">
        <v>910.07</v>
      </c>
      <c r="E904" t="s">
        <v>30</v>
      </c>
    </row>
    <row r="905" spans="2:13" x14ac:dyDescent="0.2">
      <c r="C905" t="b">
        <v>0</v>
      </c>
      <c r="D905">
        <v>780.05</v>
      </c>
      <c r="E905" t="s">
        <v>30</v>
      </c>
    </row>
    <row r="906" spans="2:13" x14ac:dyDescent="0.2">
      <c r="C906" t="b">
        <v>0</v>
      </c>
      <c r="D906">
        <v>810.05</v>
      </c>
      <c r="E906" t="s">
        <v>30</v>
      </c>
    </row>
    <row r="907" spans="2:13" x14ac:dyDescent="0.2">
      <c r="B907" t="s">
        <v>11</v>
      </c>
    </row>
    <row r="908" spans="2:13" x14ac:dyDescent="0.2">
      <c r="B908" t="s">
        <v>12</v>
      </c>
      <c r="C908" t="s">
        <v>13</v>
      </c>
      <c r="D908" t="s">
        <v>14</v>
      </c>
      <c r="E908" t="s">
        <v>15</v>
      </c>
      <c r="F908" t="s">
        <v>16</v>
      </c>
      <c r="G908" t="s">
        <v>17</v>
      </c>
      <c r="H908" t="s">
        <v>18</v>
      </c>
      <c r="I908" t="s">
        <v>19</v>
      </c>
      <c r="J908" t="s">
        <v>20</v>
      </c>
      <c r="K908" t="s">
        <v>21</v>
      </c>
      <c r="L908" t="s">
        <v>22</v>
      </c>
      <c r="M908" t="s">
        <v>23</v>
      </c>
    </row>
    <row r="909" spans="2:13" x14ac:dyDescent="0.2">
      <c r="B909" t="s">
        <v>33</v>
      </c>
      <c r="C909">
        <v>89</v>
      </c>
      <c r="E909" t="s">
        <v>25</v>
      </c>
      <c r="F909">
        <v>4100.7700000000004</v>
      </c>
      <c r="G909">
        <v>6.5</v>
      </c>
      <c r="K909">
        <v>0.1</v>
      </c>
      <c r="L909">
        <v>7</v>
      </c>
      <c r="M909">
        <v>103.9</v>
      </c>
    </row>
    <row r="910" spans="2:13" x14ac:dyDescent="0.2">
      <c r="C910" t="s">
        <v>27</v>
      </c>
    </row>
    <row r="911" spans="2:13" x14ac:dyDescent="0.2">
      <c r="C911" t="s">
        <v>28</v>
      </c>
      <c r="D911" t="s">
        <v>16</v>
      </c>
      <c r="E911" t="s">
        <v>29</v>
      </c>
      <c r="F911" t="s">
        <v>18</v>
      </c>
    </row>
    <row r="912" spans="2:13" x14ac:dyDescent="0.2">
      <c r="C912" t="b">
        <v>0</v>
      </c>
      <c r="D912">
        <v>3630.62</v>
      </c>
      <c r="E912" t="s">
        <v>30</v>
      </c>
    </row>
    <row r="913" spans="1:13" x14ac:dyDescent="0.2">
      <c r="C913" t="b">
        <v>0</v>
      </c>
      <c r="D913">
        <v>4010.72</v>
      </c>
      <c r="E913" t="s">
        <v>30</v>
      </c>
    </row>
    <row r="914" spans="1:13" x14ac:dyDescent="0.2">
      <c r="C914" t="b">
        <v>0</v>
      </c>
      <c r="D914">
        <v>4260.8</v>
      </c>
      <c r="E914" t="s">
        <v>30</v>
      </c>
    </row>
    <row r="915" spans="1:13" x14ac:dyDescent="0.2">
      <c r="C915" t="b">
        <v>0</v>
      </c>
      <c r="D915">
        <v>4430.9399999999996</v>
      </c>
      <c r="E915" t="s">
        <v>30</v>
      </c>
    </row>
    <row r="916" spans="1:13" x14ac:dyDescent="0.2">
      <c r="C916" t="b">
        <v>0</v>
      </c>
      <c r="D916">
        <v>4070.74</v>
      </c>
      <c r="E916" t="s">
        <v>30</v>
      </c>
    </row>
    <row r="917" spans="1:13" x14ac:dyDescent="0.2">
      <c r="C917" t="b">
        <v>0</v>
      </c>
      <c r="D917">
        <v>3990.71</v>
      </c>
      <c r="E917" t="s">
        <v>30</v>
      </c>
    </row>
    <row r="918" spans="1:13" x14ac:dyDescent="0.2">
      <c r="C918" t="b">
        <v>0</v>
      </c>
      <c r="D918">
        <v>4310.83</v>
      </c>
      <c r="E918" t="s">
        <v>30</v>
      </c>
    </row>
    <row r="919" spans="1:13" x14ac:dyDescent="0.2">
      <c r="A919" t="s">
        <v>0</v>
      </c>
    </row>
    <row r="920" spans="1:13" x14ac:dyDescent="0.2"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</row>
    <row r="921" spans="1:13" x14ac:dyDescent="0.2">
      <c r="B921" t="b">
        <v>0</v>
      </c>
      <c r="C921" t="s">
        <v>85</v>
      </c>
      <c r="D921" t="s">
        <v>86</v>
      </c>
      <c r="E921" t="s">
        <v>0</v>
      </c>
      <c r="G921" t="s">
        <v>87</v>
      </c>
    </row>
    <row r="922" spans="1:13" x14ac:dyDescent="0.2">
      <c r="B922" t="s">
        <v>11</v>
      </c>
    </row>
    <row r="923" spans="1:13" x14ac:dyDescent="0.2">
      <c r="B923" t="s">
        <v>12</v>
      </c>
      <c r="C923" t="s">
        <v>13</v>
      </c>
      <c r="D923" t="s">
        <v>14</v>
      </c>
      <c r="E923" t="s">
        <v>15</v>
      </c>
      <c r="F923" t="s">
        <v>16</v>
      </c>
      <c r="G923" t="s">
        <v>17</v>
      </c>
      <c r="H923" t="s">
        <v>18</v>
      </c>
      <c r="I923" t="s">
        <v>19</v>
      </c>
      <c r="J923" t="s">
        <v>20</v>
      </c>
      <c r="K923" t="s">
        <v>21</v>
      </c>
      <c r="L923" t="s">
        <v>22</v>
      </c>
      <c r="M923" t="s">
        <v>23</v>
      </c>
    </row>
    <row r="924" spans="1:13" x14ac:dyDescent="0.2">
      <c r="B924" t="s">
        <v>24</v>
      </c>
      <c r="C924">
        <v>59</v>
      </c>
      <c r="E924" t="s">
        <v>25</v>
      </c>
      <c r="F924">
        <v>19913.25</v>
      </c>
      <c r="G924">
        <v>2.8</v>
      </c>
      <c r="H924">
        <v>8.9999999999999993E-3</v>
      </c>
      <c r="I924" t="s">
        <v>26</v>
      </c>
      <c r="J924">
        <v>2.8</v>
      </c>
      <c r="K924">
        <v>0.1</v>
      </c>
      <c r="L924">
        <v>7</v>
      </c>
    </row>
    <row r="925" spans="1:13" x14ac:dyDescent="0.2">
      <c r="C925" t="s">
        <v>27</v>
      </c>
    </row>
    <row r="926" spans="1:13" x14ac:dyDescent="0.2">
      <c r="C926" t="s">
        <v>28</v>
      </c>
      <c r="D926" t="s">
        <v>16</v>
      </c>
      <c r="E926" t="s">
        <v>29</v>
      </c>
      <c r="F926" t="s">
        <v>18</v>
      </c>
    </row>
    <row r="927" spans="1:13" x14ac:dyDescent="0.2">
      <c r="C927" t="b">
        <v>0</v>
      </c>
      <c r="D927">
        <v>20705.82</v>
      </c>
      <c r="E927" t="s">
        <v>30</v>
      </c>
      <c r="F927">
        <v>8.9999999999999993E-3</v>
      </c>
    </row>
    <row r="928" spans="1:13" x14ac:dyDescent="0.2">
      <c r="C928" t="b">
        <v>0</v>
      </c>
      <c r="D928">
        <v>18983.45</v>
      </c>
      <c r="E928" t="s">
        <v>30</v>
      </c>
      <c r="F928">
        <v>8.0000000000000002E-3</v>
      </c>
    </row>
    <row r="929" spans="2:13" x14ac:dyDescent="0.2">
      <c r="C929" t="b">
        <v>0</v>
      </c>
      <c r="D929">
        <v>20135.080000000002</v>
      </c>
      <c r="E929" t="s">
        <v>30</v>
      </c>
      <c r="F929">
        <v>8.9999999999999993E-3</v>
      </c>
    </row>
    <row r="930" spans="2:13" x14ac:dyDescent="0.2">
      <c r="C930" t="b">
        <v>0</v>
      </c>
      <c r="D930">
        <v>20074.97</v>
      </c>
      <c r="E930" t="s">
        <v>30</v>
      </c>
      <c r="F930">
        <v>8.9999999999999993E-3</v>
      </c>
    </row>
    <row r="931" spans="2:13" x14ac:dyDescent="0.2">
      <c r="C931" t="b">
        <v>0</v>
      </c>
      <c r="D931">
        <v>19954.48</v>
      </c>
      <c r="E931" t="s">
        <v>30</v>
      </c>
      <c r="F931">
        <v>8.9999999999999993E-3</v>
      </c>
    </row>
    <row r="932" spans="2:13" x14ac:dyDescent="0.2">
      <c r="C932" t="b">
        <v>0</v>
      </c>
      <c r="D932">
        <v>19413.900000000001</v>
      </c>
      <c r="E932" t="s">
        <v>30</v>
      </c>
      <c r="F932">
        <v>8.9999999999999993E-3</v>
      </c>
    </row>
    <row r="933" spans="2:13" x14ac:dyDescent="0.2">
      <c r="C933" t="b">
        <v>0</v>
      </c>
      <c r="D933">
        <v>20125.04</v>
      </c>
      <c r="E933" t="s">
        <v>30</v>
      </c>
      <c r="F933">
        <v>8.9999999999999993E-3</v>
      </c>
    </row>
    <row r="934" spans="2:13" x14ac:dyDescent="0.2">
      <c r="B934" t="s">
        <v>11</v>
      </c>
    </row>
    <row r="935" spans="2:13" x14ac:dyDescent="0.2">
      <c r="B935" t="s">
        <v>12</v>
      </c>
      <c r="C935" t="s">
        <v>13</v>
      </c>
      <c r="D935" t="s">
        <v>14</v>
      </c>
      <c r="E935" t="s">
        <v>15</v>
      </c>
      <c r="F935" t="s">
        <v>16</v>
      </c>
      <c r="G935" t="s">
        <v>17</v>
      </c>
      <c r="H935" t="s">
        <v>18</v>
      </c>
      <c r="I935" t="s">
        <v>19</v>
      </c>
      <c r="J935" t="s">
        <v>20</v>
      </c>
      <c r="K935" t="s">
        <v>21</v>
      </c>
      <c r="L935" t="s">
        <v>22</v>
      </c>
      <c r="M935" t="s">
        <v>23</v>
      </c>
    </row>
    <row r="936" spans="2:13" x14ac:dyDescent="0.2">
      <c r="B936" t="s">
        <v>31</v>
      </c>
      <c r="C936">
        <v>45</v>
      </c>
      <c r="E936" t="s">
        <v>25</v>
      </c>
      <c r="F936">
        <v>951.49</v>
      </c>
      <c r="G936">
        <v>14.3</v>
      </c>
      <c r="K936">
        <v>0.1</v>
      </c>
      <c r="L936">
        <v>7</v>
      </c>
      <c r="M936">
        <v>92.1</v>
      </c>
    </row>
    <row r="937" spans="2:13" x14ac:dyDescent="0.2">
      <c r="C937" t="s">
        <v>27</v>
      </c>
    </row>
    <row r="938" spans="2:13" x14ac:dyDescent="0.2">
      <c r="C938" t="s">
        <v>28</v>
      </c>
      <c r="D938" t="s">
        <v>16</v>
      </c>
      <c r="E938" t="s">
        <v>29</v>
      </c>
      <c r="F938" t="s">
        <v>18</v>
      </c>
    </row>
    <row r="939" spans="2:13" x14ac:dyDescent="0.2">
      <c r="C939" t="b">
        <v>0</v>
      </c>
      <c r="D939">
        <v>810.05</v>
      </c>
      <c r="E939" t="s">
        <v>30</v>
      </c>
    </row>
    <row r="940" spans="2:13" x14ac:dyDescent="0.2">
      <c r="C940" t="b">
        <v>0</v>
      </c>
      <c r="D940">
        <v>980.07</v>
      </c>
      <c r="E940" t="s">
        <v>30</v>
      </c>
    </row>
    <row r="941" spans="2:13" x14ac:dyDescent="0.2">
      <c r="C941" t="b">
        <v>0</v>
      </c>
      <c r="D941">
        <v>780.05</v>
      </c>
      <c r="E941" t="s">
        <v>30</v>
      </c>
    </row>
    <row r="942" spans="2:13" x14ac:dyDescent="0.2">
      <c r="C942" t="b">
        <v>0</v>
      </c>
      <c r="D942">
        <v>870.06</v>
      </c>
      <c r="E942" t="s">
        <v>30</v>
      </c>
    </row>
    <row r="943" spans="2:13" x14ac:dyDescent="0.2">
      <c r="C943" t="b">
        <v>0</v>
      </c>
      <c r="D943">
        <v>1150.08</v>
      </c>
      <c r="E943" t="s">
        <v>30</v>
      </c>
    </row>
    <row r="944" spans="2:13" x14ac:dyDescent="0.2">
      <c r="C944" t="b">
        <v>0</v>
      </c>
      <c r="D944">
        <v>1060.07</v>
      </c>
      <c r="E944" t="s">
        <v>30</v>
      </c>
    </row>
    <row r="945" spans="2:13" x14ac:dyDescent="0.2">
      <c r="C945" t="b">
        <v>0</v>
      </c>
      <c r="D945">
        <v>1010.07</v>
      </c>
      <c r="E945" t="s">
        <v>30</v>
      </c>
    </row>
    <row r="946" spans="2:13" x14ac:dyDescent="0.2">
      <c r="B946" t="s">
        <v>11</v>
      </c>
    </row>
    <row r="947" spans="2:13" x14ac:dyDescent="0.2">
      <c r="B947" t="s">
        <v>12</v>
      </c>
      <c r="C947" t="s">
        <v>13</v>
      </c>
      <c r="D947" t="s">
        <v>14</v>
      </c>
      <c r="E947" t="s">
        <v>15</v>
      </c>
      <c r="F947" t="s">
        <v>16</v>
      </c>
      <c r="G947" t="s">
        <v>17</v>
      </c>
      <c r="H947" t="s">
        <v>18</v>
      </c>
      <c r="I947" t="s">
        <v>19</v>
      </c>
      <c r="J947" t="s">
        <v>20</v>
      </c>
      <c r="K947" t="s">
        <v>21</v>
      </c>
      <c r="L947" t="s">
        <v>22</v>
      </c>
      <c r="M947" t="s">
        <v>23</v>
      </c>
    </row>
    <row r="948" spans="2:13" x14ac:dyDescent="0.2">
      <c r="B948" t="s">
        <v>32</v>
      </c>
      <c r="C948">
        <v>72</v>
      </c>
      <c r="E948" t="s">
        <v>25</v>
      </c>
      <c r="F948">
        <v>824.34</v>
      </c>
      <c r="G948">
        <v>13.5</v>
      </c>
      <c r="K948">
        <v>0.1</v>
      </c>
      <c r="L948">
        <v>7</v>
      </c>
      <c r="M948">
        <v>110.5</v>
      </c>
    </row>
    <row r="949" spans="2:13" x14ac:dyDescent="0.2">
      <c r="C949" t="s">
        <v>27</v>
      </c>
    </row>
    <row r="950" spans="2:13" x14ac:dyDescent="0.2">
      <c r="C950" t="s">
        <v>28</v>
      </c>
      <c r="D950" t="s">
        <v>16</v>
      </c>
      <c r="E950" t="s">
        <v>29</v>
      </c>
      <c r="F950" t="s">
        <v>18</v>
      </c>
    </row>
    <row r="951" spans="2:13" x14ac:dyDescent="0.2">
      <c r="C951" t="b">
        <v>0</v>
      </c>
      <c r="D951">
        <v>860.06</v>
      </c>
      <c r="E951" t="s">
        <v>30</v>
      </c>
    </row>
    <row r="952" spans="2:13" x14ac:dyDescent="0.2">
      <c r="C952" t="b">
        <v>0</v>
      </c>
      <c r="D952">
        <v>780.05</v>
      </c>
      <c r="E952" t="s">
        <v>30</v>
      </c>
    </row>
    <row r="953" spans="2:13" x14ac:dyDescent="0.2">
      <c r="C953" t="b">
        <v>0</v>
      </c>
      <c r="D953">
        <v>810.05</v>
      </c>
      <c r="E953" t="s">
        <v>30</v>
      </c>
    </row>
    <row r="954" spans="2:13" x14ac:dyDescent="0.2">
      <c r="C954" t="b">
        <v>0</v>
      </c>
      <c r="D954">
        <v>600.03</v>
      </c>
      <c r="E954" t="s">
        <v>30</v>
      </c>
    </row>
    <row r="955" spans="2:13" x14ac:dyDescent="0.2">
      <c r="C955" t="b">
        <v>0</v>
      </c>
      <c r="D955">
        <v>910.07</v>
      </c>
      <c r="E955" t="s">
        <v>30</v>
      </c>
    </row>
    <row r="956" spans="2:13" x14ac:dyDescent="0.2">
      <c r="C956" t="b">
        <v>0</v>
      </c>
      <c r="D956">
        <v>920.06</v>
      </c>
      <c r="E956" t="s">
        <v>30</v>
      </c>
    </row>
    <row r="957" spans="2:13" x14ac:dyDescent="0.2">
      <c r="C957" t="b">
        <v>0</v>
      </c>
      <c r="D957">
        <v>890.06</v>
      </c>
      <c r="E957" t="s">
        <v>30</v>
      </c>
    </row>
    <row r="958" spans="2:13" x14ac:dyDescent="0.2">
      <c r="B958" t="s">
        <v>11</v>
      </c>
    </row>
    <row r="959" spans="2:13" x14ac:dyDescent="0.2">
      <c r="B959" t="s">
        <v>12</v>
      </c>
      <c r="C959" t="s">
        <v>13</v>
      </c>
      <c r="D959" t="s">
        <v>14</v>
      </c>
      <c r="E959" t="s">
        <v>15</v>
      </c>
      <c r="F959" t="s">
        <v>16</v>
      </c>
      <c r="G959" t="s">
        <v>17</v>
      </c>
      <c r="H959" t="s">
        <v>18</v>
      </c>
      <c r="I959" t="s">
        <v>19</v>
      </c>
      <c r="J959" t="s">
        <v>20</v>
      </c>
      <c r="K959" t="s">
        <v>21</v>
      </c>
      <c r="L959" t="s">
        <v>22</v>
      </c>
      <c r="M959" t="s">
        <v>23</v>
      </c>
    </row>
    <row r="960" spans="2:13" x14ac:dyDescent="0.2">
      <c r="B960" t="s">
        <v>33</v>
      </c>
      <c r="C960">
        <v>89</v>
      </c>
      <c r="E960" t="s">
        <v>25</v>
      </c>
      <c r="F960">
        <v>4255.1099999999997</v>
      </c>
      <c r="G960">
        <v>3.6</v>
      </c>
      <c r="K960">
        <v>0.1</v>
      </c>
      <c r="L960">
        <v>7</v>
      </c>
      <c r="M960">
        <v>107.9</v>
      </c>
    </row>
    <row r="961" spans="1:13" x14ac:dyDescent="0.2">
      <c r="C961" t="s">
        <v>27</v>
      </c>
    </row>
    <row r="962" spans="1:13" x14ac:dyDescent="0.2">
      <c r="C962" t="s">
        <v>28</v>
      </c>
      <c r="D962" t="s">
        <v>16</v>
      </c>
      <c r="E962" t="s">
        <v>29</v>
      </c>
      <c r="F962" t="s">
        <v>18</v>
      </c>
    </row>
    <row r="963" spans="1:13" x14ac:dyDescent="0.2">
      <c r="C963" t="b">
        <v>0</v>
      </c>
      <c r="D963">
        <v>4110.78</v>
      </c>
      <c r="E963" t="s">
        <v>30</v>
      </c>
    </row>
    <row r="964" spans="1:13" x14ac:dyDescent="0.2">
      <c r="C964" t="b">
        <v>0</v>
      </c>
      <c r="D964">
        <v>4120.8</v>
      </c>
      <c r="E964" t="s">
        <v>30</v>
      </c>
    </row>
    <row r="965" spans="1:13" x14ac:dyDescent="0.2">
      <c r="C965" t="b">
        <v>0</v>
      </c>
      <c r="D965">
        <v>4450.93</v>
      </c>
      <c r="E965" t="s">
        <v>30</v>
      </c>
    </row>
    <row r="966" spans="1:13" x14ac:dyDescent="0.2">
      <c r="C966" t="b">
        <v>0</v>
      </c>
      <c r="D966">
        <v>4440.88</v>
      </c>
      <c r="E966" t="s">
        <v>30</v>
      </c>
    </row>
    <row r="967" spans="1:13" x14ac:dyDescent="0.2">
      <c r="C967" t="b">
        <v>0</v>
      </c>
      <c r="D967">
        <v>4310.82</v>
      </c>
      <c r="E967" t="s">
        <v>30</v>
      </c>
    </row>
    <row r="968" spans="1:13" x14ac:dyDescent="0.2">
      <c r="C968" t="b">
        <v>0</v>
      </c>
      <c r="D968">
        <v>4100.75</v>
      </c>
      <c r="E968" t="s">
        <v>30</v>
      </c>
    </row>
    <row r="969" spans="1:13" x14ac:dyDescent="0.2">
      <c r="C969" t="b">
        <v>0</v>
      </c>
      <c r="D969">
        <v>4250.8100000000004</v>
      </c>
      <c r="E969" t="s">
        <v>30</v>
      </c>
    </row>
    <row r="970" spans="1:13" x14ac:dyDescent="0.2">
      <c r="A970" t="s">
        <v>0</v>
      </c>
    </row>
    <row r="971" spans="1:13" x14ac:dyDescent="0.2"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</row>
    <row r="972" spans="1:13" x14ac:dyDescent="0.2">
      <c r="B972" t="b">
        <v>0</v>
      </c>
      <c r="C972" t="s">
        <v>88</v>
      </c>
      <c r="D972" t="s">
        <v>89</v>
      </c>
      <c r="E972" t="s">
        <v>0</v>
      </c>
      <c r="G972" t="s">
        <v>90</v>
      </c>
    </row>
    <row r="973" spans="1:13" x14ac:dyDescent="0.2">
      <c r="B973" t="s">
        <v>11</v>
      </c>
    </row>
    <row r="974" spans="1:13" x14ac:dyDescent="0.2">
      <c r="B974" t="s">
        <v>12</v>
      </c>
      <c r="C974" t="s">
        <v>13</v>
      </c>
      <c r="D974" t="s">
        <v>14</v>
      </c>
      <c r="E974" t="s">
        <v>15</v>
      </c>
      <c r="F974" t="s">
        <v>16</v>
      </c>
      <c r="G974" t="s">
        <v>17</v>
      </c>
      <c r="H974" t="s">
        <v>18</v>
      </c>
      <c r="I974" t="s">
        <v>19</v>
      </c>
      <c r="J974" t="s">
        <v>20</v>
      </c>
      <c r="K974" t="s">
        <v>21</v>
      </c>
      <c r="L974" t="s">
        <v>22</v>
      </c>
      <c r="M974" t="s">
        <v>23</v>
      </c>
    </row>
    <row r="975" spans="1:13" x14ac:dyDescent="0.2">
      <c r="B975" t="s">
        <v>24</v>
      </c>
      <c r="C975">
        <v>59</v>
      </c>
      <c r="E975" t="s">
        <v>25</v>
      </c>
      <c r="F975">
        <v>18575.59</v>
      </c>
      <c r="G975">
        <v>2</v>
      </c>
      <c r="H975">
        <v>8.0000000000000002E-3</v>
      </c>
      <c r="I975" t="s">
        <v>26</v>
      </c>
      <c r="J975">
        <v>2</v>
      </c>
      <c r="K975">
        <v>0.1</v>
      </c>
      <c r="L975">
        <v>7</v>
      </c>
    </row>
    <row r="976" spans="1:13" x14ac:dyDescent="0.2">
      <c r="C976" t="s">
        <v>27</v>
      </c>
    </row>
    <row r="977" spans="2:13" x14ac:dyDescent="0.2">
      <c r="C977" t="s">
        <v>28</v>
      </c>
      <c r="D977" t="s">
        <v>16</v>
      </c>
      <c r="E977" t="s">
        <v>29</v>
      </c>
      <c r="F977" t="s">
        <v>18</v>
      </c>
    </row>
    <row r="978" spans="2:13" x14ac:dyDescent="0.2">
      <c r="C978" t="b">
        <v>0</v>
      </c>
      <c r="D978">
        <v>18793.03</v>
      </c>
      <c r="E978" t="s">
        <v>30</v>
      </c>
      <c r="F978">
        <v>8.0000000000000002E-3</v>
      </c>
    </row>
    <row r="979" spans="2:13" x14ac:dyDescent="0.2">
      <c r="C979" t="b">
        <v>0</v>
      </c>
      <c r="D979">
        <v>18562.72</v>
      </c>
      <c r="E979" t="s">
        <v>30</v>
      </c>
      <c r="F979">
        <v>8.0000000000000002E-3</v>
      </c>
    </row>
    <row r="980" spans="2:13" x14ac:dyDescent="0.2">
      <c r="C980" t="b">
        <v>0</v>
      </c>
      <c r="D980">
        <v>18883.12</v>
      </c>
      <c r="E980" t="s">
        <v>30</v>
      </c>
      <c r="F980">
        <v>8.0000000000000002E-3</v>
      </c>
    </row>
    <row r="981" spans="2:13" x14ac:dyDescent="0.2">
      <c r="C981" t="b">
        <v>0</v>
      </c>
      <c r="D981">
        <v>19103.43</v>
      </c>
      <c r="E981" t="s">
        <v>30</v>
      </c>
      <c r="F981">
        <v>8.0000000000000002E-3</v>
      </c>
    </row>
    <row r="982" spans="2:13" x14ac:dyDescent="0.2">
      <c r="C982" t="b">
        <v>0</v>
      </c>
      <c r="D982">
        <v>18322.3</v>
      </c>
      <c r="E982" t="s">
        <v>30</v>
      </c>
      <c r="F982">
        <v>8.0000000000000002E-3</v>
      </c>
    </row>
    <row r="983" spans="2:13" x14ac:dyDescent="0.2">
      <c r="C983" t="b">
        <v>0</v>
      </c>
      <c r="D983">
        <v>18222.34</v>
      </c>
      <c r="E983" t="s">
        <v>30</v>
      </c>
      <c r="F983">
        <v>8.0000000000000002E-3</v>
      </c>
    </row>
    <row r="984" spans="2:13" x14ac:dyDescent="0.2">
      <c r="C984" t="b">
        <v>0</v>
      </c>
      <c r="D984">
        <v>18142.22</v>
      </c>
      <c r="E984" t="s">
        <v>30</v>
      </c>
      <c r="F984">
        <v>8.0000000000000002E-3</v>
      </c>
    </row>
    <row r="985" spans="2:13" x14ac:dyDescent="0.2">
      <c r="B985" t="s">
        <v>11</v>
      </c>
    </row>
    <row r="986" spans="2:13" x14ac:dyDescent="0.2">
      <c r="B986" t="s">
        <v>12</v>
      </c>
      <c r="C986" t="s">
        <v>13</v>
      </c>
      <c r="D986" t="s">
        <v>14</v>
      </c>
      <c r="E986" t="s">
        <v>15</v>
      </c>
      <c r="F986" t="s">
        <v>16</v>
      </c>
      <c r="G986" t="s">
        <v>17</v>
      </c>
      <c r="H986" t="s">
        <v>18</v>
      </c>
      <c r="I986" t="s">
        <v>19</v>
      </c>
      <c r="J986" t="s">
        <v>20</v>
      </c>
      <c r="K986" t="s">
        <v>21</v>
      </c>
      <c r="L986" t="s">
        <v>22</v>
      </c>
      <c r="M986" t="s">
        <v>23</v>
      </c>
    </row>
    <row r="987" spans="2:13" x14ac:dyDescent="0.2">
      <c r="B987" t="s">
        <v>31</v>
      </c>
      <c r="C987">
        <v>45</v>
      </c>
      <c r="E987" t="s">
        <v>25</v>
      </c>
      <c r="F987">
        <v>885.77</v>
      </c>
      <c r="G987">
        <v>9.1</v>
      </c>
      <c r="K987">
        <v>0.1</v>
      </c>
      <c r="L987">
        <v>7</v>
      </c>
      <c r="M987">
        <v>85.8</v>
      </c>
    </row>
    <row r="988" spans="2:13" x14ac:dyDescent="0.2">
      <c r="C988" t="s">
        <v>27</v>
      </c>
    </row>
    <row r="989" spans="2:13" x14ac:dyDescent="0.2">
      <c r="C989" t="s">
        <v>28</v>
      </c>
      <c r="D989" t="s">
        <v>16</v>
      </c>
      <c r="E989" t="s">
        <v>29</v>
      </c>
      <c r="F989" t="s">
        <v>18</v>
      </c>
    </row>
    <row r="990" spans="2:13" x14ac:dyDescent="0.2">
      <c r="C990" t="b">
        <v>0</v>
      </c>
      <c r="D990">
        <v>910.06</v>
      </c>
      <c r="E990" t="s">
        <v>30</v>
      </c>
    </row>
    <row r="991" spans="2:13" x14ac:dyDescent="0.2">
      <c r="C991" t="b">
        <v>0</v>
      </c>
      <c r="D991">
        <v>990.06</v>
      </c>
      <c r="E991" t="s">
        <v>30</v>
      </c>
    </row>
    <row r="992" spans="2:13" x14ac:dyDescent="0.2">
      <c r="C992" t="b">
        <v>0</v>
      </c>
      <c r="D992">
        <v>960.07</v>
      </c>
      <c r="E992" t="s">
        <v>30</v>
      </c>
    </row>
    <row r="993" spans="2:13" x14ac:dyDescent="0.2">
      <c r="C993" t="b">
        <v>0</v>
      </c>
      <c r="D993">
        <v>750.04</v>
      </c>
      <c r="E993" t="s">
        <v>30</v>
      </c>
    </row>
    <row r="994" spans="2:13" x14ac:dyDescent="0.2">
      <c r="C994" t="b">
        <v>0</v>
      </c>
      <c r="D994">
        <v>830.06</v>
      </c>
      <c r="E994" t="s">
        <v>30</v>
      </c>
    </row>
    <row r="995" spans="2:13" x14ac:dyDescent="0.2">
      <c r="C995" t="b">
        <v>0</v>
      </c>
      <c r="D995">
        <v>870.06</v>
      </c>
      <c r="E995" t="s">
        <v>30</v>
      </c>
    </row>
    <row r="996" spans="2:13" x14ac:dyDescent="0.2">
      <c r="C996" t="b">
        <v>0</v>
      </c>
      <c r="D996">
        <v>890.06</v>
      </c>
      <c r="E996" t="s">
        <v>30</v>
      </c>
    </row>
    <row r="997" spans="2:13" x14ac:dyDescent="0.2">
      <c r="B997" t="s">
        <v>11</v>
      </c>
    </row>
    <row r="998" spans="2:13" x14ac:dyDescent="0.2">
      <c r="B998" t="s">
        <v>12</v>
      </c>
      <c r="C998" t="s">
        <v>13</v>
      </c>
      <c r="D998" t="s">
        <v>14</v>
      </c>
      <c r="E998" t="s">
        <v>15</v>
      </c>
      <c r="F998" t="s">
        <v>16</v>
      </c>
      <c r="G998" t="s">
        <v>17</v>
      </c>
      <c r="H998" t="s">
        <v>18</v>
      </c>
      <c r="I998" t="s">
        <v>19</v>
      </c>
      <c r="J998" t="s">
        <v>20</v>
      </c>
      <c r="K998" t="s">
        <v>21</v>
      </c>
      <c r="L998" t="s">
        <v>22</v>
      </c>
      <c r="M998" t="s">
        <v>23</v>
      </c>
    </row>
    <row r="999" spans="2:13" x14ac:dyDescent="0.2">
      <c r="B999" t="s">
        <v>32</v>
      </c>
      <c r="C999">
        <v>72</v>
      </c>
      <c r="E999" t="s">
        <v>25</v>
      </c>
      <c r="F999">
        <v>721.47</v>
      </c>
      <c r="G999">
        <v>12.3</v>
      </c>
      <c r="K999">
        <v>0.1</v>
      </c>
      <c r="L999">
        <v>7</v>
      </c>
      <c r="M999">
        <v>96.7</v>
      </c>
    </row>
    <row r="1000" spans="2:13" x14ac:dyDescent="0.2">
      <c r="C1000" t="s">
        <v>27</v>
      </c>
    </row>
    <row r="1001" spans="2:13" x14ac:dyDescent="0.2">
      <c r="C1001" t="s">
        <v>28</v>
      </c>
      <c r="D1001" t="s">
        <v>16</v>
      </c>
      <c r="E1001" t="s">
        <v>29</v>
      </c>
      <c r="F1001" t="s">
        <v>18</v>
      </c>
    </row>
    <row r="1002" spans="2:13" x14ac:dyDescent="0.2">
      <c r="C1002" t="b">
        <v>0</v>
      </c>
      <c r="D1002">
        <v>580.03</v>
      </c>
      <c r="E1002" t="s">
        <v>30</v>
      </c>
    </row>
    <row r="1003" spans="2:13" x14ac:dyDescent="0.2">
      <c r="C1003" t="b">
        <v>0</v>
      </c>
      <c r="D1003">
        <v>660.04</v>
      </c>
      <c r="E1003" t="s">
        <v>30</v>
      </c>
    </row>
    <row r="1004" spans="2:13" x14ac:dyDescent="0.2">
      <c r="C1004" t="b">
        <v>0</v>
      </c>
      <c r="D1004">
        <v>860.06</v>
      </c>
      <c r="E1004" t="s">
        <v>30</v>
      </c>
    </row>
    <row r="1005" spans="2:13" x14ac:dyDescent="0.2">
      <c r="C1005" t="b">
        <v>0</v>
      </c>
      <c r="D1005">
        <v>740.05</v>
      </c>
      <c r="E1005" t="s">
        <v>30</v>
      </c>
    </row>
    <row r="1006" spans="2:13" x14ac:dyDescent="0.2">
      <c r="C1006" t="b">
        <v>0</v>
      </c>
      <c r="D1006">
        <v>760.04</v>
      </c>
      <c r="E1006" t="s">
        <v>30</v>
      </c>
    </row>
    <row r="1007" spans="2:13" x14ac:dyDescent="0.2">
      <c r="C1007" t="b">
        <v>0</v>
      </c>
      <c r="D1007">
        <v>690.04</v>
      </c>
      <c r="E1007" t="s">
        <v>30</v>
      </c>
    </row>
    <row r="1008" spans="2:13" x14ac:dyDescent="0.2">
      <c r="C1008" t="b">
        <v>0</v>
      </c>
      <c r="D1008">
        <v>760.04</v>
      </c>
      <c r="E1008" t="s">
        <v>30</v>
      </c>
    </row>
    <row r="1009" spans="1:13" x14ac:dyDescent="0.2">
      <c r="B1009" t="s">
        <v>11</v>
      </c>
    </row>
    <row r="1010" spans="1:13" x14ac:dyDescent="0.2">
      <c r="B1010" t="s">
        <v>12</v>
      </c>
      <c r="C1010" t="s">
        <v>13</v>
      </c>
      <c r="D1010" t="s">
        <v>14</v>
      </c>
      <c r="E1010" t="s">
        <v>15</v>
      </c>
      <c r="F1010" t="s">
        <v>16</v>
      </c>
      <c r="G1010" t="s">
        <v>17</v>
      </c>
      <c r="H1010" t="s">
        <v>18</v>
      </c>
      <c r="I1010" t="s">
        <v>19</v>
      </c>
      <c r="J1010" t="s">
        <v>20</v>
      </c>
      <c r="K1010" t="s">
        <v>21</v>
      </c>
      <c r="L1010" t="s">
        <v>22</v>
      </c>
      <c r="M1010" t="s">
        <v>23</v>
      </c>
    </row>
    <row r="1011" spans="1:13" x14ac:dyDescent="0.2">
      <c r="B1011" t="s">
        <v>33</v>
      </c>
      <c r="C1011">
        <v>89</v>
      </c>
      <c r="E1011" t="s">
        <v>25</v>
      </c>
      <c r="F1011">
        <v>3660.63</v>
      </c>
      <c r="G1011">
        <v>7.8</v>
      </c>
      <c r="K1011">
        <v>0.1</v>
      </c>
      <c r="L1011">
        <v>7</v>
      </c>
      <c r="M1011">
        <v>92.8</v>
      </c>
    </row>
    <row r="1012" spans="1:13" x14ac:dyDescent="0.2">
      <c r="C1012" t="s">
        <v>27</v>
      </c>
    </row>
    <row r="1013" spans="1:13" x14ac:dyDescent="0.2">
      <c r="C1013" t="s">
        <v>28</v>
      </c>
      <c r="D1013" t="s">
        <v>16</v>
      </c>
      <c r="E1013" t="s">
        <v>29</v>
      </c>
      <c r="F1013" t="s">
        <v>18</v>
      </c>
    </row>
    <row r="1014" spans="1:13" x14ac:dyDescent="0.2">
      <c r="C1014" t="b">
        <v>0</v>
      </c>
      <c r="D1014">
        <v>3350.52</v>
      </c>
      <c r="E1014" t="s">
        <v>30</v>
      </c>
    </row>
    <row r="1015" spans="1:13" x14ac:dyDescent="0.2">
      <c r="C1015" t="b">
        <v>0</v>
      </c>
      <c r="D1015">
        <v>3780.64</v>
      </c>
      <c r="E1015" t="s">
        <v>30</v>
      </c>
    </row>
    <row r="1016" spans="1:13" x14ac:dyDescent="0.2">
      <c r="C1016" t="b">
        <v>0</v>
      </c>
      <c r="D1016">
        <v>3210.51</v>
      </c>
      <c r="E1016" t="s">
        <v>30</v>
      </c>
    </row>
    <row r="1017" spans="1:13" x14ac:dyDescent="0.2">
      <c r="C1017" t="b">
        <v>0</v>
      </c>
      <c r="D1017">
        <v>3620.6</v>
      </c>
      <c r="E1017" t="s">
        <v>30</v>
      </c>
    </row>
    <row r="1018" spans="1:13" x14ac:dyDescent="0.2">
      <c r="C1018" t="b">
        <v>0</v>
      </c>
      <c r="D1018">
        <v>4000.76</v>
      </c>
      <c r="E1018" t="s">
        <v>30</v>
      </c>
    </row>
    <row r="1019" spans="1:13" x14ac:dyDescent="0.2">
      <c r="C1019" t="b">
        <v>0</v>
      </c>
      <c r="D1019">
        <v>3800.67</v>
      </c>
      <c r="E1019" t="s">
        <v>30</v>
      </c>
    </row>
    <row r="1020" spans="1:13" x14ac:dyDescent="0.2">
      <c r="C1020" t="b">
        <v>0</v>
      </c>
      <c r="D1020">
        <v>3860.68</v>
      </c>
      <c r="E1020" t="s">
        <v>30</v>
      </c>
    </row>
    <row r="1021" spans="1:13" x14ac:dyDescent="0.2">
      <c r="A1021" t="s">
        <v>0</v>
      </c>
    </row>
    <row r="1022" spans="1:13" x14ac:dyDescent="0.2"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</row>
    <row r="1023" spans="1:13" x14ac:dyDescent="0.2">
      <c r="B1023" t="b">
        <v>0</v>
      </c>
      <c r="C1023" t="s">
        <v>91</v>
      </c>
      <c r="D1023" t="s">
        <v>92</v>
      </c>
      <c r="E1023" t="s">
        <v>0</v>
      </c>
      <c r="G1023" t="s">
        <v>93</v>
      </c>
    </row>
    <row r="1024" spans="1:13" x14ac:dyDescent="0.2">
      <c r="B1024" t="s">
        <v>11</v>
      </c>
    </row>
    <row r="1025" spans="2:13" x14ac:dyDescent="0.2">
      <c r="B1025" t="s">
        <v>12</v>
      </c>
      <c r="C1025" t="s">
        <v>13</v>
      </c>
      <c r="D1025" t="s">
        <v>14</v>
      </c>
      <c r="E1025" t="s">
        <v>15</v>
      </c>
      <c r="F1025" t="s">
        <v>16</v>
      </c>
      <c r="G1025" t="s">
        <v>17</v>
      </c>
      <c r="H1025" t="s">
        <v>18</v>
      </c>
      <c r="I1025" t="s">
        <v>19</v>
      </c>
      <c r="J1025" t="s">
        <v>20</v>
      </c>
      <c r="K1025" t="s">
        <v>21</v>
      </c>
      <c r="L1025" t="s">
        <v>22</v>
      </c>
      <c r="M1025" t="s">
        <v>23</v>
      </c>
    </row>
    <row r="1026" spans="2:13" x14ac:dyDescent="0.2">
      <c r="B1026" t="s">
        <v>24</v>
      </c>
      <c r="C1026">
        <v>59</v>
      </c>
      <c r="E1026" t="s">
        <v>25</v>
      </c>
      <c r="F1026">
        <v>18087.84</v>
      </c>
      <c r="G1026">
        <v>4.5999999999999996</v>
      </c>
      <c r="H1026">
        <v>8.0000000000000002E-3</v>
      </c>
      <c r="I1026" t="s">
        <v>26</v>
      </c>
      <c r="J1026">
        <v>4.7</v>
      </c>
      <c r="K1026">
        <v>0.1</v>
      </c>
      <c r="L1026">
        <v>7</v>
      </c>
    </row>
    <row r="1027" spans="2:13" x14ac:dyDescent="0.2">
      <c r="C1027" t="s">
        <v>27</v>
      </c>
    </row>
    <row r="1028" spans="2:13" x14ac:dyDescent="0.2">
      <c r="C1028" t="s">
        <v>28</v>
      </c>
      <c r="D1028" t="s">
        <v>16</v>
      </c>
      <c r="E1028" t="s">
        <v>29</v>
      </c>
      <c r="F1028" t="s">
        <v>18</v>
      </c>
    </row>
    <row r="1029" spans="2:13" x14ac:dyDescent="0.2">
      <c r="C1029" t="b">
        <v>0</v>
      </c>
      <c r="D1029">
        <v>17781.62</v>
      </c>
      <c r="E1029" t="s">
        <v>30</v>
      </c>
      <c r="F1029">
        <v>8.0000000000000002E-3</v>
      </c>
    </row>
    <row r="1030" spans="2:13" x14ac:dyDescent="0.2">
      <c r="C1030" t="b">
        <v>0</v>
      </c>
      <c r="D1030">
        <v>17961.86</v>
      </c>
      <c r="E1030" t="s">
        <v>30</v>
      </c>
      <c r="F1030">
        <v>8.0000000000000002E-3</v>
      </c>
    </row>
    <row r="1031" spans="2:13" x14ac:dyDescent="0.2">
      <c r="C1031" t="b">
        <v>0</v>
      </c>
      <c r="D1031">
        <v>17491.490000000002</v>
      </c>
      <c r="E1031" t="s">
        <v>30</v>
      </c>
      <c r="F1031">
        <v>8.0000000000000002E-3</v>
      </c>
    </row>
    <row r="1032" spans="2:13" x14ac:dyDescent="0.2">
      <c r="C1032" t="b">
        <v>0</v>
      </c>
      <c r="D1032">
        <v>19814.5</v>
      </c>
      <c r="E1032" t="s">
        <v>30</v>
      </c>
      <c r="F1032">
        <v>8.9999999999999993E-3</v>
      </c>
    </row>
    <row r="1033" spans="2:13" x14ac:dyDescent="0.2">
      <c r="C1033" t="b">
        <v>0</v>
      </c>
      <c r="D1033">
        <v>18412.669999999998</v>
      </c>
      <c r="E1033" t="s">
        <v>30</v>
      </c>
      <c r="F1033">
        <v>8.0000000000000002E-3</v>
      </c>
    </row>
    <row r="1034" spans="2:13" x14ac:dyDescent="0.2">
      <c r="C1034" t="b">
        <v>0</v>
      </c>
      <c r="D1034">
        <v>17851.68</v>
      </c>
      <c r="E1034" t="s">
        <v>30</v>
      </c>
      <c r="F1034">
        <v>8.0000000000000002E-3</v>
      </c>
    </row>
    <row r="1035" spans="2:13" x14ac:dyDescent="0.2">
      <c r="C1035" t="b">
        <v>0</v>
      </c>
      <c r="D1035">
        <v>17301.04</v>
      </c>
      <c r="E1035" t="s">
        <v>30</v>
      </c>
      <c r="F1035">
        <v>8.0000000000000002E-3</v>
      </c>
    </row>
    <row r="1036" spans="2:13" x14ac:dyDescent="0.2">
      <c r="B1036" t="s">
        <v>11</v>
      </c>
    </row>
    <row r="1037" spans="2:13" x14ac:dyDescent="0.2">
      <c r="B1037" t="s">
        <v>12</v>
      </c>
      <c r="C1037" t="s">
        <v>13</v>
      </c>
      <c r="D1037" t="s">
        <v>14</v>
      </c>
      <c r="E1037" t="s">
        <v>15</v>
      </c>
      <c r="F1037" t="s">
        <v>16</v>
      </c>
      <c r="G1037" t="s">
        <v>17</v>
      </c>
      <c r="H1037" t="s">
        <v>18</v>
      </c>
      <c r="I1037" t="s">
        <v>19</v>
      </c>
      <c r="J1037" t="s">
        <v>20</v>
      </c>
      <c r="K1037" t="s">
        <v>21</v>
      </c>
      <c r="L1037" t="s">
        <v>22</v>
      </c>
      <c r="M1037" t="s">
        <v>23</v>
      </c>
    </row>
    <row r="1038" spans="2:13" x14ac:dyDescent="0.2">
      <c r="B1038" t="s">
        <v>31</v>
      </c>
      <c r="C1038">
        <v>45</v>
      </c>
      <c r="E1038" t="s">
        <v>25</v>
      </c>
      <c r="F1038">
        <v>987.21</v>
      </c>
      <c r="G1038">
        <v>9.6999999999999993</v>
      </c>
      <c r="K1038">
        <v>0.1</v>
      </c>
      <c r="L1038">
        <v>7</v>
      </c>
      <c r="M1038">
        <v>95.6</v>
      </c>
    </row>
    <row r="1039" spans="2:13" x14ac:dyDescent="0.2">
      <c r="C1039" t="s">
        <v>27</v>
      </c>
    </row>
    <row r="1040" spans="2:13" x14ac:dyDescent="0.2">
      <c r="C1040" t="s">
        <v>28</v>
      </c>
      <c r="D1040" t="s">
        <v>16</v>
      </c>
      <c r="E1040" t="s">
        <v>29</v>
      </c>
      <c r="F1040" t="s">
        <v>18</v>
      </c>
    </row>
    <row r="1041" spans="2:13" x14ac:dyDescent="0.2">
      <c r="C1041" t="b">
        <v>0</v>
      </c>
      <c r="D1041">
        <v>1100.08</v>
      </c>
      <c r="E1041" t="s">
        <v>30</v>
      </c>
    </row>
    <row r="1042" spans="2:13" x14ac:dyDescent="0.2">
      <c r="C1042" t="b">
        <v>0</v>
      </c>
      <c r="D1042">
        <v>870.06</v>
      </c>
      <c r="E1042" t="s">
        <v>30</v>
      </c>
    </row>
    <row r="1043" spans="2:13" x14ac:dyDescent="0.2">
      <c r="C1043" t="b">
        <v>0</v>
      </c>
      <c r="D1043">
        <v>1040.0899999999999</v>
      </c>
      <c r="E1043" t="s">
        <v>30</v>
      </c>
    </row>
    <row r="1044" spans="2:13" x14ac:dyDescent="0.2">
      <c r="C1044" t="b">
        <v>0</v>
      </c>
      <c r="D1044">
        <v>1110.08</v>
      </c>
      <c r="E1044" t="s">
        <v>30</v>
      </c>
    </row>
    <row r="1045" spans="2:13" x14ac:dyDescent="0.2">
      <c r="C1045" t="b">
        <v>0</v>
      </c>
      <c r="D1045">
        <v>940.06</v>
      </c>
      <c r="E1045" t="s">
        <v>30</v>
      </c>
    </row>
    <row r="1046" spans="2:13" x14ac:dyDescent="0.2">
      <c r="C1046" t="b">
        <v>0</v>
      </c>
      <c r="D1046">
        <v>910.06</v>
      </c>
      <c r="E1046" t="s">
        <v>30</v>
      </c>
    </row>
    <row r="1047" spans="2:13" x14ac:dyDescent="0.2">
      <c r="C1047" t="b">
        <v>0</v>
      </c>
      <c r="D1047">
        <v>940.06</v>
      </c>
      <c r="E1047" t="s">
        <v>30</v>
      </c>
    </row>
    <row r="1048" spans="2:13" x14ac:dyDescent="0.2">
      <c r="B1048" t="s">
        <v>11</v>
      </c>
    </row>
    <row r="1049" spans="2:13" x14ac:dyDescent="0.2">
      <c r="B1049" t="s">
        <v>12</v>
      </c>
      <c r="C1049" t="s">
        <v>13</v>
      </c>
      <c r="D1049" t="s">
        <v>14</v>
      </c>
      <c r="E1049" t="s">
        <v>15</v>
      </c>
      <c r="F1049" t="s">
        <v>16</v>
      </c>
      <c r="G1049" t="s">
        <v>17</v>
      </c>
      <c r="H1049" t="s">
        <v>18</v>
      </c>
      <c r="I1049" t="s">
        <v>19</v>
      </c>
      <c r="J1049" t="s">
        <v>20</v>
      </c>
      <c r="K1049" t="s">
        <v>21</v>
      </c>
      <c r="L1049" t="s">
        <v>22</v>
      </c>
      <c r="M1049" t="s">
        <v>23</v>
      </c>
    </row>
    <row r="1050" spans="2:13" x14ac:dyDescent="0.2">
      <c r="B1050" t="s">
        <v>32</v>
      </c>
      <c r="C1050">
        <v>72</v>
      </c>
      <c r="E1050" t="s">
        <v>25</v>
      </c>
      <c r="F1050">
        <v>772.91</v>
      </c>
      <c r="G1050">
        <v>10.7</v>
      </c>
      <c r="K1050">
        <v>0.1</v>
      </c>
      <c r="L1050">
        <v>7</v>
      </c>
      <c r="M1050">
        <v>103.6</v>
      </c>
    </row>
    <row r="1051" spans="2:13" x14ac:dyDescent="0.2">
      <c r="C1051" t="s">
        <v>27</v>
      </c>
    </row>
    <row r="1052" spans="2:13" x14ac:dyDescent="0.2">
      <c r="C1052" t="s">
        <v>28</v>
      </c>
      <c r="D1052" t="s">
        <v>16</v>
      </c>
      <c r="E1052" t="s">
        <v>29</v>
      </c>
      <c r="F1052" t="s">
        <v>18</v>
      </c>
    </row>
    <row r="1053" spans="2:13" x14ac:dyDescent="0.2">
      <c r="C1053" t="b">
        <v>0</v>
      </c>
      <c r="D1053">
        <v>880.06</v>
      </c>
      <c r="E1053" t="s">
        <v>30</v>
      </c>
    </row>
    <row r="1054" spans="2:13" x14ac:dyDescent="0.2">
      <c r="C1054" t="b">
        <v>0</v>
      </c>
      <c r="D1054">
        <v>890.06</v>
      </c>
      <c r="E1054" t="s">
        <v>30</v>
      </c>
    </row>
    <row r="1055" spans="2:13" x14ac:dyDescent="0.2">
      <c r="C1055" t="b">
        <v>0</v>
      </c>
      <c r="D1055">
        <v>760.05</v>
      </c>
      <c r="E1055" t="s">
        <v>30</v>
      </c>
    </row>
    <row r="1056" spans="2:13" x14ac:dyDescent="0.2">
      <c r="C1056" t="b">
        <v>0</v>
      </c>
      <c r="D1056">
        <v>670.04</v>
      </c>
      <c r="E1056" t="s">
        <v>30</v>
      </c>
    </row>
    <row r="1057" spans="1:13" x14ac:dyDescent="0.2">
      <c r="C1057" t="b">
        <v>0</v>
      </c>
      <c r="D1057">
        <v>730.05</v>
      </c>
      <c r="E1057" t="s">
        <v>30</v>
      </c>
    </row>
    <row r="1058" spans="1:13" x14ac:dyDescent="0.2">
      <c r="C1058" t="b">
        <v>0</v>
      </c>
      <c r="D1058">
        <v>720.05</v>
      </c>
      <c r="E1058" t="s">
        <v>30</v>
      </c>
    </row>
    <row r="1059" spans="1:13" x14ac:dyDescent="0.2">
      <c r="C1059" t="b">
        <v>0</v>
      </c>
      <c r="D1059">
        <v>760.05</v>
      </c>
      <c r="E1059" t="s">
        <v>30</v>
      </c>
    </row>
    <row r="1060" spans="1:13" x14ac:dyDescent="0.2">
      <c r="B1060" t="s">
        <v>11</v>
      </c>
    </row>
    <row r="1061" spans="1:13" x14ac:dyDescent="0.2">
      <c r="B1061" t="s">
        <v>12</v>
      </c>
      <c r="C1061" t="s">
        <v>13</v>
      </c>
      <c r="D1061" t="s">
        <v>14</v>
      </c>
      <c r="E1061" t="s">
        <v>15</v>
      </c>
      <c r="F1061" t="s">
        <v>16</v>
      </c>
      <c r="G1061" t="s">
        <v>17</v>
      </c>
      <c r="H1061" t="s">
        <v>18</v>
      </c>
      <c r="I1061" t="s">
        <v>19</v>
      </c>
      <c r="J1061" t="s">
        <v>20</v>
      </c>
      <c r="K1061" t="s">
        <v>21</v>
      </c>
      <c r="L1061" t="s">
        <v>22</v>
      </c>
      <c r="M1061" t="s">
        <v>23</v>
      </c>
    </row>
    <row r="1062" spans="1:13" x14ac:dyDescent="0.2">
      <c r="B1062" t="s">
        <v>33</v>
      </c>
      <c r="C1062">
        <v>89</v>
      </c>
      <c r="E1062" t="s">
        <v>25</v>
      </c>
      <c r="F1062">
        <v>4135.0600000000004</v>
      </c>
      <c r="G1062">
        <v>3.6</v>
      </c>
      <c r="K1062">
        <v>0.1</v>
      </c>
      <c r="L1062">
        <v>7</v>
      </c>
      <c r="M1062">
        <v>104.8</v>
      </c>
    </row>
    <row r="1063" spans="1:13" x14ac:dyDescent="0.2">
      <c r="C1063" t="s">
        <v>27</v>
      </c>
    </row>
    <row r="1064" spans="1:13" x14ac:dyDescent="0.2">
      <c r="C1064" t="s">
        <v>28</v>
      </c>
      <c r="D1064" t="s">
        <v>16</v>
      </c>
      <c r="E1064" t="s">
        <v>29</v>
      </c>
      <c r="F1064" t="s">
        <v>18</v>
      </c>
    </row>
    <row r="1065" spans="1:13" x14ac:dyDescent="0.2">
      <c r="C1065" t="b">
        <v>0</v>
      </c>
      <c r="D1065">
        <v>4090.75</v>
      </c>
      <c r="E1065" t="s">
        <v>30</v>
      </c>
    </row>
    <row r="1066" spans="1:13" x14ac:dyDescent="0.2">
      <c r="C1066" t="b">
        <v>0</v>
      </c>
      <c r="D1066">
        <v>3890.7</v>
      </c>
      <c r="E1066" t="s">
        <v>30</v>
      </c>
    </row>
    <row r="1067" spans="1:13" x14ac:dyDescent="0.2">
      <c r="C1067" t="b">
        <v>0</v>
      </c>
      <c r="D1067">
        <v>4290.82</v>
      </c>
      <c r="E1067" t="s">
        <v>30</v>
      </c>
    </row>
    <row r="1068" spans="1:13" x14ac:dyDescent="0.2">
      <c r="C1068" t="b">
        <v>0</v>
      </c>
      <c r="D1068">
        <v>4160.7700000000004</v>
      </c>
      <c r="E1068" t="s">
        <v>30</v>
      </c>
    </row>
    <row r="1069" spans="1:13" x14ac:dyDescent="0.2">
      <c r="C1069" t="b">
        <v>0</v>
      </c>
      <c r="D1069">
        <v>4060.74</v>
      </c>
      <c r="E1069" t="s">
        <v>30</v>
      </c>
    </row>
    <row r="1070" spans="1:13" x14ac:dyDescent="0.2">
      <c r="C1070" t="b">
        <v>0</v>
      </c>
      <c r="D1070">
        <v>4110.76</v>
      </c>
      <c r="E1070" t="s">
        <v>30</v>
      </c>
    </row>
    <row r="1071" spans="1:13" x14ac:dyDescent="0.2">
      <c r="C1071" t="b">
        <v>0</v>
      </c>
      <c r="D1071">
        <v>4340.8500000000004</v>
      </c>
      <c r="E1071" t="s">
        <v>30</v>
      </c>
    </row>
    <row r="1072" spans="1:13" x14ac:dyDescent="0.2">
      <c r="A1072" t="s">
        <v>0</v>
      </c>
    </row>
    <row r="1073" spans="2:13" x14ac:dyDescent="0.2"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</row>
    <row r="1074" spans="2:13" x14ac:dyDescent="0.2">
      <c r="B1074" t="b">
        <v>0</v>
      </c>
      <c r="C1074" t="s">
        <v>94</v>
      </c>
      <c r="D1074" t="s">
        <v>95</v>
      </c>
      <c r="E1074" t="s">
        <v>0</v>
      </c>
      <c r="G1074" t="s">
        <v>96</v>
      </c>
    </row>
    <row r="1075" spans="2:13" x14ac:dyDescent="0.2">
      <c r="B1075" t="s">
        <v>11</v>
      </c>
    </row>
    <row r="1076" spans="2:13" x14ac:dyDescent="0.2">
      <c r="B1076" t="s">
        <v>12</v>
      </c>
      <c r="C1076" t="s">
        <v>13</v>
      </c>
      <c r="D1076" t="s">
        <v>14</v>
      </c>
      <c r="E1076" t="s">
        <v>15</v>
      </c>
      <c r="F1076" t="s">
        <v>16</v>
      </c>
      <c r="G1076" t="s">
        <v>17</v>
      </c>
      <c r="H1076" t="s">
        <v>18</v>
      </c>
      <c r="I1076" t="s">
        <v>19</v>
      </c>
      <c r="J1076" t="s">
        <v>20</v>
      </c>
      <c r="K1076" t="s">
        <v>21</v>
      </c>
      <c r="L1076" t="s">
        <v>22</v>
      </c>
      <c r="M1076" t="s">
        <v>23</v>
      </c>
    </row>
    <row r="1077" spans="2:13" x14ac:dyDescent="0.2">
      <c r="B1077" t="s">
        <v>24</v>
      </c>
      <c r="C1077">
        <v>59</v>
      </c>
      <c r="E1077" t="s">
        <v>25</v>
      </c>
      <c r="F1077">
        <v>18519.830000000002</v>
      </c>
      <c r="G1077">
        <v>2.2999999999999998</v>
      </c>
      <c r="H1077">
        <v>8.0000000000000002E-3</v>
      </c>
      <c r="I1077" t="s">
        <v>26</v>
      </c>
      <c r="J1077">
        <v>2.2999999999999998</v>
      </c>
      <c r="K1077">
        <v>0.1</v>
      </c>
      <c r="L1077">
        <v>7</v>
      </c>
    </row>
    <row r="1078" spans="2:13" x14ac:dyDescent="0.2">
      <c r="C1078" t="s">
        <v>27</v>
      </c>
    </row>
    <row r="1079" spans="2:13" x14ac:dyDescent="0.2">
      <c r="C1079" t="s">
        <v>28</v>
      </c>
      <c r="D1079" t="s">
        <v>16</v>
      </c>
      <c r="E1079" t="s">
        <v>29</v>
      </c>
      <c r="F1079" t="s">
        <v>18</v>
      </c>
    </row>
    <row r="1080" spans="2:13" x14ac:dyDescent="0.2">
      <c r="C1080" t="b">
        <v>0</v>
      </c>
      <c r="D1080">
        <v>18172.14</v>
      </c>
      <c r="E1080" t="s">
        <v>30</v>
      </c>
      <c r="F1080">
        <v>8.0000000000000002E-3</v>
      </c>
    </row>
    <row r="1081" spans="2:13" x14ac:dyDescent="0.2">
      <c r="C1081" t="b">
        <v>0</v>
      </c>
      <c r="D1081">
        <v>18342.490000000002</v>
      </c>
      <c r="E1081" t="s">
        <v>30</v>
      </c>
      <c r="F1081">
        <v>8.0000000000000002E-3</v>
      </c>
    </row>
    <row r="1082" spans="2:13" x14ac:dyDescent="0.2">
      <c r="C1082" t="b">
        <v>0</v>
      </c>
      <c r="D1082">
        <v>18662.89</v>
      </c>
      <c r="E1082" t="s">
        <v>30</v>
      </c>
      <c r="F1082">
        <v>8.0000000000000002E-3</v>
      </c>
    </row>
    <row r="1083" spans="2:13" x14ac:dyDescent="0.2">
      <c r="C1083" t="b">
        <v>0</v>
      </c>
      <c r="D1083">
        <v>18592.86</v>
      </c>
      <c r="E1083" t="s">
        <v>30</v>
      </c>
      <c r="F1083">
        <v>8.0000000000000002E-3</v>
      </c>
    </row>
    <row r="1084" spans="2:13" x14ac:dyDescent="0.2">
      <c r="C1084" t="b">
        <v>0</v>
      </c>
      <c r="D1084">
        <v>19013.3</v>
      </c>
      <c r="E1084" t="s">
        <v>30</v>
      </c>
      <c r="F1084">
        <v>8.0000000000000002E-3</v>
      </c>
    </row>
    <row r="1085" spans="2:13" x14ac:dyDescent="0.2">
      <c r="C1085" t="b">
        <v>0</v>
      </c>
      <c r="D1085">
        <v>17841.759999999998</v>
      </c>
      <c r="E1085" t="s">
        <v>30</v>
      </c>
      <c r="F1085">
        <v>8.0000000000000002E-3</v>
      </c>
    </row>
    <row r="1086" spans="2:13" x14ac:dyDescent="0.2">
      <c r="C1086" t="b">
        <v>0</v>
      </c>
      <c r="D1086">
        <v>19013.349999999999</v>
      </c>
      <c r="E1086" t="s">
        <v>30</v>
      </c>
      <c r="F1086">
        <v>8.0000000000000002E-3</v>
      </c>
    </row>
    <row r="1087" spans="2:13" x14ac:dyDescent="0.2">
      <c r="B1087" t="s">
        <v>11</v>
      </c>
    </row>
    <row r="1088" spans="2:13" x14ac:dyDescent="0.2">
      <c r="B1088" t="s">
        <v>12</v>
      </c>
      <c r="C1088" t="s">
        <v>13</v>
      </c>
      <c r="D1088" t="s">
        <v>14</v>
      </c>
      <c r="E1088" t="s">
        <v>15</v>
      </c>
      <c r="F1088" t="s">
        <v>16</v>
      </c>
      <c r="G1088" t="s">
        <v>17</v>
      </c>
      <c r="H1088" t="s">
        <v>18</v>
      </c>
      <c r="I1088" t="s">
        <v>19</v>
      </c>
      <c r="J1088" t="s">
        <v>20</v>
      </c>
      <c r="K1088" t="s">
        <v>21</v>
      </c>
      <c r="L1088" t="s">
        <v>22</v>
      </c>
      <c r="M1088" t="s">
        <v>23</v>
      </c>
    </row>
    <row r="1089" spans="2:13" x14ac:dyDescent="0.2">
      <c r="B1089" t="s">
        <v>31</v>
      </c>
      <c r="C1089">
        <v>45</v>
      </c>
      <c r="E1089" t="s">
        <v>25</v>
      </c>
      <c r="F1089">
        <v>1034.3599999999999</v>
      </c>
      <c r="G1089">
        <v>11.1</v>
      </c>
      <c r="K1089">
        <v>0.1</v>
      </c>
      <c r="L1089">
        <v>7</v>
      </c>
      <c r="M1089">
        <v>100.1</v>
      </c>
    </row>
    <row r="1090" spans="2:13" x14ac:dyDescent="0.2">
      <c r="C1090" t="s">
        <v>27</v>
      </c>
    </row>
    <row r="1091" spans="2:13" x14ac:dyDescent="0.2">
      <c r="C1091" t="s">
        <v>28</v>
      </c>
      <c r="D1091" t="s">
        <v>16</v>
      </c>
      <c r="E1091" t="s">
        <v>29</v>
      </c>
      <c r="F1091" t="s">
        <v>18</v>
      </c>
    </row>
    <row r="1092" spans="2:13" x14ac:dyDescent="0.2">
      <c r="C1092" t="b">
        <v>0</v>
      </c>
      <c r="D1092">
        <v>990.07</v>
      </c>
      <c r="E1092" t="s">
        <v>30</v>
      </c>
    </row>
    <row r="1093" spans="2:13" x14ac:dyDescent="0.2">
      <c r="C1093" t="b">
        <v>0</v>
      </c>
      <c r="D1093">
        <v>950.07</v>
      </c>
      <c r="E1093" t="s">
        <v>30</v>
      </c>
    </row>
    <row r="1094" spans="2:13" x14ac:dyDescent="0.2">
      <c r="C1094" t="b">
        <v>0</v>
      </c>
      <c r="D1094">
        <v>1050.07</v>
      </c>
      <c r="E1094" t="s">
        <v>30</v>
      </c>
    </row>
    <row r="1095" spans="2:13" x14ac:dyDescent="0.2">
      <c r="C1095" t="b">
        <v>0</v>
      </c>
      <c r="D1095">
        <v>870.05</v>
      </c>
      <c r="E1095" t="s">
        <v>30</v>
      </c>
    </row>
    <row r="1096" spans="2:13" x14ac:dyDescent="0.2">
      <c r="C1096" t="b">
        <v>0</v>
      </c>
      <c r="D1096">
        <v>1020.07</v>
      </c>
      <c r="E1096" t="s">
        <v>30</v>
      </c>
    </row>
    <row r="1097" spans="2:13" x14ac:dyDescent="0.2">
      <c r="C1097" t="b">
        <v>0</v>
      </c>
      <c r="D1097">
        <v>1190.1099999999999</v>
      </c>
      <c r="E1097" t="s">
        <v>30</v>
      </c>
    </row>
    <row r="1098" spans="2:13" x14ac:dyDescent="0.2">
      <c r="C1098" t="b">
        <v>0</v>
      </c>
      <c r="D1098">
        <v>1170.0899999999999</v>
      </c>
      <c r="E1098" t="s">
        <v>30</v>
      </c>
    </row>
    <row r="1099" spans="2:13" x14ac:dyDescent="0.2">
      <c r="B1099" t="s">
        <v>11</v>
      </c>
    </row>
    <row r="1100" spans="2:13" x14ac:dyDescent="0.2">
      <c r="B1100" t="s">
        <v>12</v>
      </c>
      <c r="C1100" t="s">
        <v>13</v>
      </c>
      <c r="D1100" t="s">
        <v>14</v>
      </c>
      <c r="E1100" t="s">
        <v>15</v>
      </c>
      <c r="F1100" t="s">
        <v>16</v>
      </c>
      <c r="G1100" t="s">
        <v>17</v>
      </c>
      <c r="H1100" t="s">
        <v>18</v>
      </c>
      <c r="I1100" t="s">
        <v>19</v>
      </c>
      <c r="J1100" t="s">
        <v>20</v>
      </c>
      <c r="K1100" t="s">
        <v>21</v>
      </c>
      <c r="L1100" t="s">
        <v>22</v>
      </c>
      <c r="M1100" t="s">
        <v>23</v>
      </c>
    </row>
    <row r="1101" spans="2:13" x14ac:dyDescent="0.2">
      <c r="B1101" t="s">
        <v>32</v>
      </c>
      <c r="C1101">
        <v>72</v>
      </c>
      <c r="E1101" t="s">
        <v>25</v>
      </c>
      <c r="F1101">
        <v>782.91</v>
      </c>
      <c r="G1101">
        <v>14.8</v>
      </c>
      <c r="K1101">
        <v>0.1</v>
      </c>
      <c r="L1101">
        <v>7</v>
      </c>
      <c r="M1101">
        <v>105</v>
      </c>
    </row>
    <row r="1102" spans="2:13" x14ac:dyDescent="0.2">
      <c r="C1102" t="s">
        <v>27</v>
      </c>
    </row>
    <row r="1103" spans="2:13" x14ac:dyDescent="0.2">
      <c r="C1103" t="s">
        <v>28</v>
      </c>
      <c r="D1103" t="s">
        <v>16</v>
      </c>
      <c r="E1103" t="s">
        <v>29</v>
      </c>
      <c r="F1103" t="s">
        <v>18</v>
      </c>
    </row>
    <row r="1104" spans="2:13" x14ac:dyDescent="0.2">
      <c r="C1104" t="b">
        <v>0</v>
      </c>
      <c r="D1104">
        <v>740.04</v>
      </c>
      <c r="E1104" t="s">
        <v>30</v>
      </c>
    </row>
    <row r="1105" spans="2:13" x14ac:dyDescent="0.2">
      <c r="C1105" t="b">
        <v>0</v>
      </c>
      <c r="D1105">
        <v>600.04</v>
      </c>
      <c r="E1105" t="s">
        <v>30</v>
      </c>
    </row>
    <row r="1106" spans="2:13" x14ac:dyDescent="0.2">
      <c r="C1106" t="b">
        <v>0</v>
      </c>
      <c r="D1106">
        <v>950.06</v>
      </c>
      <c r="E1106" t="s">
        <v>30</v>
      </c>
    </row>
    <row r="1107" spans="2:13" x14ac:dyDescent="0.2">
      <c r="C1107" t="b">
        <v>0</v>
      </c>
      <c r="D1107">
        <v>730.04</v>
      </c>
      <c r="E1107" t="s">
        <v>30</v>
      </c>
    </row>
    <row r="1108" spans="2:13" x14ac:dyDescent="0.2">
      <c r="C1108" t="b">
        <v>0</v>
      </c>
      <c r="D1108">
        <v>880.06</v>
      </c>
      <c r="E1108" t="s">
        <v>30</v>
      </c>
    </row>
    <row r="1109" spans="2:13" x14ac:dyDescent="0.2">
      <c r="C1109" t="b">
        <v>0</v>
      </c>
      <c r="D1109">
        <v>740.05</v>
      </c>
      <c r="E1109" t="s">
        <v>30</v>
      </c>
    </row>
    <row r="1110" spans="2:13" x14ac:dyDescent="0.2">
      <c r="C1110" t="b">
        <v>0</v>
      </c>
      <c r="D1110">
        <v>840.06</v>
      </c>
      <c r="E1110" t="s">
        <v>30</v>
      </c>
    </row>
    <row r="1111" spans="2:13" x14ac:dyDescent="0.2">
      <c r="B1111" t="s">
        <v>11</v>
      </c>
    </row>
    <row r="1112" spans="2:13" x14ac:dyDescent="0.2">
      <c r="B1112" t="s">
        <v>12</v>
      </c>
      <c r="C1112" t="s">
        <v>13</v>
      </c>
      <c r="D1112" t="s">
        <v>14</v>
      </c>
      <c r="E1112" t="s">
        <v>15</v>
      </c>
      <c r="F1112" t="s">
        <v>16</v>
      </c>
      <c r="G1112" t="s">
        <v>17</v>
      </c>
      <c r="H1112" t="s">
        <v>18</v>
      </c>
      <c r="I1112" t="s">
        <v>19</v>
      </c>
      <c r="J1112" t="s">
        <v>20</v>
      </c>
      <c r="K1112" t="s">
        <v>21</v>
      </c>
      <c r="L1112" t="s">
        <v>22</v>
      </c>
      <c r="M1112" t="s">
        <v>23</v>
      </c>
    </row>
    <row r="1113" spans="2:13" x14ac:dyDescent="0.2">
      <c r="B1113" t="s">
        <v>33</v>
      </c>
      <c r="C1113">
        <v>89</v>
      </c>
      <c r="E1113" t="s">
        <v>25</v>
      </c>
      <c r="F1113">
        <v>3907.84</v>
      </c>
      <c r="G1113">
        <v>6.7</v>
      </c>
      <c r="K1113">
        <v>0.1</v>
      </c>
      <c r="L1113">
        <v>7</v>
      </c>
      <c r="M1113">
        <v>99.1</v>
      </c>
    </row>
    <row r="1114" spans="2:13" x14ac:dyDescent="0.2">
      <c r="C1114" t="s">
        <v>27</v>
      </c>
    </row>
    <row r="1115" spans="2:13" x14ac:dyDescent="0.2">
      <c r="C1115" t="s">
        <v>28</v>
      </c>
      <c r="D1115" t="s">
        <v>16</v>
      </c>
      <c r="E1115" t="s">
        <v>29</v>
      </c>
      <c r="F1115" t="s">
        <v>18</v>
      </c>
    </row>
    <row r="1116" spans="2:13" x14ac:dyDescent="0.2">
      <c r="C1116" t="b">
        <v>0</v>
      </c>
      <c r="D1116">
        <v>3540.58</v>
      </c>
      <c r="E1116" t="s">
        <v>30</v>
      </c>
    </row>
    <row r="1117" spans="2:13" x14ac:dyDescent="0.2">
      <c r="C1117" t="b">
        <v>0</v>
      </c>
      <c r="D1117">
        <v>3590.63</v>
      </c>
      <c r="E1117" t="s">
        <v>30</v>
      </c>
    </row>
    <row r="1118" spans="2:13" x14ac:dyDescent="0.2">
      <c r="C1118" t="b">
        <v>0</v>
      </c>
      <c r="D1118">
        <v>3830.66</v>
      </c>
      <c r="E1118" t="s">
        <v>30</v>
      </c>
    </row>
    <row r="1119" spans="2:13" x14ac:dyDescent="0.2">
      <c r="C1119" t="b">
        <v>0</v>
      </c>
      <c r="D1119">
        <v>4010.71</v>
      </c>
      <c r="E1119" t="s">
        <v>30</v>
      </c>
    </row>
    <row r="1120" spans="2:13" x14ac:dyDescent="0.2">
      <c r="C1120" t="b">
        <v>0</v>
      </c>
      <c r="D1120">
        <v>4060.77</v>
      </c>
      <c r="E1120" t="s">
        <v>30</v>
      </c>
    </row>
    <row r="1121" spans="1:13" x14ac:dyDescent="0.2">
      <c r="C1121" t="b">
        <v>0</v>
      </c>
      <c r="D1121">
        <v>4110.76</v>
      </c>
      <c r="E1121" t="s">
        <v>30</v>
      </c>
    </row>
    <row r="1122" spans="1:13" x14ac:dyDescent="0.2">
      <c r="C1122" t="b">
        <v>0</v>
      </c>
      <c r="D1122">
        <v>4210.79</v>
      </c>
      <c r="E1122" t="s">
        <v>30</v>
      </c>
    </row>
    <row r="1123" spans="1:13" x14ac:dyDescent="0.2">
      <c r="A1123" t="s">
        <v>0</v>
      </c>
    </row>
    <row r="1124" spans="1:13" x14ac:dyDescent="0.2"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</row>
    <row r="1125" spans="1:13" x14ac:dyDescent="0.2">
      <c r="B1125" t="b">
        <v>0</v>
      </c>
      <c r="C1125" t="s">
        <v>97</v>
      </c>
      <c r="D1125" t="s">
        <v>98</v>
      </c>
      <c r="E1125" t="s">
        <v>0</v>
      </c>
      <c r="G1125" t="s">
        <v>99</v>
      </c>
    </row>
    <row r="1126" spans="1:13" x14ac:dyDescent="0.2">
      <c r="B1126" t="s">
        <v>11</v>
      </c>
    </row>
    <row r="1127" spans="1:13" x14ac:dyDescent="0.2">
      <c r="B1127" t="s">
        <v>12</v>
      </c>
      <c r="C1127" t="s">
        <v>13</v>
      </c>
      <c r="D1127" t="s">
        <v>14</v>
      </c>
      <c r="E1127" t="s">
        <v>15</v>
      </c>
      <c r="F1127" t="s">
        <v>16</v>
      </c>
      <c r="G1127" t="s">
        <v>17</v>
      </c>
      <c r="H1127" t="s">
        <v>18</v>
      </c>
      <c r="I1127" t="s">
        <v>19</v>
      </c>
      <c r="J1127" t="s">
        <v>20</v>
      </c>
      <c r="K1127" t="s">
        <v>21</v>
      </c>
      <c r="L1127" t="s">
        <v>22</v>
      </c>
      <c r="M1127" t="s">
        <v>23</v>
      </c>
    </row>
    <row r="1128" spans="1:13" x14ac:dyDescent="0.2">
      <c r="B1128" t="s">
        <v>24</v>
      </c>
      <c r="C1128">
        <v>59</v>
      </c>
      <c r="E1128" t="s">
        <v>25</v>
      </c>
      <c r="F1128">
        <v>18538.43</v>
      </c>
      <c r="G1128">
        <v>4.0999999999999996</v>
      </c>
      <c r="H1128">
        <v>8.0000000000000002E-3</v>
      </c>
      <c r="I1128" t="s">
        <v>26</v>
      </c>
      <c r="J1128">
        <v>4.0999999999999996</v>
      </c>
      <c r="K1128">
        <v>0.1</v>
      </c>
      <c r="L1128">
        <v>7</v>
      </c>
    </row>
    <row r="1129" spans="1:13" x14ac:dyDescent="0.2">
      <c r="C1129" t="s">
        <v>27</v>
      </c>
    </row>
    <row r="1130" spans="1:13" x14ac:dyDescent="0.2">
      <c r="C1130" t="s">
        <v>28</v>
      </c>
      <c r="D1130" t="s">
        <v>16</v>
      </c>
      <c r="E1130" t="s">
        <v>29</v>
      </c>
      <c r="F1130" t="s">
        <v>18</v>
      </c>
    </row>
    <row r="1131" spans="1:13" x14ac:dyDescent="0.2">
      <c r="C1131" t="b">
        <v>0</v>
      </c>
      <c r="D1131">
        <v>18893.14</v>
      </c>
      <c r="E1131" t="s">
        <v>30</v>
      </c>
      <c r="F1131">
        <v>8.0000000000000002E-3</v>
      </c>
    </row>
    <row r="1132" spans="1:13" x14ac:dyDescent="0.2">
      <c r="C1132" t="b">
        <v>0</v>
      </c>
      <c r="D1132">
        <v>19213.55</v>
      </c>
      <c r="E1132" t="s">
        <v>30</v>
      </c>
      <c r="F1132">
        <v>8.9999999999999993E-3</v>
      </c>
    </row>
    <row r="1133" spans="1:13" x14ac:dyDescent="0.2">
      <c r="C1133" t="b">
        <v>0</v>
      </c>
      <c r="D1133">
        <v>18142.11</v>
      </c>
      <c r="E1133" t="s">
        <v>30</v>
      </c>
      <c r="F1133">
        <v>8.0000000000000002E-3</v>
      </c>
    </row>
    <row r="1134" spans="1:13" x14ac:dyDescent="0.2">
      <c r="C1134" t="b">
        <v>0</v>
      </c>
      <c r="D1134">
        <v>19403.87</v>
      </c>
      <c r="E1134" t="s">
        <v>30</v>
      </c>
      <c r="F1134">
        <v>8.9999999999999993E-3</v>
      </c>
    </row>
    <row r="1135" spans="1:13" x14ac:dyDescent="0.2">
      <c r="C1135" t="b">
        <v>0</v>
      </c>
      <c r="D1135">
        <v>18783.150000000001</v>
      </c>
      <c r="E1135" t="s">
        <v>30</v>
      </c>
      <c r="F1135">
        <v>8.0000000000000002E-3</v>
      </c>
    </row>
    <row r="1136" spans="1:13" x14ac:dyDescent="0.2">
      <c r="C1136" t="b">
        <v>0</v>
      </c>
      <c r="D1136">
        <v>18142.18</v>
      </c>
      <c r="E1136" t="s">
        <v>30</v>
      </c>
      <c r="F1136">
        <v>8.0000000000000002E-3</v>
      </c>
    </row>
    <row r="1137" spans="2:13" x14ac:dyDescent="0.2">
      <c r="C1137" t="b">
        <v>0</v>
      </c>
      <c r="D1137">
        <v>17191.009999999998</v>
      </c>
      <c r="E1137" t="s">
        <v>30</v>
      </c>
      <c r="F1137">
        <v>8.0000000000000002E-3</v>
      </c>
    </row>
    <row r="1138" spans="2:13" x14ac:dyDescent="0.2">
      <c r="B1138" t="s">
        <v>11</v>
      </c>
    </row>
    <row r="1139" spans="2:13" x14ac:dyDescent="0.2">
      <c r="B1139" t="s">
        <v>12</v>
      </c>
      <c r="C1139" t="s">
        <v>13</v>
      </c>
      <c r="D1139" t="s">
        <v>14</v>
      </c>
      <c r="E1139" t="s">
        <v>15</v>
      </c>
      <c r="F1139" t="s">
        <v>16</v>
      </c>
      <c r="G1139" t="s">
        <v>17</v>
      </c>
      <c r="H1139" t="s">
        <v>18</v>
      </c>
      <c r="I1139" t="s">
        <v>19</v>
      </c>
      <c r="J1139" t="s">
        <v>20</v>
      </c>
      <c r="K1139" t="s">
        <v>21</v>
      </c>
      <c r="L1139" t="s">
        <v>22</v>
      </c>
      <c r="M1139" t="s">
        <v>23</v>
      </c>
    </row>
    <row r="1140" spans="2:13" x14ac:dyDescent="0.2">
      <c r="B1140" t="s">
        <v>31</v>
      </c>
      <c r="C1140">
        <v>45</v>
      </c>
      <c r="E1140" t="s">
        <v>25</v>
      </c>
      <c r="F1140">
        <v>988.64</v>
      </c>
      <c r="G1140">
        <v>4.7</v>
      </c>
      <c r="K1140">
        <v>0.1</v>
      </c>
      <c r="L1140">
        <v>7</v>
      </c>
      <c r="M1140">
        <v>95.7</v>
      </c>
    </row>
    <row r="1141" spans="2:13" x14ac:dyDescent="0.2">
      <c r="C1141" t="s">
        <v>27</v>
      </c>
    </row>
    <row r="1142" spans="2:13" x14ac:dyDescent="0.2">
      <c r="C1142" t="s">
        <v>28</v>
      </c>
      <c r="D1142" t="s">
        <v>16</v>
      </c>
      <c r="E1142" t="s">
        <v>29</v>
      </c>
      <c r="F1142" t="s">
        <v>18</v>
      </c>
    </row>
    <row r="1143" spans="2:13" x14ac:dyDescent="0.2">
      <c r="C1143" t="b">
        <v>0</v>
      </c>
      <c r="D1143">
        <v>1020.07</v>
      </c>
      <c r="E1143" t="s">
        <v>30</v>
      </c>
    </row>
    <row r="1144" spans="2:13" x14ac:dyDescent="0.2">
      <c r="C1144" t="b">
        <v>0</v>
      </c>
      <c r="D1144">
        <v>970.07</v>
      </c>
      <c r="E1144" t="s">
        <v>30</v>
      </c>
    </row>
    <row r="1145" spans="2:13" x14ac:dyDescent="0.2">
      <c r="C1145" t="b">
        <v>0</v>
      </c>
      <c r="D1145">
        <v>940.06</v>
      </c>
      <c r="E1145" t="s">
        <v>30</v>
      </c>
    </row>
    <row r="1146" spans="2:13" x14ac:dyDescent="0.2">
      <c r="C1146" t="b">
        <v>0</v>
      </c>
      <c r="D1146">
        <v>1050.07</v>
      </c>
      <c r="E1146" t="s">
        <v>30</v>
      </c>
    </row>
    <row r="1147" spans="2:13" x14ac:dyDescent="0.2">
      <c r="C1147" t="b">
        <v>0</v>
      </c>
      <c r="D1147">
        <v>1030.07</v>
      </c>
      <c r="E1147" t="s">
        <v>30</v>
      </c>
    </row>
    <row r="1148" spans="2:13" x14ac:dyDescent="0.2">
      <c r="C1148" t="b">
        <v>0</v>
      </c>
      <c r="D1148">
        <v>980.08</v>
      </c>
      <c r="E1148" t="s">
        <v>30</v>
      </c>
    </row>
    <row r="1149" spans="2:13" x14ac:dyDescent="0.2">
      <c r="C1149" t="b">
        <v>0</v>
      </c>
      <c r="D1149">
        <v>930.06</v>
      </c>
      <c r="E1149" t="s">
        <v>30</v>
      </c>
    </row>
    <row r="1150" spans="2:13" x14ac:dyDescent="0.2">
      <c r="B1150" t="s">
        <v>11</v>
      </c>
    </row>
    <row r="1151" spans="2:13" x14ac:dyDescent="0.2">
      <c r="B1151" t="s">
        <v>12</v>
      </c>
      <c r="C1151" t="s">
        <v>13</v>
      </c>
      <c r="D1151" t="s">
        <v>14</v>
      </c>
      <c r="E1151" t="s">
        <v>15</v>
      </c>
      <c r="F1151" t="s">
        <v>16</v>
      </c>
      <c r="G1151" t="s">
        <v>17</v>
      </c>
      <c r="H1151" t="s">
        <v>18</v>
      </c>
      <c r="I1151" t="s">
        <v>19</v>
      </c>
      <c r="J1151" t="s">
        <v>20</v>
      </c>
      <c r="K1151" t="s">
        <v>21</v>
      </c>
      <c r="L1151" t="s">
        <v>22</v>
      </c>
      <c r="M1151" t="s">
        <v>23</v>
      </c>
    </row>
    <row r="1152" spans="2:13" x14ac:dyDescent="0.2">
      <c r="B1152" t="s">
        <v>32</v>
      </c>
      <c r="C1152">
        <v>72</v>
      </c>
      <c r="E1152" t="s">
        <v>25</v>
      </c>
      <c r="F1152">
        <v>700.04</v>
      </c>
      <c r="G1152">
        <v>7.6</v>
      </c>
      <c r="K1152">
        <v>0.1</v>
      </c>
      <c r="L1152">
        <v>7</v>
      </c>
      <c r="M1152">
        <v>93.9</v>
      </c>
    </row>
    <row r="1153" spans="2:13" x14ac:dyDescent="0.2">
      <c r="C1153" t="s">
        <v>27</v>
      </c>
    </row>
    <row r="1154" spans="2:13" x14ac:dyDescent="0.2">
      <c r="C1154" t="s">
        <v>28</v>
      </c>
      <c r="D1154" t="s">
        <v>16</v>
      </c>
      <c r="E1154" t="s">
        <v>29</v>
      </c>
      <c r="F1154" t="s">
        <v>18</v>
      </c>
    </row>
    <row r="1155" spans="2:13" x14ac:dyDescent="0.2">
      <c r="C1155" t="b">
        <v>0</v>
      </c>
      <c r="D1155">
        <v>660.03</v>
      </c>
      <c r="E1155" t="s">
        <v>30</v>
      </c>
    </row>
    <row r="1156" spans="2:13" x14ac:dyDescent="0.2">
      <c r="C1156" t="b">
        <v>0</v>
      </c>
      <c r="D1156">
        <v>750.05</v>
      </c>
      <c r="E1156" t="s">
        <v>30</v>
      </c>
    </row>
    <row r="1157" spans="2:13" x14ac:dyDescent="0.2">
      <c r="C1157" t="b">
        <v>0</v>
      </c>
      <c r="D1157">
        <v>770.05</v>
      </c>
      <c r="E1157" t="s">
        <v>30</v>
      </c>
    </row>
    <row r="1158" spans="2:13" x14ac:dyDescent="0.2">
      <c r="C1158" t="b">
        <v>0</v>
      </c>
      <c r="D1158">
        <v>740.04</v>
      </c>
      <c r="E1158" t="s">
        <v>30</v>
      </c>
    </row>
    <row r="1159" spans="2:13" x14ac:dyDescent="0.2">
      <c r="C1159" t="b">
        <v>0</v>
      </c>
      <c r="D1159">
        <v>690.04</v>
      </c>
      <c r="E1159" t="s">
        <v>30</v>
      </c>
    </row>
    <row r="1160" spans="2:13" x14ac:dyDescent="0.2">
      <c r="C1160" t="b">
        <v>0</v>
      </c>
      <c r="D1160">
        <v>650.04</v>
      </c>
      <c r="E1160" t="s">
        <v>30</v>
      </c>
    </row>
    <row r="1161" spans="2:13" x14ac:dyDescent="0.2">
      <c r="C1161" t="b">
        <v>0</v>
      </c>
      <c r="D1161">
        <v>640.04</v>
      </c>
      <c r="E1161" t="s">
        <v>30</v>
      </c>
    </row>
    <row r="1162" spans="2:13" x14ac:dyDescent="0.2">
      <c r="B1162" t="s">
        <v>11</v>
      </c>
    </row>
    <row r="1163" spans="2:13" x14ac:dyDescent="0.2">
      <c r="B1163" t="s">
        <v>12</v>
      </c>
      <c r="C1163" t="s">
        <v>13</v>
      </c>
      <c r="D1163" t="s">
        <v>14</v>
      </c>
      <c r="E1163" t="s">
        <v>15</v>
      </c>
      <c r="F1163" t="s">
        <v>16</v>
      </c>
      <c r="G1163" t="s">
        <v>17</v>
      </c>
      <c r="H1163" t="s">
        <v>18</v>
      </c>
      <c r="I1163" t="s">
        <v>19</v>
      </c>
      <c r="J1163" t="s">
        <v>20</v>
      </c>
      <c r="K1163" t="s">
        <v>21</v>
      </c>
      <c r="L1163" t="s">
        <v>22</v>
      </c>
      <c r="M1163" t="s">
        <v>23</v>
      </c>
    </row>
    <row r="1164" spans="2:13" x14ac:dyDescent="0.2">
      <c r="B1164" t="s">
        <v>33</v>
      </c>
      <c r="C1164">
        <v>89</v>
      </c>
      <c r="E1164" t="s">
        <v>25</v>
      </c>
      <c r="F1164">
        <v>3804.96</v>
      </c>
      <c r="G1164">
        <v>6</v>
      </c>
      <c r="K1164">
        <v>0.1</v>
      </c>
      <c r="L1164">
        <v>7</v>
      </c>
      <c r="M1164">
        <v>96.5</v>
      </c>
    </row>
    <row r="1165" spans="2:13" x14ac:dyDescent="0.2">
      <c r="C1165" t="s">
        <v>27</v>
      </c>
    </row>
    <row r="1166" spans="2:13" x14ac:dyDescent="0.2">
      <c r="C1166" t="s">
        <v>28</v>
      </c>
      <c r="D1166" t="s">
        <v>16</v>
      </c>
      <c r="E1166" t="s">
        <v>29</v>
      </c>
      <c r="F1166" t="s">
        <v>18</v>
      </c>
    </row>
    <row r="1167" spans="2:13" x14ac:dyDescent="0.2">
      <c r="C1167" t="b">
        <v>0</v>
      </c>
      <c r="D1167">
        <v>4010.71</v>
      </c>
      <c r="E1167" t="s">
        <v>30</v>
      </c>
    </row>
    <row r="1168" spans="2:13" x14ac:dyDescent="0.2">
      <c r="C1168" t="b">
        <v>0</v>
      </c>
      <c r="D1168">
        <v>3630.61</v>
      </c>
      <c r="E1168" t="s">
        <v>30</v>
      </c>
    </row>
    <row r="1169" spans="1:13" x14ac:dyDescent="0.2">
      <c r="C1169" t="b">
        <v>0</v>
      </c>
      <c r="D1169">
        <v>3600.6</v>
      </c>
      <c r="E1169" t="s">
        <v>30</v>
      </c>
    </row>
    <row r="1170" spans="1:13" x14ac:dyDescent="0.2">
      <c r="C1170" t="b">
        <v>0</v>
      </c>
      <c r="D1170">
        <v>3570.59</v>
      </c>
      <c r="E1170" t="s">
        <v>30</v>
      </c>
    </row>
    <row r="1171" spans="1:13" x14ac:dyDescent="0.2">
      <c r="C1171" t="b">
        <v>0</v>
      </c>
      <c r="D1171">
        <v>3980.71</v>
      </c>
      <c r="E1171" t="s">
        <v>30</v>
      </c>
    </row>
    <row r="1172" spans="1:13" x14ac:dyDescent="0.2">
      <c r="C1172" t="b">
        <v>0</v>
      </c>
      <c r="D1172">
        <v>3710.67</v>
      </c>
      <c r="E1172" t="s">
        <v>30</v>
      </c>
    </row>
    <row r="1173" spans="1:13" x14ac:dyDescent="0.2">
      <c r="C1173" t="b">
        <v>0</v>
      </c>
      <c r="D1173">
        <v>4130.82</v>
      </c>
      <c r="E1173" t="s">
        <v>30</v>
      </c>
    </row>
    <row r="1174" spans="1:13" x14ac:dyDescent="0.2">
      <c r="A1174" t="s">
        <v>0</v>
      </c>
    </row>
    <row r="1175" spans="1:13" x14ac:dyDescent="0.2"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</row>
    <row r="1176" spans="1:13" x14ac:dyDescent="0.2">
      <c r="B1176" t="b">
        <v>0</v>
      </c>
      <c r="C1176" t="s">
        <v>100</v>
      </c>
      <c r="D1176" t="s">
        <v>101</v>
      </c>
      <c r="E1176" t="s">
        <v>0</v>
      </c>
      <c r="G1176" t="s">
        <v>102</v>
      </c>
    </row>
    <row r="1177" spans="1:13" x14ac:dyDescent="0.2">
      <c r="B1177" t="s">
        <v>11</v>
      </c>
    </row>
    <row r="1178" spans="1:13" x14ac:dyDescent="0.2">
      <c r="B1178" t="s">
        <v>12</v>
      </c>
      <c r="C1178" t="s">
        <v>13</v>
      </c>
      <c r="D1178" t="s">
        <v>14</v>
      </c>
      <c r="E1178" t="s">
        <v>15</v>
      </c>
      <c r="F1178" t="s">
        <v>16</v>
      </c>
      <c r="G1178" t="s">
        <v>17</v>
      </c>
      <c r="H1178" t="s">
        <v>18</v>
      </c>
      <c r="I1178" t="s">
        <v>19</v>
      </c>
      <c r="J1178" t="s">
        <v>20</v>
      </c>
      <c r="K1178" t="s">
        <v>21</v>
      </c>
      <c r="L1178" t="s">
        <v>22</v>
      </c>
      <c r="M1178" t="s">
        <v>23</v>
      </c>
    </row>
    <row r="1179" spans="1:13" x14ac:dyDescent="0.2">
      <c r="B1179" t="s">
        <v>24</v>
      </c>
      <c r="C1179">
        <v>59</v>
      </c>
      <c r="E1179" t="s">
        <v>25</v>
      </c>
      <c r="F1179">
        <v>18492.66</v>
      </c>
      <c r="G1179">
        <v>3.8</v>
      </c>
      <c r="H1179">
        <v>8.0000000000000002E-3</v>
      </c>
      <c r="I1179" t="s">
        <v>26</v>
      </c>
      <c r="J1179">
        <v>3.8</v>
      </c>
      <c r="K1179">
        <v>0.1</v>
      </c>
      <c r="L1179">
        <v>7</v>
      </c>
    </row>
    <row r="1180" spans="1:13" x14ac:dyDescent="0.2">
      <c r="C1180" t="s">
        <v>27</v>
      </c>
    </row>
    <row r="1181" spans="1:13" x14ac:dyDescent="0.2">
      <c r="C1181" t="s">
        <v>28</v>
      </c>
      <c r="D1181" t="s">
        <v>16</v>
      </c>
      <c r="E1181" t="s">
        <v>29</v>
      </c>
      <c r="F1181" t="s">
        <v>18</v>
      </c>
    </row>
    <row r="1182" spans="1:13" x14ac:dyDescent="0.2">
      <c r="C1182" t="b">
        <v>0</v>
      </c>
      <c r="D1182">
        <v>18512.7</v>
      </c>
      <c r="E1182" t="s">
        <v>30</v>
      </c>
      <c r="F1182">
        <v>8.0000000000000002E-3</v>
      </c>
    </row>
    <row r="1183" spans="1:13" x14ac:dyDescent="0.2">
      <c r="C1183" t="b">
        <v>0</v>
      </c>
      <c r="D1183">
        <v>18362.32</v>
      </c>
      <c r="E1183" t="s">
        <v>30</v>
      </c>
      <c r="F1183">
        <v>8.0000000000000002E-3</v>
      </c>
    </row>
    <row r="1184" spans="1:13" x14ac:dyDescent="0.2">
      <c r="C1184" t="b">
        <v>0</v>
      </c>
      <c r="D1184">
        <v>18753.07</v>
      </c>
      <c r="E1184" t="s">
        <v>30</v>
      </c>
      <c r="F1184">
        <v>8.0000000000000002E-3</v>
      </c>
    </row>
    <row r="1185" spans="2:13" x14ac:dyDescent="0.2">
      <c r="C1185" t="b">
        <v>0</v>
      </c>
      <c r="D1185">
        <v>17130.93</v>
      </c>
      <c r="E1185" t="s">
        <v>30</v>
      </c>
      <c r="F1185">
        <v>8.0000000000000002E-3</v>
      </c>
    </row>
    <row r="1186" spans="2:13" x14ac:dyDescent="0.2">
      <c r="C1186" t="b">
        <v>0</v>
      </c>
      <c r="D1186">
        <v>18713.060000000001</v>
      </c>
      <c r="E1186" t="s">
        <v>30</v>
      </c>
      <c r="F1186">
        <v>8.0000000000000002E-3</v>
      </c>
    </row>
    <row r="1187" spans="2:13" x14ac:dyDescent="0.2">
      <c r="C1187" t="b">
        <v>0</v>
      </c>
      <c r="D1187">
        <v>19493.86</v>
      </c>
      <c r="E1187" t="s">
        <v>30</v>
      </c>
      <c r="F1187">
        <v>8.9999999999999993E-3</v>
      </c>
    </row>
    <row r="1188" spans="2:13" x14ac:dyDescent="0.2">
      <c r="C1188" t="b">
        <v>0</v>
      </c>
      <c r="D1188">
        <v>18482.7</v>
      </c>
      <c r="E1188" t="s">
        <v>30</v>
      </c>
      <c r="F1188">
        <v>8.0000000000000002E-3</v>
      </c>
    </row>
    <row r="1189" spans="2:13" x14ac:dyDescent="0.2">
      <c r="B1189" t="s">
        <v>11</v>
      </c>
    </row>
    <row r="1190" spans="2:13" x14ac:dyDescent="0.2">
      <c r="B1190" t="s">
        <v>12</v>
      </c>
      <c r="C1190" t="s">
        <v>13</v>
      </c>
      <c r="D1190" t="s">
        <v>14</v>
      </c>
      <c r="E1190" t="s">
        <v>15</v>
      </c>
      <c r="F1190" t="s">
        <v>16</v>
      </c>
      <c r="G1190" t="s">
        <v>17</v>
      </c>
      <c r="H1190" t="s">
        <v>18</v>
      </c>
      <c r="I1190" t="s">
        <v>19</v>
      </c>
      <c r="J1190" t="s">
        <v>20</v>
      </c>
      <c r="K1190" t="s">
        <v>21</v>
      </c>
      <c r="L1190" t="s">
        <v>22</v>
      </c>
      <c r="M1190" t="s">
        <v>23</v>
      </c>
    </row>
    <row r="1191" spans="2:13" x14ac:dyDescent="0.2">
      <c r="B1191" t="s">
        <v>31</v>
      </c>
      <c r="C1191">
        <v>45</v>
      </c>
      <c r="E1191" t="s">
        <v>25</v>
      </c>
      <c r="F1191">
        <v>1221.52</v>
      </c>
      <c r="G1191">
        <v>11.8</v>
      </c>
      <c r="K1191">
        <v>0.1</v>
      </c>
      <c r="L1191">
        <v>7</v>
      </c>
      <c r="M1191">
        <v>118.3</v>
      </c>
    </row>
    <row r="1192" spans="2:13" x14ac:dyDescent="0.2">
      <c r="C1192" t="s">
        <v>27</v>
      </c>
    </row>
    <row r="1193" spans="2:13" x14ac:dyDescent="0.2">
      <c r="C1193" t="s">
        <v>28</v>
      </c>
      <c r="D1193" t="s">
        <v>16</v>
      </c>
      <c r="E1193" t="s">
        <v>29</v>
      </c>
      <c r="F1193" t="s">
        <v>18</v>
      </c>
    </row>
    <row r="1194" spans="2:13" x14ac:dyDescent="0.2">
      <c r="C1194" t="b">
        <v>0</v>
      </c>
      <c r="D1194">
        <v>1310.1099999999999</v>
      </c>
      <c r="E1194" t="s">
        <v>30</v>
      </c>
    </row>
    <row r="1195" spans="2:13" x14ac:dyDescent="0.2">
      <c r="C1195" t="b">
        <v>0</v>
      </c>
      <c r="D1195">
        <v>1140.0899999999999</v>
      </c>
      <c r="E1195" t="s">
        <v>30</v>
      </c>
    </row>
    <row r="1196" spans="2:13" x14ac:dyDescent="0.2">
      <c r="C1196" t="b">
        <v>0</v>
      </c>
      <c r="D1196">
        <v>1450.12</v>
      </c>
      <c r="E1196" t="s">
        <v>30</v>
      </c>
    </row>
    <row r="1197" spans="2:13" x14ac:dyDescent="0.2">
      <c r="C1197" t="b">
        <v>0</v>
      </c>
      <c r="D1197">
        <v>1050.08</v>
      </c>
      <c r="E1197" t="s">
        <v>30</v>
      </c>
    </row>
    <row r="1198" spans="2:13" x14ac:dyDescent="0.2">
      <c r="C1198" t="b">
        <v>0</v>
      </c>
      <c r="D1198">
        <v>1330.09</v>
      </c>
      <c r="E1198" t="s">
        <v>30</v>
      </c>
    </row>
    <row r="1199" spans="2:13" x14ac:dyDescent="0.2">
      <c r="C1199" t="b">
        <v>0</v>
      </c>
      <c r="D1199">
        <v>1170.0899999999999</v>
      </c>
      <c r="E1199" t="s">
        <v>30</v>
      </c>
    </row>
    <row r="1200" spans="2:13" x14ac:dyDescent="0.2">
      <c r="C1200" t="b">
        <v>0</v>
      </c>
      <c r="D1200">
        <v>1100.08</v>
      </c>
      <c r="E1200" t="s">
        <v>30</v>
      </c>
    </row>
    <row r="1201" spans="2:13" x14ac:dyDescent="0.2">
      <c r="B1201" t="s">
        <v>11</v>
      </c>
    </row>
    <row r="1202" spans="2:13" x14ac:dyDescent="0.2">
      <c r="B1202" t="s">
        <v>12</v>
      </c>
      <c r="C1202" t="s">
        <v>13</v>
      </c>
      <c r="D1202" t="s">
        <v>14</v>
      </c>
      <c r="E1202" t="s">
        <v>15</v>
      </c>
      <c r="F1202" t="s">
        <v>16</v>
      </c>
      <c r="G1202" t="s">
        <v>17</v>
      </c>
      <c r="H1202" t="s">
        <v>18</v>
      </c>
      <c r="I1202" t="s">
        <v>19</v>
      </c>
      <c r="J1202" t="s">
        <v>20</v>
      </c>
      <c r="K1202" t="s">
        <v>21</v>
      </c>
      <c r="L1202" t="s">
        <v>22</v>
      </c>
      <c r="M1202" t="s">
        <v>23</v>
      </c>
    </row>
    <row r="1203" spans="2:13" x14ac:dyDescent="0.2">
      <c r="B1203" t="s">
        <v>32</v>
      </c>
      <c r="C1203">
        <v>72</v>
      </c>
      <c r="E1203" t="s">
        <v>25</v>
      </c>
      <c r="F1203">
        <v>872.92</v>
      </c>
      <c r="G1203">
        <v>16.5</v>
      </c>
      <c r="K1203">
        <v>0.1</v>
      </c>
      <c r="L1203">
        <v>7</v>
      </c>
      <c r="M1203">
        <v>117.1</v>
      </c>
    </row>
    <row r="1204" spans="2:13" x14ac:dyDescent="0.2">
      <c r="C1204" t="s">
        <v>27</v>
      </c>
    </row>
    <row r="1205" spans="2:13" x14ac:dyDescent="0.2">
      <c r="C1205" t="s">
        <v>28</v>
      </c>
      <c r="D1205" t="s">
        <v>16</v>
      </c>
      <c r="E1205" t="s">
        <v>29</v>
      </c>
      <c r="F1205" t="s">
        <v>18</v>
      </c>
    </row>
    <row r="1206" spans="2:13" x14ac:dyDescent="0.2">
      <c r="C1206" t="b">
        <v>0</v>
      </c>
      <c r="D1206">
        <v>810.06</v>
      </c>
      <c r="E1206" t="s">
        <v>30</v>
      </c>
    </row>
    <row r="1207" spans="2:13" x14ac:dyDescent="0.2">
      <c r="C1207" t="b">
        <v>0</v>
      </c>
      <c r="D1207">
        <v>910.06</v>
      </c>
      <c r="E1207" t="s">
        <v>30</v>
      </c>
    </row>
    <row r="1208" spans="2:13" x14ac:dyDescent="0.2">
      <c r="C1208" t="b">
        <v>0</v>
      </c>
      <c r="D1208">
        <v>820.05</v>
      </c>
      <c r="E1208" t="s">
        <v>30</v>
      </c>
    </row>
    <row r="1209" spans="2:13" x14ac:dyDescent="0.2">
      <c r="C1209" t="b">
        <v>0</v>
      </c>
      <c r="D1209">
        <v>760.04</v>
      </c>
      <c r="E1209" t="s">
        <v>30</v>
      </c>
    </row>
    <row r="1210" spans="2:13" x14ac:dyDescent="0.2">
      <c r="C1210" t="b">
        <v>0</v>
      </c>
      <c r="D1210">
        <v>1170.0899999999999</v>
      </c>
      <c r="E1210" t="s">
        <v>30</v>
      </c>
    </row>
    <row r="1211" spans="2:13" x14ac:dyDescent="0.2">
      <c r="C1211" t="b">
        <v>0</v>
      </c>
      <c r="D1211">
        <v>890.07</v>
      </c>
      <c r="E1211" t="s">
        <v>30</v>
      </c>
    </row>
    <row r="1212" spans="2:13" x14ac:dyDescent="0.2">
      <c r="C1212" t="b">
        <v>0</v>
      </c>
      <c r="D1212">
        <v>750.05</v>
      </c>
      <c r="E1212" t="s">
        <v>30</v>
      </c>
    </row>
    <row r="1213" spans="2:13" x14ac:dyDescent="0.2">
      <c r="B1213" t="s">
        <v>11</v>
      </c>
    </row>
    <row r="1214" spans="2:13" x14ac:dyDescent="0.2">
      <c r="B1214" t="s">
        <v>12</v>
      </c>
      <c r="C1214" t="s">
        <v>13</v>
      </c>
      <c r="D1214" t="s">
        <v>14</v>
      </c>
      <c r="E1214" t="s">
        <v>15</v>
      </c>
      <c r="F1214" t="s">
        <v>16</v>
      </c>
      <c r="G1214" t="s">
        <v>17</v>
      </c>
      <c r="H1214" t="s">
        <v>18</v>
      </c>
      <c r="I1214" t="s">
        <v>19</v>
      </c>
      <c r="J1214" t="s">
        <v>20</v>
      </c>
      <c r="K1214" t="s">
        <v>21</v>
      </c>
      <c r="L1214" t="s">
        <v>22</v>
      </c>
      <c r="M1214" t="s">
        <v>23</v>
      </c>
    </row>
    <row r="1215" spans="2:13" x14ac:dyDescent="0.2">
      <c r="B1215" t="s">
        <v>33</v>
      </c>
      <c r="C1215">
        <v>89</v>
      </c>
      <c r="E1215" t="s">
        <v>25</v>
      </c>
      <c r="F1215">
        <v>4612.3599999999997</v>
      </c>
      <c r="G1215">
        <v>5.5</v>
      </c>
      <c r="K1215">
        <v>0.1</v>
      </c>
      <c r="L1215">
        <v>7</v>
      </c>
      <c r="M1215">
        <v>116.9</v>
      </c>
    </row>
    <row r="1216" spans="2:13" x14ac:dyDescent="0.2">
      <c r="C1216" t="s">
        <v>27</v>
      </c>
    </row>
    <row r="1217" spans="1:13" x14ac:dyDescent="0.2">
      <c r="C1217" t="s">
        <v>28</v>
      </c>
      <c r="D1217" t="s">
        <v>16</v>
      </c>
      <c r="E1217" t="s">
        <v>29</v>
      </c>
      <c r="F1217" t="s">
        <v>18</v>
      </c>
    </row>
    <row r="1218" spans="1:13" x14ac:dyDescent="0.2">
      <c r="C1218" t="b">
        <v>0</v>
      </c>
      <c r="D1218">
        <v>4831</v>
      </c>
      <c r="E1218" t="s">
        <v>30</v>
      </c>
    </row>
    <row r="1219" spans="1:13" x14ac:dyDescent="0.2">
      <c r="C1219" t="b">
        <v>0</v>
      </c>
      <c r="D1219">
        <v>4470.88</v>
      </c>
      <c r="E1219" t="s">
        <v>30</v>
      </c>
    </row>
    <row r="1220" spans="1:13" x14ac:dyDescent="0.2">
      <c r="C1220" t="b">
        <v>0</v>
      </c>
      <c r="D1220">
        <v>4350.8900000000003</v>
      </c>
      <c r="E1220" t="s">
        <v>30</v>
      </c>
    </row>
    <row r="1221" spans="1:13" x14ac:dyDescent="0.2">
      <c r="C1221" t="b">
        <v>0</v>
      </c>
      <c r="D1221">
        <v>4600.93</v>
      </c>
      <c r="E1221" t="s">
        <v>30</v>
      </c>
    </row>
    <row r="1222" spans="1:13" x14ac:dyDescent="0.2">
      <c r="C1222" t="b">
        <v>0</v>
      </c>
      <c r="D1222">
        <v>4811</v>
      </c>
      <c r="E1222" t="s">
        <v>30</v>
      </c>
    </row>
    <row r="1223" spans="1:13" x14ac:dyDescent="0.2">
      <c r="C1223" t="b">
        <v>0</v>
      </c>
      <c r="D1223">
        <v>4931.04</v>
      </c>
      <c r="E1223" t="s">
        <v>30</v>
      </c>
    </row>
    <row r="1224" spans="1:13" x14ac:dyDescent="0.2">
      <c r="C1224" t="b">
        <v>0</v>
      </c>
      <c r="D1224">
        <v>4290.8100000000004</v>
      </c>
      <c r="E1224" t="s">
        <v>30</v>
      </c>
    </row>
    <row r="1225" spans="1:13" x14ac:dyDescent="0.2">
      <c r="A1225" t="s">
        <v>0</v>
      </c>
    </row>
    <row r="1226" spans="1:13" x14ac:dyDescent="0.2"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</row>
    <row r="1227" spans="1:13" x14ac:dyDescent="0.2">
      <c r="B1227" t="b">
        <v>0</v>
      </c>
      <c r="C1227" t="s">
        <v>103</v>
      </c>
      <c r="D1227" t="s">
        <v>104</v>
      </c>
      <c r="E1227" t="s">
        <v>0</v>
      </c>
      <c r="G1227" t="s">
        <v>105</v>
      </c>
    </row>
    <row r="1228" spans="1:13" x14ac:dyDescent="0.2">
      <c r="B1228" t="s">
        <v>11</v>
      </c>
    </row>
    <row r="1229" spans="1:13" x14ac:dyDescent="0.2">
      <c r="B1229" t="s">
        <v>12</v>
      </c>
      <c r="C1229" t="s">
        <v>13</v>
      </c>
      <c r="D1229" t="s">
        <v>14</v>
      </c>
      <c r="E1229" t="s">
        <v>15</v>
      </c>
      <c r="F1229" t="s">
        <v>16</v>
      </c>
      <c r="G1229" t="s">
        <v>17</v>
      </c>
      <c r="H1229" t="s">
        <v>18</v>
      </c>
      <c r="I1229" t="s">
        <v>19</v>
      </c>
      <c r="J1229" t="s">
        <v>20</v>
      </c>
      <c r="K1229" t="s">
        <v>21</v>
      </c>
      <c r="L1229" t="s">
        <v>22</v>
      </c>
      <c r="M1229" t="s">
        <v>23</v>
      </c>
    </row>
    <row r="1230" spans="1:13" x14ac:dyDescent="0.2">
      <c r="B1230" t="s">
        <v>24</v>
      </c>
      <c r="C1230">
        <v>59</v>
      </c>
      <c r="E1230" t="s">
        <v>25</v>
      </c>
      <c r="F1230">
        <v>38642.49</v>
      </c>
      <c r="G1230">
        <v>1.9</v>
      </c>
      <c r="H1230">
        <v>1.7000000000000001E-2</v>
      </c>
      <c r="I1230" t="s">
        <v>26</v>
      </c>
      <c r="J1230">
        <v>1.9</v>
      </c>
      <c r="K1230">
        <v>0.1</v>
      </c>
      <c r="L1230">
        <v>7</v>
      </c>
    </row>
    <row r="1231" spans="1:13" x14ac:dyDescent="0.2">
      <c r="C1231" t="s">
        <v>27</v>
      </c>
    </row>
    <row r="1232" spans="1:13" x14ac:dyDescent="0.2">
      <c r="C1232" t="s">
        <v>28</v>
      </c>
      <c r="D1232" t="s">
        <v>16</v>
      </c>
      <c r="E1232" t="s">
        <v>29</v>
      </c>
      <c r="F1232" t="s">
        <v>18</v>
      </c>
    </row>
    <row r="1233" spans="2:13" x14ac:dyDescent="0.2">
      <c r="C1233" t="b">
        <v>0</v>
      </c>
      <c r="D1233">
        <v>38413.660000000003</v>
      </c>
      <c r="E1233" t="s">
        <v>30</v>
      </c>
      <c r="F1233">
        <v>1.7000000000000001E-2</v>
      </c>
    </row>
    <row r="1234" spans="2:13" x14ac:dyDescent="0.2">
      <c r="C1234" t="b">
        <v>0</v>
      </c>
      <c r="D1234">
        <v>38854.639999999999</v>
      </c>
      <c r="E1234" t="s">
        <v>30</v>
      </c>
      <c r="F1234">
        <v>1.7000000000000001E-2</v>
      </c>
    </row>
    <row r="1235" spans="2:13" x14ac:dyDescent="0.2">
      <c r="C1235" t="b">
        <v>0</v>
      </c>
      <c r="D1235">
        <v>38092.19</v>
      </c>
      <c r="E1235" t="s">
        <v>30</v>
      </c>
      <c r="F1235">
        <v>1.7000000000000001E-2</v>
      </c>
    </row>
    <row r="1236" spans="2:13" x14ac:dyDescent="0.2">
      <c r="C1236" t="b">
        <v>0</v>
      </c>
      <c r="D1236">
        <v>38974.54</v>
      </c>
      <c r="E1236" t="s">
        <v>30</v>
      </c>
      <c r="F1236">
        <v>1.7000000000000001E-2</v>
      </c>
    </row>
    <row r="1237" spans="2:13" x14ac:dyDescent="0.2">
      <c r="C1237" t="b">
        <v>0</v>
      </c>
      <c r="D1237">
        <v>39837.08</v>
      </c>
      <c r="E1237" t="s">
        <v>30</v>
      </c>
      <c r="F1237">
        <v>1.7999999999999999E-2</v>
      </c>
    </row>
    <row r="1238" spans="2:13" x14ac:dyDescent="0.2">
      <c r="C1238" t="b">
        <v>0</v>
      </c>
      <c r="D1238">
        <v>37551.29</v>
      </c>
      <c r="E1238" t="s">
        <v>30</v>
      </c>
      <c r="F1238">
        <v>1.7000000000000001E-2</v>
      </c>
    </row>
    <row r="1239" spans="2:13" x14ac:dyDescent="0.2">
      <c r="C1239" t="b">
        <v>0</v>
      </c>
      <c r="D1239">
        <v>38774.050000000003</v>
      </c>
      <c r="E1239" t="s">
        <v>30</v>
      </c>
      <c r="F1239">
        <v>1.7000000000000001E-2</v>
      </c>
    </row>
    <row r="1240" spans="2:13" x14ac:dyDescent="0.2">
      <c r="B1240" t="s">
        <v>11</v>
      </c>
    </row>
    <row r="1241" spans="2:13" x14ac:dyDescent="0.2">
      <c r="B1241" t="s">
        <v>12</v>
      </c>
      <c r="C1241" t="s">
        <v>13</v>
      </c>
      <c r="D1241" t="s">
        <v>14</v>
      </c>
      <c r="E1241" t="s">
        <v>15</v>
      </c>
      <c r="F1241" t="s">
        <v>16</v>
      </c>
      <c r="G1241" t="s">
        <v>17</v>
      </c>
      <c r="H1241" t="s">
        <v>18</v>
      </c>
      <c r="I1241" t="s">
        <v>19</v>
      </c>
      <c r="J1241" t="s">
        <v>20</v>
      </c>
      <c r="K1241" t="s">
        <v>21</v>
      </c>
      <c r="L1241" t="s">
        <v>22</v>
      </c>
      <c r="M1241" t="s">
        <v>23</v>
      </c>
    </row>
    <row r="1242" spans="2:13" x14ac:dyDescent="0.2">
      <c r="B1242" t="s">
        <v>31</v>
      </c>
      <c r="C1242">
        <v>45</v>
      </c>
      <c r="E1242" t="s">
        <v>25</v>
      </c>
      <c r="F1242">
        <v>1091.51</v>
      </c>
      <c r="G1242">
        <v>13.3</v>
      </c>
      <c r="K1242">
        <v>0.1</v>
      </c>
      <c r="L1242">
        <v>7</v>
      </c>
      <c r="M1242">
        <v>105.7</v>
      </c>
    </row>
    <row r="1243" spans="2:13" x14ac:dyDescent="0.2">
      <c r="C1243" t="s">
        <v>27</v>
      </c>
    </row>
    <row r="1244" spans="2:13" x14ac:dyDescent="0.2">
      <c r="C1244" t="s">
        <v>28</v>
      </c>
      <c r="D1244" t="s">
        <v>16</v>
      </c>
      <c r="E1244" t="s">
        <v>29</v>
      </c>
      <c r="F1244" t="s">
        <v>18</v>
      </c>
    </row>
    <row r="1245" spans="2:13" x14ac:dyDescent="0.2">
      <c r="C1245" t="b">
        <v>0</v>
      </c>
      <c r="D1245">
        <v>1090.08</v>
      </c>
      <c r="E1245" t="s">
        <v>30</v>
      </c>
    </row>
    <row r="1246" spans="2:13" x14ac:dyDescent="0.2">
      <c r="C1246" t="b">
        <v>0</v>
      </c>
      <c r="D1246">
        <v>970.08</v>
      </c>
      <c r="E1246" t="s">
        <v>30</v>
      </c>
    </row>
    <row r="1247" spans="2:13" x14ac:dyDescent="0.2">
      <c r="C1247" t="b">
        <v>0</v>
      </c>
      <c r="D1247">
        <v>890.06</v>
      </c>
      <c r="E1247" t="s">
        <v>30</v>
      </c>
    </row>
    <row r="1248" spans="2:13" x14ac:dyDescent="0.2">
      <c r="C1248" t="b">
        <v>0</v>
      </c>
      <c r="D1248">
        <v>1180.0899999999999</v>
      </c>
      <c r="E1248" t="s">
        <v>30</v>
      </c>
    </row>
    <row r="1249" spans="2:13" x14ac:dyDescent="0.2">
      <c r="C1249" t="b">
        <v>0</v>
      </c>
      <c r="D1249">
        <v>1110.0899999999999</v>
      </c>
      <c r="E1249" t="s">
        <v>30</v>
      </c>
    </row>
    <row r="1250" spans="2:13" x14ac:dyDescent="0.2">
      <c r="C1250" t="b">
        <v>0</v>
      </c>
      <c r="D1250">
        <v>1060.08</v>
      </c>
      <c r="E1250" t="s">
        <v>30</v>
      </c>
    </row>
    <row r="1251" spans="2:13" x14ac:dyDescent="0.2">
      <c r="C1251" t="b">
        <v>0</v>
      </c>
      <c r="D1251">
        <v>1340.11</v>
      </c>
      <c r="E1251" t="s">
        <v>30</v>
      </c>
    </row>
    <row r="1252" spans="2:13" x14ac:dyDescent="0.2">
      <c r="B1252" t="s">
        <v>11</v>
      </c>
    </row>
    <row r="1253" spans="2:13" x14ac:dyDescent="0.2">
      <c r="B1253" t="s">
        <v>12</v>
      </c>
      <c r="C1253" t="s">
        <v>13</v>
      </c>
      <c r="D1253" t="s">
        <v>14</v>
      </c>
      <c r="E1253" t="s">
        <v>15</v>
      </c>
      <c r="F1253" t="s">
        <v>16</v>
      </c>
      <c r="G1253" t="s">
        <v>17</v>
      </c>
      <c r="H1253" t="s">
        <v>18</v>
      </c>
      <c r="I1253" t="s">
        <v>19</v>
      </c>
      <c r="J1253" t="s">
        <v>20</v>
      </c>
      <c r="K1253" t="s">
        <v>21</v>
      </c>
      <c r="L1253" t="s">
        <v>22</v>
      </c>
      <c r="M1253" t="s">
        <v>23</v>
      </c>
    </row>
    <row r="1254" spans="2:13" x14ac:dyDescent="0.2">
      <c r="B1254" t="s">
        <v>32</v>
      </c>
      <c r="C1254">
        <v>72</v>
      </c>
      <c r="E1254" t="s">
        <v>25</v>
      </c>
      <c r="F1254">
        <v>680.04</v>
      </c>
      <c r="G1254">
        <v>14</v>
      </c>
      <c r="K1254">
        <v>0.1</v>
      </c>
      <c r="L1254">
        <v>7</v>
      </c>
      <c r="M1254">
        <v>91.2</v>
      </c>
    </row>
    <row r="1255" spans="2:13" x14ac:dyDescent="0.2">
      <c r="C1255" t="s">
        <v>27</v>
      </c>
    </row>
    <row r="1256" spans="2:13" x14ac:dyDescent="0.2">
      <c r="C1256" t="s">
        <v>28</v>
      </c>
      <c r="D1256" t="s">
        <v>16</v>
      </c>
      <c r="E1256" t="s">
        <v>29</v>
      </c>
      <c r="F1256" t="s">
        <v>18</v>
      </c>
    </row>
    <row r="1257" spans="2:13" x14ac:dyDescent="0.2">
      <c r="C1257" t="b">
        <v>0</v>
      </c>
      <c r="D1257">
        <v>560.04</v>
      </c>
      <c r="E1257" t="s">
        <v>30</v>
      </c>
    </row>
    <row r="1258" spans="2:13" x14ac:dyDescent="0.2">
      <c r="C1258" t="b">
        <v>0</v>
      </c>
      <c r="D1258">
        <v>720.05</v>
      </c>
      <c r="E1258" t="s">
        <v>30</v>
      </c>
    </row>
    <row r="1259" spans="2:13" x14ac:dyDescent="0.2">
      <c r="C1259" t="b">
        <v>0</v>
      </c>
      <c r="D1259">
        <v>590.04</v>
      </c>
      <c r="E1259" t="s">
        <v>30</v>
      </c>
    </row>
    <row r="1260" spans="2:13" x14ac:dyDescent="0.2">
      <c r="C1260" t="b">
        <v>0</v>
      </c>
      <c r="D1260">
        <v>670.04</v>
      </c>
      <c r="E1260" t="s">
        <v>30</v>
      </c>
    </row>
    <row r="1261" spans="2:13" x14ac:dyDescent="0.2">
      <c r="C1261" t="b">
        <v>0</v>
      </c>
      <c r="D1261">
        <v>630.04</v>
      </c>
      <c r="E1261" t="s">
        <v>30</v>
      </c>
    </row>
    <row r="1262" spans="2:13" x14ac:dyDescent="0.2">
      <c r="C1262" t="b">
        <v>0</v>
      </c>
      <c r="D1262">
        <v>770.05</v>
      </c>
      <c r="E1262" t="s">
        <v>30</v>
      </c>
    </row>
    <row r="1263" spans="2:13" x14ac:dyDescent="0.2">
      <c r="C1263" t="b">
        <v>0</v>
      </c>
      <c r="D1263">
        <v>820.05</v>
      </c>
      <c r="E1263" t="s">
        <v>30</v>
      </c>
    </row>
    <row r="1264" spans="2:13" x14ac:dyDescent="0.2">
      <c r="B1264" t="s">
        <v>11</v>
      </c>
    </row>
    <row r="1265" spans="1:13" x14ac:dyDescent="0.2">
      <c r="B1265" t="s">
        <v>12</v>
      </c>
      <c r="C1265" t="s">
        <v>13</v>
      </c>
      <c r="D1265" t="s">
        <v>14</v>
      </c>
      <c r="E1265" t="s">
        <v>15</v>
      </c>
      <c r="F1265" t="s">
        <v>16</v>
      </c>
      <c r="G1265" t="s">
        <v>17</v>
      </c>
      <c r="H1265" t="s">
        <v>18</v>
      </c>
      <c r="I1265" t="s">
        <v>19</v>
      </c>
      <c r="J1265" t="s">
        <v>20</v>
      </c>
      <c r="K1265" t="s">
        <v>21</v>
      </c>
      <c r="L1265" t="s">
        <v>22</v>
      </c>
      <c r="M1265" t="s">
        <v>23</v>
      </c>
    </row>
    <row r="1266" spans="1:13" x14ac:dyDescent="0.2">
      <c r="B1266" t="s">
        <v>33</v>
      </c>
      <c r="C1266">
        <v>89</v>
      </c>
      <c r="E1266" t="s">
        <v>25</v>
      </c>
      <c r="F1266">
        <v>3434.83</v>
      </c>
      <c r="G1266">
        <v>8.4</v>
      </c>
      <c r="K1266">
        <v>0.1</v>
      </c>
      <c r="L1266">
        <v>7</v>
      </c>
      <c r="M1266">
        <v>87.1</v>
      </c>
    </row>
    <row r="1267" spans="1:13" x14ac:dyDescent="0.2">
      <c r="C1267" t="s">
        <v>27</v>
      </c>
    </row>
    <row r="1268" spans="1:13" x14ac:dyDescent="0.2">
      <c r="C1268" t="s">
        <v>28</v>
      </c>
      <c r="D1268" t="s">
        <v>16</v>
      </c>
      <c r="E1268" t="s">
        <v>29</v>
      </c>
      <c r="F1268" t="s">
        <v>18</v>
      </c>
    </row>
    <row r="1269" spans="1:13" x14ac:dyDescent="0.2">
      <c r="C1269" t="b">
        <v>0</v>
      </c>
      <c r="D1269">
        <v>3320.52</v>
      </c>
      <c r="E1269" t="s">
        <v>30</v>
      </c>
    </row>
    <row r="1270" spans="1:13" x14ac:dyDescent="0.2">
      <c r="C1270" t="b">
        <v>0</v>
      </c>
      <c r="D1270">
        <v>3070.45</v>
      </c>
      <c r="E1270" t="s">
        <v>30</v>
      </c>
    </row>
    <row r="1271" spans="1:13" x14ac:dyDescent="0.2">
      <c r="C1271" t="b">
        <v>0</v>
      </c>
      <c r="D1271">
        <v>3430.55</v>
      </c>
      <c r="E1271" t="s">
        <v>30</v>
      </c>
    </row>
    <row r="1272" spans="1:13" x14ac:dyDescent="0.2">
      <c r="C1272" t="b">
        <v>0</v>
      </c>
      <c r="D1272">
        <v>3100.46</v>
      </c>
      <c r="E1272" t="s">
        <v>30</v>
      </c>
    </row>
    <row r="1273" spans="1:13" x14ac:dyDescent="0.2">
      <c r="C1273" t="b">
        <v>0</v>
      </c>
      <c r="D1273">
        <v>3810.67</v>
      </c>
      <c r="E1273" t="s">
        <v>30</v>
      </c>
    </row>
    <row r="1274" spans="1:13" x14ac:dyDescent="0.2">
      <c r="C1274" t="b">
        <v>0</v>
      </c>
      <c r="D1274">
        <v>3660.59</v>
      </c>
      <c r="E1274" t="s">
        <v>30</v>
      </c>
    </row>
    <row r="1275" spans="1:13" x14ac:dyDescent="0.2">
      <c r="C1275" t="b">
        <v>0</v>
      </c>
      <c r="D1275">
        <v>3650.6</v>
      </c>
      <c r="E1275" t="s">
        <v>30</v>
      </c>
    </row>
    <row r="1276" spans="1:13" x14ac:dyDescent="0.2">
      <c r="A1276" t="s">
        <v>0</v>
      </c>
    </row>
    <row r="1277" spans="1:13" x14ac:dyDescent="0.2"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</row>
    <row r="1278" spans="1:13" x14ac:dyDescent="0.2">
      <c r="A1278" t="s">
        <v>106</v>
      </c>
      <c r="B1278" t="b">
        <v>0</v>
      </c>
      <c r="C1278" t="s">
        <v>107</v>
      </c>
      <c r="D1278" t="s">
        <v>108</v>
      </c>
      <c r="E1278" t="s">
        <v>0</v>
      </c>
      <c r="G1278" t="s">
        <v>109</v>
      </c>
    </row>
    <row r="1279" spans="1:13" x14ac:dyDescent="0.2">
      <c r="B1279" t="s">
        <v>11</v>
      </c>
    </row>
    <row r="1280" spans="1:13" x14ac:dyDescent="0.2">
      <c r="B1280" t="s">
        <v>12</v>
      </c>
      <c r="C1280" t="s">
        <v>13</v>
      </c>
      <c r="D1280" t="s">
        <v>14</v>
      </c>
      <c r="E1280" t="s">
        <v>15</v>
      </c>
      <c r="F1280" t="s">
        <v>16</v>
      </c>
      <c r="G1280" t="s">
        <v>17</v>
      </c>
      <c r="H1280" t="s">
        <v>18</v>
      </c>
      <c r="I1280" t="s">
        <v>19</v>
      </c>
      <c r="J1280" t="s">
        <v>20</v>
      </c>
      <c r="K1280" t="s">
        <v>21</v>
      </c>
      <c r="L1280" t="s">
        <v>22</v>
      </c>
      <c r="M1280" t="s">
        <v>23</v>
      </c>
    </row>
    <row r="1281" spans="2:13" x14ac:dyDescent="0.2">
      <c r="B1281" t="s">
        <v>24</v>
      </c>
      <c r="C1281">
        <v>59</v>
      </c>
      <c r="E1281" t="s">
        <v>25</v>
      </c>
      <c r="F1281">
        <v>37745.620000000003</v>
      </c>
      <c r="G1281">
        <v>1.1000000000000001</v>
      </c>
      <c r="H1281">
        <v>1.7000000000000001E-2</v>
      </c>
      <c r="I1281" t="s">
        <v>26</v>
      </c>
      <c r="J1281">
        <v>1.1000000000000001</v>
      </c>
      <c r="K1281">
        <v>0.1</v>
      </c>
      <c r="L1281">
        <v>7</v>
      </c>
    </row>
    <row r="1282" spans="2:13" x14ac:dyDescent="0.2">
      <c r="C1282" t="s">
        <v>27</v>
      </c>
    </row>
    <row r="1283" spans="2:13" x14ac:dyDescent="0.2">
      <c r="C1283" t="s">
        <v>28</v>
      </c>
      <c r="D1283" t="s">
        <v>16</v>
      </c>
      <c r="E1283" t="s">
        <v>29</v>
      </c>
      <c r="F1283" t="s">
        <v>18</v>
      </c>
    </row>
    <row r="1284" spans="2:13" x14ac:dyDescent="0.2">
      <c r="C1284" t="b">
        <v>0</v>
      </c>
      <c r="D1284">
        <v>37250.14</v>
      </c>
      <c r="E1284" t="s">
        <v>30</v>
      </c>
      <c r="F1284">
        <v>1.7000000000000001E-2</v>
      </c>
    </row>
    <row r="1285" spans="2:13" x14ac:dyDescent="0.2">
      <c r="C1285" t="b">
        <v>0</v>
      </c>
      <c r="D1285">
        <v>37891.81</v>
      </c>
      <c r="E1285" t="s">
        <v>30</v>
      </c>
      <c r="F1285">
        <v>1.7000000000000001E-2</v>
      </c>
    </row>
    <row r="1286" spans="2:13" x14ac:dyDescent="0.2">
      <c r="C1286" t="b">
        <v>0</v>
      </c>
      <c r="D1286">
        <v>37310.21</v>
      </c>
      <c r="E1286" t="s">
        <v>30</v>
      </c>
      <c r="F1286">
        <v>1.7000000000000001E-2</v>
      </c>
    </row>
    <row r="1287" spans="2:13" x14ac:dyDescent="0.2">
      <c r="C1287" t="b">
        <v>0</v>
      </c>
      <c r="D1287">
        <v>38212.699999999997</v>
      </c>
      <c r="E1287" t="s">
        <v>30</v>
      </c>
      <c r="F1287">
        <v>1.7000000000000001E-2</v>
      </c>
    </row>
    <row r="1288" spans="2:13" x14ac:dyDescent="0.2">
      <c r="C1288" t="b">
        <v>0</v>
      </c>
      <c r="D1288">
        <v>37520.660000000003</v>
      </c>
      <c r="E1288" t="s">
        <v>30</v>
      </c>
      <c r="F1288">
        <v>1.7000000000000001E-2</v>
      </c>
    </row>
    <row r="1289" spans="2:13" x14ac:dyDescent="0.2">
      <c r="C1289" t="b">
        <v>0</v>
      </c>
      <c r="D1289">
        <v>38262.6</v>
      </c>
      <c r="E1289" t="s">
        <v>30</v>
      </c>
      <c r="F1289">
        <v>1.7000000000000001E-2</v>
      </c>
    </row>
    <row r="1290" spans="2:13" x14ac:dyDescent="0.2">
      <c r="C1290" t="b">
        <v>0</v>
      </c>
      <c r="D1290">
        <v>37771.25</v>
      </c>
      <c r="E1290" t="s">
        <v>30</v>
      </c>
      <c r="F1290">
        <v>1.7000000000000001E-2</v>
      </c>
    </row>
    <row r="1291" spans="2:13" x14ac:dyDescent="0.2">
      <c r="B1291" t="s">
        <v>11</v>
      </c>
    </row>
    <row r="1292" spans="2:13" x14ac:dyDescent="0.2">
      <c r="B1292" t="s">
        <v>12</v>
      </c>
      <c r="C1292" t="s">
        <v>13</v>
      </c>
      <c r="D1292" t="s">
        <v>14</v>
      </c>
      <c r="E1292" t="s">
        <v>15</v>
      </c>
      <c r="F1292" t="s">
        <v>16</v>
      </c>
      <c r="G1292" t="s">
        <v>17</v>
      </c>
      <c r="H1292" t="s">
        <v>18</v>
      </c>
      <c r="I1292" t="s">
        <v>19</v>
      </c>
      <c r="J1292" t="s">
        <v>20</v>
      </c>
      <c r="K1292" t="s">
        <v>21</v>
      </c>
      <c r="L1292" t="s">
        <v>22</v>
      </c>
      <c r="M1292" t="s">
        <v>23</v>
      </c>
    </row>
    <row r="1293" spans="2:13" x14ac:dyDescent="0.2">
      <c r="B1293" t="s">
        <v>31</v>
      </c>
      <c r="C1293">
        <v>45</v>
      </c>
      <c r="E1293" t="s">
        <v>25</v>
      </c>
      <c r="F1293">
        <v>1322.96</v>
      </c>
      <c r="G1293">
        <v>8.4</v>
      </c>
      <c r="K1293">
        <v>0.1</v>
      </c>
      <c r="L1293">
        <v>7</v>
      </c>
      <c r="M1293">
        <v>128.1</v>
      </c>
    </row>
    <row r="1294" spans="2:13" x14ac:dyDescent="0.2">
      <c r="C1294" t="s">
        <v>27</v>
      </c>
    </row>
    <row r="1295" spans="2:13" x14ac:dyDescent="0.2">
      <c r="C1295" t="s">
        <v>28</v>
      </c>
      <c r="D1295" t="s">
        <v>16</v>
      </c>
      <c r="E1295" t="s">
        <v>29</v>
      </c>
      <c r="F1295" t="s">
        <v>18</v>
      </c>
    </row>
    <row r="1296" spans="2:13" x14ac:dyDescent="0.2">
      <c r="C1296" t="b">
        <v>0</v>
      </c>
      <c r="D1296">
        <v>1220.0899999999999</v>
      </c>
      <c r="E1296" t="s">
        <v>30</v>
      </c>
    </row>
    <row r="1297" spans="2:13" x14ac:dyDescent="0.2">
      <c r="C1297" t="b">
        <v>0</v>
      </c>
      <c r="D1297">
        <v>1280.0999999999999</v>
      </c>
      <c r="E1297" t="s">
        <v>30</v>
      </c>
    </row>
    <row r="1298" spans="2:13" x14ac:dyDescent="0.2">
      <c r="C1298" t="b">
        <v>0</v>
      </c>
      <c r="D1298">
        <v>1230.0899999999999</v>
      </c>
      <c r="E1298" t="s">
        <v>30</v>
      </c>
    </row>
    <row r="1299" spans="2:13" x14ac:dyDescent="0.2">
      <c r="C1299" t="b">
        <v>0</v>
      </c>
      <c r="D1299">
        <v>1410.12</v>
      </c>
      <c r="E1299" t="s">
        <v>30</v>
      </c>
    </row>
    <row r="1300" spans="2:13" x14ac:dyDescent="0.2">
      <c r="C1300" t="b">
        <v>0</v>
      </c>
      <c r="D1300">
        <v>1220.0899999999999</v>
      </c>
      <c r="E1300" t="s">
        <v>30</v>
      </c>
    </row>
    <row r="1301" spans="2:13" x14ac:dyDescent="0.2">
      <c r="C1301" t="b">
        <v>0</v>
      </c>
      <c r="D1301">
        <v>1420.12</v>
      </c>
      <c r="E1301" t="s">
        <v>30</v>
      </c>
    </row>
    <row r="1302" spans="2:13" x14ac:dyDescent="0.2">
      <c r="C1302" t="b">
        <v>0</v>
      </c>
      <c r="D1302">
        <v>1480.13</v>
      </c>
      <c r="E1302" t="s">
        <v>30</v>
      </c>
    </row>
    <row r="1303" spans="2:13" x14ac:dyDescent="0.2">
      <c r="B1303" t="s">
        <v>11</v>
      </c>
    </row>
    <row r="1304" spans="2:13" x14ac:dyDescent="0.2">
      <c r="B1304" t="s">
        <v>12</v>
      </c>
      <c r="C1304" t="s">
        <v>13</v>
      </c>
      <c r="D1304" t="s">
        <v>14</v>
      </c>
      <c r="E1304" t="s">
        <v>15</v>
      </c>
      <c r="F1304" t="s">
        <v>16</v>
      </c>
      <c r="G1304" t="s">
        <v>17</v>
      </c>
      <c r="H1304" t="s">
        <v>18</v>
      </c>
      <c r="I1304" t="s">
        <v>19</v>
      </c>
      <c r="J1304" t="s">
        <v>20</v>
      </c>
      <c r="K1304" t="s">
        <v>21</v>
      </c>
      <c r="L1304" t="s">
        <v>22</v>
      </c>
      <c r="M1304" t="s">
        <v>23</v>
      </c>
    </row>
    <row r="1305" spans="2:13" x14ac:dyDescent="0.2">
      <c r="B1305" t="s">
        <v>32</v>
      </c>
      <c r="C1305">
        <v>72</v>
      </c>
      <c r="E1305" t="s">
        <v>25</v>
      </c>
      <c r="F1305">
        <v>861.49</v>
      </c>
      <c r="G1305">
        <v>5.6</v>
      </c>
      <c r="K1305">
        <v>0.1</v>
      </c>
      <c r="L1305">
        <v>7</v>
      </c>
      <c r="M1305">
        <v>115.5</v>
      </c>
    </row>
    <row r="1306" spans="2:13" x14ac:dyDescent="0.2">
      <c r="C1306" t="s">
        <v>27</v>
      </c>
    </row>
    <row r="1307" spans="2:13" x14ac:dyDescent="0.2">
      <c r="C1307" t="s">
        <v>28</v>
      </c>
      <c r="D1307" t="s">
        <v>16</v>
      </c>
      <c r="E1307" t="s">
        <v>29</v>
      </c>
      <c r="F1307" t="s">
        <v>18</v>
      </c>
    </row>
    <row r="1308" spans="2:13" x14ac:dyDescent="0.2">
      <c r="C1308" t="b">
        <v>0</v>
      </c>
      <c r="D1308">
        <v>890.06</v>
      </c>
      <c r="E1308" t="s">
        <v>30</v>
      </c>
    </row>
    <row r="1309" spans="2:13" x14ac:dyDescent="0.2">
      <c r="C1309" t="b">
        <v>0</v>
      </c>
      <c r="D1309">
        <v>870.06</v>
      </c>
      <c r="E1309" t="s">
        <v>30</v>
      </c>
    </row>
    <row r="1310" spans="2:13" x14ac:dyDescent="0.2">
      <c r="C1310" t="b">
        <v>0</v>
      </c>
      <c r="D1310">
        <v>920.07</v>
      </c>
      <c r="E1310" t="s">
        <v>30</v>
      </c>
    </row>
    <row r="1311" spans="2:13" x14ac:dyDescent="0.2">
      <c r="C1311" t="b">
        <v>0</v>
      </c>
      <c r="D1311">
        <v>820.05</v>
      </c>
      <c r="E1311" t="s">
        <v>30</v>
      </c>
    </row>
    <row r="1312" spans="2:13" x14ac:dyDescent="0.2">
      <c r="C1312" t="b">
        <v>0</v>
      </c>
      <c r="D1312">
        <v>820.06</v>
      </c>
      <c r="E1312" t="s">
        <v>30</v>
      </c>
    </row>
    <row r="1313" spans="1:13" x14ac:dyDescent="0.2">
      <c r="C1313" t="b">
        <v>0</v>
      </c>
      <c r="D1313">
        <v>910.06</v>
      </c>
      <c r="E1313" t="s">
        <v>30</v>
      </c>
    </row>
    <row r="1314" spans="1:13" x14ac:dyDescent="0.2">
      <c r="C1314" t="b">
        <v>0</v>
      </c>
      <c r="D1314">
        <v>800.05</v>
      </c>
      <c r="E1314" t="s">
        <v>30</v>
      </c>
    </row>
    <row r="1315" spans="1:13" x14ac:dyDescent="0.2">
      <c r="B1315" t="s">
        <v>11</v>
      </c>
    </row>
    <row r="1316" spans="1:13" x14ac:dyDescent="0.2">
      <c r="B1316" t="s">
        <v>12</v>
      </c>
      <c r="C1316" t="s">
        <v>13</v>
      </c>
      <c r="D1316" t="s">
        <v>14</v>
      </c>
      <c r="E1316" t="s">
        <v>15</v>
      </c>
      <c r="F1316" t="s">
        <v>16</v>
      </c>
      <c r="G1316" t="s">
        <v>17</v>
      </c>
      <c r="H1316" t="s">
        <v>18</v>
      </c>
      <c r="I1316" t="s">
        <v>19</v>
      </c>
      <c r="J1316" t="s">
        <v>20</v>
      </c>
      <c r="K1316" t="s">
        <v>21</v>
      </c>
      <c r="L1316" t="s">
        <v>22</v>
      </c>
      <c r="M1316" t="s">
        <v>23</v>
      </c>
    </row>
    <row r="1317" spans="1:13" x14ac:dyDescent="0.2">
      <c r="B1317" t="s">
        <v>33</v>
      </c>
      <c r="C1317">
        <v>89</v>
      </c>
      <c r="E1317" t="s">
        <v>25</v>
      </c>
      <c r="F1317">
        <v>4436.58</v>
      </c>
      <c r="G1317">
        <v>5.5</v>
      </c>
      <c r="K1317">
        <v>0.1</v>
      </c>
      <c r="L1317">
        <v>7</v>
      </c>
      <c r="M1317">
        <v>112.5</v>
      </c>
    </row>
    <row r="1318" spans="1:13" x14ac:dyDescent="0.2">
      <c r="C1318" t="s">
        <v>27</v>
      </c>
    </row>
    <row r="1319" spans="1:13" x14ac:dyDescent="0.2">
      <c r="C1319" t="s">
        <v>28</v>
      </c>
      <c r="D1319" t="s">
        <v>16</v>
      </c>
      <c r="E1319" t="s">
        <v>29</v>
      </c>
      <c r="F1319" t="s">
        <v>18</v>
      </c>
    </row>
    <row r="1320" spans="1:13" x14ac:dyDescent="0.2">
      <c r="C1320" t="b">
        <v>0</v>
      </c>
      <c r="D1320">
        <v>4370.8100000000004</v>
      </c>
      <c r="E1320" t="s">
        <v>30</v>
      </c>
    </row>
    <row r="1321" spans="1:13" x14ac:dyDescent="0.2">
      <c r="C1321" t="b">
        <v>0</v>
      </c>
      <c r="D1321">
        <v>4320.84</v>
      </c>
      <c r="E1321" t="s">
        <v>30</v>
      </c>
    </row>
    <row r="1322" spans="1:13" x14ac:dyDescent="0.2">
      <c r="C1322" t="b">
        <v>0</v>
      </c>
      <c r="D1322">
        <v>4400.8500000000004</v>
      </c>
      <c r="E1322" t="s">
        <v>30</v>
      </c>
    </row>
    <row r="1323" spans="1:13" x14ac:dyDescent="0.2">
      <c r="C1323" t="b">
        <v>0</v>
      </c>
      <c r="D1323">
        <v>4090.7</v>
      </c>
      <c r="E1323" t="s">
        <v>30</v>
      </c>
    </row>
    <row r="1324" spans="1:13" x14ac:dyDescent="0.2">
      <c r="C1324" t="b">
        <v>0</v>
      </c>
      <c r="D1324">
        <v>4370.8599999999997</v>
      </c>
      <c r="E1324" t="s">
        <v>30</v>
      </c>
    </row>
    <row r="1325" spans="1:13" x14ac:dyDescent="0.2">
      <c r="C1325" t="b">
        <v>0</v>
      </c>
      <c r="D1325">
        <v>4670.95</v>
      </c>
      <c r="E1325" t="s">
        <v>30</v>
      </c>
    </row>
    <row r="1326" spans="1:13" x14ac:dyDescent="0.2">
      <c r="C1326" t="b">
        <v>0</v>
      </c>
      <c r="D1326">
        <v>4831.03</v>
      </c>
      <c r="E1326" t="s">
        <v>30</v>
      </c>
    </row>
    <row r="1327" spans="1:13" x14ac:dyDescent="0.2">
      <c r="A1327" t="s">
        <v>0</v>
      </c>
    </row>
    <row r="1328" spans="1:13" x14ac:dyDescent="0.2"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</row>
    <row r="1329" spans="2:13" x14ac:dyDescent="0.2">
      <c r="B1329" t="b">
        <v>0</v>
      </c>
      <c r="C1329" t="s">
        <v>110</v>
      </c>
      <c r="D1329" t="s">
        <v>111</v>
      </c>
      <c r="E1329" t="s">
        <v>0</v>
      </c>
      <c r="G1329" t="s">
        <v>112</v>
      </c>
    </row>
    <row r="1330" spans="2:13" x14ac:dyDescent="0.2">
      <c r="B1330" t="s">
        <v>11</v>
      </c>
    </row>
    <row r="1331" spans="2:13" x14ac:dyDescent="0.2">
      <c r="B1331" t="s">
        <v>12</v>
      </c>
      <c r="C1331" t="s">
        <v>13</v>
      </c>
      <c r="D1331" t="s">
        <v>14</v>
      </c>
      <c r="E1331" t="s">
        <v>15</v>
      </c>
      <c r="F1331" t="s">
        <v>16</v>
      </c>
      <c r="G1331" t="s">
        <v>17</v>
      </c>
      <c r="H1331" t="s">
        <v>18</v>
      </c>
      <c r="I1331" t="s">
        <v>19</v>
      </c>
      <c r="J1331" t="s">
        <v>20</v>
      </c>
      <c r="K1331" t="s">
        <v>21</v>
      </c>
      <c r="L1331" t="s">
        <v>22</v>
      </c>
      <c r="M1331" t="s">
        <v>23</v>
      </c>
    </row>
    <row r="1332" spans="2:13" x14ac:dyDescent="0.2">
      <c r="B1332" t="s">
        <v>24</v>
      </c>
      <c r="C1332">
        <v>59</v>
      </c>
      <c r="E1332" t="s">
        <v>25</v>
      </c>
      <c r="F1332">
        <v>38662.410000000003</v>
      </c>
      <c r="G1332">
        <v>1.4</v>
      </c>
      <c r="H1332">
        <v>1.7000000000000001E-2</v>
      </c>
      <c r="I1332" t="s">
        <v>26</v>
      </c>
      <c r="J1332">
        <v>1.4</v>
      </c>
      <c r="K1332">
        <v>0.1</v>
      </c>
      <c r="L1332">
        <v>7</v>
      </c>
    </row>
    <row r="1333" spans="2:13" x14ac:dyDescent="0.2">
      <c r="C1333" t="s">
        <v>27</v>
      </c>
    </row>
    <row r="1334" spans="2:13" x14ac:dyDescent="0.2">
      <c r="C1334" t="s">
        <v>28</v>
      </c>
      <c r="D1334" t="s">
        <v>16</v>
      </c>
      <c r="E1334" t="s">
        <v>29</v>
      </c>
      <c r="F1334" t="s">
        <v>18</v>
      </c>
    </row>
    <row r="1335" spans="2:13" x14ac:dyDescent="0.2">
      <c r="C1335" t="b">
        <v>0</v>
      </c>
      <c r="D1335">
        <v>39757.47</v>
      </c>
      <c r="E1335" t="s">
        <v>30</v>
      </c>
      <c r="F1335">
        <v>1.7999999999999999E-2</v>
      </c>
    </row>
    <row r="1336" spans="2:13" x14ac:dyDescent="0.2">
      <c r="C1336" t="b">
        <v>0</v>
      </c>
      <c r="D1336">
        <v>38202.33</v>
      </c>
      <c r="E1336" t="s">
        <v>30</v>
      </c>
      <c r="F1336">
        <v>1.7000000000000001E-2</v>
      </c>
    </row>
    <row r="1337" spans="2:13" x14ac:dyDescent="0.2">
      <c r="C1337" t="b">
        <v>0</v>
      </c>
      <c r="D1337">
        <v>38372.949999999997</v>
      </c>
      <c r="E1337" t="s">
        <v>30</v>
      </c>
      <c r="F1337">
        <v>1.7000000000000001E-2</v>
      </c>
    </row>
    <row r="1338" spans="2:13" x14ac:dyDescent="0.2">
      <c r="C1338" t="b">
        <v>0</v>
      </c>
      <c r="D1338">
        <v>38984.49</v>
      </c>
      <c r="E1338" t="s">
        <v>30</v>
      </c>
      <c r="F1338">
        <v>1.7000000000000001E-2</v>
      </c>
    </row>
    <row r="1339" spans="2:13" x14ac:dyDescent="0.2">
      <c r="C1339" t="b">
        <v>0</v>
      </c>
      <c r="D1339">
        <v>38272.83</v>
      </c>
      <c r="E1339" t="s">
        <v>30</v>
      </c>
      <c r="F1339">
        <v>1.7000000000000001E-2</v>
      </c>
    </row>
    <row r="1340" spans="2:13" x14ac:dyDescent="0.2">
      <c r="C1340" t="b">
        <v>0</v>
      </c>
      <c r="D1340">
        <v>38483.19</v>
      </c>
      <c r="E1340" t="s">
        <v>30</v>
      </c>
      <c r="F1340">
        <v>1.7000000000000001E-2</v>
      </c>
    </row>
    <row r="1341" spans="2:13" x14ac:dyDescent="0.2">
      <c r="C1341" t="b">
        <v>0</v>
      </c>
      <c r="D1341">
        <v>38563.620000000003</v>
      </c>
      <c r="E1341" t="s">
        <v>30</v>
      </c>
      <c r="F1341">
        <v>1.7000000000000001E-2</v>
      </c>
    </row>
    <row r="1342" spans="2:13" x14ac:dyDescent="0.2">
      <c r="B1342" t="s">
        <v>11</v>
      </c>
    </row>
    <row r="1343" spans="2:13" x14ac:dyDescent="0.2">
      <c r="B1343" t="s">
        <v>12</v>
      </c>
      <c r="C1343" t="s">
        <v>13</v>
      </c>
      <c r="D1343" t="s">
        <v>14</v>
      </c>
      <c r="E1343" t="s">
        <v>15</v>
      </c>
      <c r="F1343" t="s">
        <v>16</v>
      </c>
      <c r="G1343" t="s">
        <v>17</v>
      </c>
      <c r="H1343" t="s">
        <v>18</v>
      </c>
      <c r="I1343" t="s">
        <v>19</v>
      </c>
      <c r="J1343" t="s">
        <v>20</v>
      </c>
      <c r="K1343" t="s">
        <v>21</v>
      </c>
      <c r="L1343" t="s">
        <v>22</v>
      </c>
      <c r="M1343" t="s">
        <v>23</v>
      </c>
    </row>
    <row r="1344" spans="2:13" x14ac:dyDescent="0.2">
      <c r="B1344" t="s">
        <v>31</v>
      </c>
      <c r="C1344">
        <v>45</v>
      </c>
      <c r="E1344" t="s">
        <v>25</v>
      </c>
      <c r="F1344">
        <v>1022.93</v>
      </c>
      <c r="G1344">
        <v>13.5</v>
      </c>
      <c r="K1344">
        <v>0.1</v>
      </c>
      <c r="L1344">
        <v>7</v>
      </c>
      <c r="M1344">
        <v>99</v>
      </c>
    </row>
    <row r="1345" spans="2:13" x14ac:dyDescent="0.2">
      <c r="C1345" t="s">
        <v>27</v>
      </c>
    </row>
    <row r="1346" spans="2:13" x14ac:dyDescent="0.2">
      <c r="C1346" t="s">
        <v>28</v>
      </c>
      <c r="D1346" t="s">
        <v>16</v>
      </c>
      <c r="E1346" t="s">
        <v>29</v>
      </c>
      <c r="F1346" t="s">
        <v>18</v>
      </c>
    </row>
    <row r="1347" spans="2:13" x14ac:dyDescent="0.2">
      <c r="C1347" t="b">
        <v>0</v>
      </c>
      <c r="D1347">
        <v>840.05</v>
      </c>
      <c r="E1347" t="s">
        <v>30</v>
      </c>
    </row>
    <row r="1348" spans="2:13" x14ac:dyDescent="0.2">
      <c r="C1348" t="b">
        <v>0</v>
      </c>
      <c r="D1348">
        <v>1130.0899999999999</v>
      </c>
      <c r="E1348" t="s">
        <v>30</v>
      </c>
    </row>
    <row r="1349" spans="2:13" x14ac:dyDescent="0.2">
      <c r="C1349" t="b">
        <v>0</v>
      </c>
      <c r="D1349">
        <v>1000.07</v>
      </c>
      <c r="E1349" t="s">
        <v>30</v>
      </c>
    </row>
    <row r="1350" spans="2:13" x14ac:dyDescent="0.2">
      <c r="C1350" t="b">
        <v>0</v>
      </c>
      <c r="D1350">
        <v>930.06</v>
      </c>
      <c r="E1350" t="s">
        <v>30</v>
      </c>
    </row>
    <row r="1351" spans="2:13" x14ac:dyDescent="0.2">
      <c r="C1351" t="b">
        <v>0</v>
      </c>
      <c r="D1351">
        <v>1230.0899999999999</v>
      </c>
      <c r="E1351" t="s">
        <v>30</v>
      </c>
    </row>
    <row r="1352" spans="2:13" x14ac:dyDescent="0.2">
      <c r="C1352" t="b">
        <v>0</v>
      </c>
      <c r="D1352">
        <v>1110.08</v>
      </c>
      <c r="E1352" t="s">
        <v>30</v>
      </c>
    </row>
    <row r="1353" spans="2:13" x14ac:dyDescent="0.2">
      <c r="C1353" t="b">
        <v>0</v>
      </c>
      <c r="D1353">
        <v>920.07</v>
      </c>
      <c r="E1353" t="s">
        <v>30</v>
      </c>
    </row>
    <row r="1354" spans="2:13" x14ac:dyDescent="0.2">
      <c r="B1354" t="s">
        <v>11</v>
      </c>
    </row>
    <row r="1355" spans="2:13" x14ac:dyDescent="0.2">
      <c r="B1355" t="s">
        <v>12</v>
      </c>
      <c r="C1355" t="s">
        <v>13</v>
      </c>
      <c r="D1355" t="s">
        <v>14</v>
      </c>
      <c r="E1355" t="s">
        <v>15</v>
      </c>
      <c r="F1355" t="s">
        <v>16</v>
      </c>
      <c r="G1355" t="s">
        <v>17</v>
      </c>
      <c r="H1355" t="s">
        <v>18</v>
      </c>
      <c r="I1355" t="s">
        <v>19</v>
      </c>
      <c r="J1355" t="s">
        <v>20</v>
      </c>
      <c r="K1355" t="s">
        <v>21</v>
      </c>
      <c r="L1355" t="s">
        <v>22</v>
      </c>
      <c r="M1355" t="s">
        <v>23</v>
      </c>
    </row>
    <row r="1356" spans="2:13" x14ac:dyDescent="0.2">
      <c r="B1356" t="s">
        <v>32</v>
      </c>
      <c r="C1356">
        <v>72</v>
      </c>
      <c r="E1356" t="s">
        <v>25</v>
      </c>
      <c r="F1356">
        <v>778.62</v>
      </c>
      <c r="G1356">
        <v>14.1</v>
      </c>
      <c r="K1356">
        <v>0.1</v>
      </c>
      <c r="L1356">
        <v>7</v>
      </c>
      <c r="M1356">
        <v>104.4</v>
      </c>
    </row>
    <row r="1357" spans="2:13" x14ac:dyDescent="0.2">
      <c r="C1357" t="s">
        <v>27</v>
      </c>
    </row>
    <row r="1358" spans="2:13" x14ac:dyDescent="0.2">
      <c r="C1358" t="s">
        <v>28</v>
      </c>
      <c r="D1358" t="s">
        <v>16</v>
      </c>
      <c r="E1358" t="s">
        <v>29</v>
      </c>
      <c r="F1358" t="s">
        <v>18</v>
      </c>
    </row>
    <row r="1359" spans="2:13" x14ac:dyDescent="0.2">
      <c r="C1359" t="b">
        <v>0</v>
      </c>
      <c r="D1359">
        <v>820.06</v>
      </c>
      <c r="E1359" t="s">
        <v>30</v>
      </c>
    </row>
    <row r="1360" spans="2:13" x14ac:dyDescent="0.2">
      <c r="C1360" t="b">
        <v>0</v>
      </c>
      <c r="D1360">
        <v>830.06</v>
      </c>
      <c r="E1360" t="s">
        <v>30</v>
      </c>
    </row>
    <row r="1361" spans="2:13" x14ac:dyDescent="0.2">
      <c r="C1361" t="b">
        <v>0</v>
      </c>
      <c r="D1361">
        <v>810.05</v>
      </c>
      <c r="E1361" t="s">
        <v>30</v>
      </c>
    </row>
    <row r="1362" spans="2:13" x14ac:dyDescent="0.2">
      <c r="C1362" t="b">
        <v>0</v>
      </c>
      <c r="D1362">
        <v>690.04</v>
      </c>
      <c r="E1362" t="s">
        <v>30</v>
      </c>
    </row>
    <row r="1363" spans="2:13" x14ac:dyDescent="0.2">
      <c r="C1363" t="b">
        <v>0</v>
      </c>
      <c r="D1363">
        <v>850.06</v>
      </c>
      <c r="E1363" t="s">
        <v>30</v>
      </c>
    </row>
    <row r="1364" spans="2:13" x14ac:dyDescent="0.2">
      <c r="C1364" t="b">
        <v>0</v>
      </c>
      <c r="D1364">
        <v>880.05</v>
      </c>
      <c r="E1364" t="s">
        <v>30</v>
      </c>
    </row>
    <row r="1365" spans="2:13" x14ac:dyDescent="0.2">
      <c r="C1365" t="b">
        <v>0</v>
      </c>
      <c r="D1365">
        <v>570.03</v>
      </c>
      <c r="E1365" t="s">
        <v>30</v>
      </c>
    </row>
    <row r="1366" spans="2:13" x14ac:dyDescent="0.2">
      <c r="B1366" t="s">
        <v>11</v>
      </c>
    </row>
    <row r="1367" spans="2:13" x14ac:dyDescent="0.2">
      <c r="B1367" t="s">
        <v>12</v>
      </c>
      <c r="C1367" t="s">
        <v>13</v>
      </c>
      <c r="D1367" t="s">
        <v>14</v>
      </c>
      <c r="E1367" t="s">
        <v>15</v>
      </c>
      <c r="F1367" t="s">
        <v>16</v>
      </c>
      <c r="G1367" t="s">
        <v>17</v>
      </c>
      <c r="H1367" t="s">
        <v>18</v>
      </c>
      <c r="I1367" t="s">
        <v>19</v>
      </c>
      <c r="J1367" t="s">
        <v>20</v>
      </c>
      <c r="K1367" t="s">
        <v>21</v>
      </c>
      <c r="L1367" t="s">
        <v>22</v>
      </c>
      <c r="M1367" t="s">
        <v>23</v>
      </c>
    </row>
    <row r="1368" spans="2:13" x14ac:dyDescent="0.2">
      <c r="B1368" t="s">
        <v>33</v>
      </c>
      <c r="C1368">
        <v>89</v>
      </c>
      <c r="E1368" t="s">
        <v>25</v>
      </c>
      <c r="F1368">
        <v>4185.07</v>
      </c>
      <c r="G1368">
        <v>8.4</v>
      </c>
      <c r="K1368">
        <v>0.1</v>
      </c>
      <c r="L1368">
        <v>7</v>
      </c>
      <c r="M1368">
        <v>106.1</v>
      </c>
    </row>
    <row r="1369" spans="2:13" x14ac:dyDescent="0.2">
      <c r="C1369" t="s">
        <v>27</v>
      </c>
    </row>
    <row r="1370" spans="2:13" x14ac:dyDescent="0.2">
      <c r="C1370" t="s">
        <v>28</v>
      </c>
      <c r="D1370" t="s">
        <v>16</v>
      </c>
      <c r="E1370" t="s">
        <v>29</v>
      </c>
      <c r="F1370" t="s">
        <v>18</v>
      </c>
    </row>
    <row r="1371" spans="2:13" x14ac:dyDescent="0.2">
      <c r="C1371" t="b">
        <v>0</v>
      </c>
      <c r="D1371">
        <v>3660.6</v>
      </c>
      <c r="E1371" t="s">
        <v>30</v>
      </c>
    </row>
    <row r="1372" spans="2:13" x14ac:dyDescent="0.2">
      <c r="C1372" t="b">
        <v>0</v>
      </c>
      <c r="D1372">
        <v>4400.8500000000004</v>
      </c>
      <c r="E1372" t="s">
        <v>30</v>
      </c>
    </row>
    <row r="1373" spans="2:13" x14ac:dyDescent="0.2">
      <c r="C1373" t="b">
        <v>0</v>
      </c>
      <c r="D1373">
        <v>4140.7700000000004</v>
      </c>
      <c r="E1373" t="s">
        <v>30</v>
      </c>
    </row>
    <row r="1374" spans="2:13" x14ac:dyDescent="0.2">
      <c r="C1374" t="b">
        <v>0</v>
      </c>
      <c r="D1374">
        <v>3940.72</v>
      </c>
      <c r="E1374" t="s">
        <v>30</v>
      </c>
    </row>
    <row r="1375" spans="2:13" x14ac:dyDescent="0.2">
      <c r="C1375" t="b">
        <v>0</v>
      </c>
      <c r="D1375">
        <v>4740.97</v>
      </c>
      <c r="E1375" t="s">
        <v>30</v>
      </c>
    </row>
    <row r="1376" spans="2:13" x14ac:dyDescent="0.2">
      <c r="C1376" t="b">
        <v>0</v>
      </c>
      <c r="D1376">
        <v>4370.83</v>
      </c>
      <c r="E1376" t="s">
        <v>30</v>
      </c>
    </row>
    <row r="1377" spans="1:13" x14ac:dyDescent="0.2">
      <c r="C1377" t="b">
        <v>0</v>
      </c>
      <c r="D1377">
        <v>4040.75</v>
      </c>
      <c r="E1377" t="s">
        <v>30</v>
      </c>
    </row>
    <row r="1378" spans="1:13" x14ac:dyDescent="0.2">
      <c r="A1378" t="s">
        <v>0</v>
      </c>
    </row>
    <row r="1379" spans="1:13" x14ac:dyDescent="0.2"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</row>
    <row r="1380" spans="1:13" x14ac:dyDescent="0.2">
      <c r="B1380" t="b">
        <v>0</v>
      </c>
      <c r="C1380" t="s">
        <v>113</v>
      </c>
      <c r="D1380" t="s">
        <v>114</v>
      </c>
      <c r="E1380" t="s">
        <v>0</v>
      </c>
      <c r="G1380" t="s">
        <v>115</v>
      </c>
    </row>
    <row r="1381" spans="1:13" x14ac:dyDescent="0.2">
      <c r="B1381" t="s">
        <v>11</v>
      </c>
    </row>
    <row r="1382" spans="1:13" x14ac:dyDescent="0.2">
      <c r="B1382" t="s">
        <v>12</v>
      </c>
      <c r="C1382" t="s">
        <v>13</v>
      </c>
      <c r="D1382" t="s">
        <v>14</v>
      </c>
      <c r="E1382" t="s">
        <v>15</v>
      </c>
      <c r="F1382" t="s">
        <v>16</v>
      </c>
      <c r="G1382" t="s">
        <v>17</v>
      </c>
      <c r="H1382" t="s">
        <v>18</v>
      </c>
      <c r="I1382" t="s">
        <v>19</v>
      </c>
      <c r="J1382" t="s">
        <v>20</v>
      </c>
      <c r="K1382" t="s">
        <v>21</v>
      </c>
      <c r="L1382" t="s">
        <v>22</v>
      </c>
      <c r="M1382" t="s">
        <v>23</v>
      </c>
    </row>
    <row r="1383" spans="1:13" x14ac:dyDescent="0.2">
      <c r="B1383" t="s">
        <v>24</v>
      </c>
      <c r="C1383">
        <v>59</v>
      </c>
      <c r="E1383" t="s">
        <v>25</v>
      </c>
      <c r="F1383">
        <v>37495.01</v>
      </c>
      <c r="G1383">
        <v>2.2999999999999998</v>
      </c>
      <c r="H1383">
        <v>1.7000000000000001E-2</v>
      </c>
      <c r="I1383" t="s">
        <v>26</v>
      </c>
      <c r="J1383">
        <v>2.2999999999999998</v>
      </c>
      <c r="K1383">
        <v>0.1</v>
      </c>
      <c r="L1383">
        <v>7</v>
      </c>
    </row>
    <row r="1384" spans="1:13" x14ac:dyDescent="0.2">
      <c r="C1384" t="s">
        <v>27</v>
      </c>
    </row>
    <row r="1385" spans="1:13" x14ac:dyDescent="0.2">
      <c r="C1385" t="s">
        <v>28</v>
      </c>
      <c r="D1385" t="s">
        <v>16</v>
      </c>
      <c r="E1385" t="s">
        <v>29</v>
      </c>
      <c r="F1385" t="s">
        <v>18</v>
      </c>
    </row>
    <row r="1386" spans="1:13" x14ac:dyDescent="0.2">
      <c r="C1386" t="b">
        <v>0</v>
      </c>
      <c r="D1386">
        <v>37601.129999999997</v>
      </c>
      <c r="E1386" t="s">
        <v>30</v>
      </c>
      <c r="F1386">
        <v>1.7000000000000001E-2</v>
      </c>
    </row>
    <row r="1387" spans="1:13" x14ac:dyDescent="0.2">
      <c r="C1387" t="b">
        <v>0</v>
      </c>
      <c r="D1387">
        <v>39034.959999999999</v>
      </c>
      <c r="E1387" t="s">
        <v>30</v>
      </c>
      <c r="F1387">
        <v>1.7000000000000001E-2</v>
      </c>
    </row>
    <row r="1388" spans="1:13" x14ac:dyDescent="0.2">
      <c r="C1388" t="b">
        <v>0</v>
      </c>
      <c r="D1388">
        <v>38222.49</v>
      </c>
      <c r="E1388" t="s">
        <v>30</v>
      </c>
      <c r="F1388">
        <v>1.7000000000000001E-2</v>
      </c>
    </row>
    <row r="1389" spans="1:13" x14ac:dyDescent="0.2">
      <c r="C1389" t="b">
        <v>0</v>
      </c>
      <c r="D1389">
        <v>36819.120000000003</v>
      </c>
      <c r="E1389" t="s">
        <v>30</v>
      </c>
      <c r="F1389">
        <v>1.6E-2</v>
      </c>
    </row>
    <row r="1390" spans="1:13" x14ac:dyDescent="0.2">
      <c r="C1390" t="b">
        <v>0</v>
      </c>
      <c r="D1390">
        <v>37189.769999999997</v>
      </c>
      <c r="E1390" t="s">
        <v>30</v>
      </c>
      <c r="F1390">
        <v>1.7000000000000001E-2</v>
      </c>
    </row>
    <row r="1391" spans="1:13" x14ac:dyDescent="0.2">
      <c r="C1391" t="b">
        <v>0</v>
      </c>
      <c r="D1391">
        <v>36598.18</v>
      </c>
      <c r="E1391" t="s">
        <v>30</v>
      </c>
      <c r="F1391">
        <v>1.6E-2</v>
      </c>
    </row>
    <row r="1392" spans="1:13" x14ac:dyDescent="0.2">
      <c r="C1392" t="b">
        <v>0</v>
      </c>
      <c r="D1392">
        <v>36999.39</v>
      </c>
      <c r="E1392" t="s">
        <v>30</v>
      </c>
      <c r="F1392">
        <v>1.6E-2</v>
      </c>
    </row>
    <row r="1393" spans="2:13" x14ac:dyDescent="0.2">
      <c r="B1393" t="s">
        <v>11</v>
      </c>
    </row>
    <row r="1394" spans="2:13" x14ac:dyDescent="0.2">
      <c r="B1394" t="s">
        <v>12</v>
      </c>
      <c r="C1394" t="s">
        <v>13</v>
      </c>
      <c r="D1394" t="s">
        <v>14</v>
      </c>
      <c r="E1394" t="s">
        <v>15</v>
      </c>
      <c r="F1394" t="s">
        <v>16</v>
      </c>
      <c r="G1394" t="s">
        <v>17</v>
      </c>
      <c r="H1394" t="s">
        <v>18</v>
      </c>
      <c r="I1394" t="s">
        <v>19</v>
      </c>
      <c r="J1394" t="s">
        <v>20</v>
      </c>
      <c r="K1394" t="s">
        <v>21</v>
      </c>
      <c r="L1394" t="s">
        <v>22</v>
      </c>
      <c r="M1394" t="s">
        <v>23</v>
      </c>
    </row>
    <row r="1395" spans="2:13" x14ac:dyDescent="0.2">
      <c r="B1395" t="s">
        <v>31</v>
      </c>
      <c r="C1395">
        <v>45</v>
      </c>
      <c r="E1395" t="s">
        <v>25</v>
      </c>
      <c r="F1395">
        <v>988.64</v>
      </c>
      <c r="G1395">
        <v>10.5</v>
      </c>
      <c r="K1395">
        <v>0.1</v>
      </c>
      <c r="L1395">
        <v>7</v>
      </c>
      <c r="M1395">
        <v>95.7</v>
      </c>
    </row>
    <row r="1396" spans="2:13" x14ac:dyDescent="0.2">
      <c r="C1396" t="s">
        <v>27</v>
      </c>
    </row>
    <row r="1397" spans="2:13" x14ac:dyDescent="0.2">
      <c r="C1397" t="s">
        <v>28</v>
      </c>
      <c r="D1397" t="s">
        <v>16</v>
      </c>
      <c r="E1397" t="s">
        <v>29</v>
      </c>
      <c r="F1397" t="s">
        <v>18</v>
      </c>
    </row>
    <row r="1398" spans="2:13" x14ac:dyDescent="0.2">
      <c r="C1398" t="b">
        <v>0</v>
      </c>
      <c r="D1398">
        <v>860.06</v>
      </c>
      <c r="E1398" t="s">
        <v>30</v>
      </c>
    </row>
    <row r="1399" spans="2:13" x14ac:dyDescent="0.2">
      <c r="C1399" t="b">
        <v>0</v>
      </c>
      <c r="D1399">
        <v>1020.08</v>
      </c>
      <c r="E1399" t="s">
        <v>30</v>
      </c>
    </row>
    <row r="1400" spans="2:13" x14ac:dyDescent="0.2">
      <c r="C1400" t="b">
        <v>0</v>
      </c>
      <c r="D1400">
        <v>1140.0899999999999</v>
      </c>
      <c r="E1400" t="s">
        <v>30</v>
      </c>
    </row>
    <row r="1401" spans="2:13" x14ac:dyDescent="0.2">
      <c r="C1401" t="b">
        <v>0</v>
      </c>
      <c r="D1401">
        <v>1050.07</v>
      </c>
      <c r="E1401" t="s">
        <v>30</v>
      </c>
    </row>
    <row r="1402" spans="2:13" x14ac:dyDescent="0.2">
      <c r="C1402" t="b">
        <v>0</v>
      </c>
      <c r="D1402">
        <v>1020.08</v>
      </c>
      <c r="E1402" t="s">
        <v>30</v>
      </c>
    </row>
    <row r="1403" spans="2:13" x14ac:dyDescent="0.2">
      <c r="C1403" t="b">
        <v>0</v>
      </c>
      <c r="D1403">
        <v>850.06</v>
      </c>
      <c r="E1403" t="s">
        <v>30</v>
      </c>
    </row>
    <row r="1404" spans="2:13" x14ac:dyDescent="0.2">
      <c r="C1404" t="b">
        <v>0</v>
      </c>
      <c r="D1404">
        <v>980.07</v>
      </c>
      <c r="E1404" t="s">
        <v>30</v>
      </c>
    </row>
    <row r="1405" spans="2:13" x14ac:dyDescent="0.2">
      <c r="B1405" t="s">
        <v>11</v>
      </c>
    </row>
    <row r="1406" spans="2:13" x14ac:dyDescent="0.2">
      <c r="B1406" t="s">
        <v>12</v>
      </c>
      <c r="C1406" t="s">
        <v>13</v>
      </c>
      <c r="D1406" t="s">
        <v>14</v>
      </c>
      <c r="E1406" t="s">
        <v>15</v>
      </c>
      <c r="F1406" t="s">
        <v>16</v>
      </c>
      <c r="G1406" t="s">
        <v>17</v>
      </c>
      <c r="H1406" t="s">
        <v>18</v>
      </c>
      <c r="I1406" t="s">
        <v>19</v>
      </c>
      <c r="J1406" t="s">
        <v>20</v>
      </c>
      <c r="K1406" t="s">
        <v>21</v>
      </c>
      <c r="L1406" t="s">
        <v>22</v>
      </c>
      <c r="M1406" t="s">
        <v>23</v>
      </c>
    </row>
    <row r="1407" spans="2:13" x14ac:dyDescent="0.2">
      <c r="B1407" t="s">
        <v>32</v>
      </c>
      <c r="C1407">
        <v>72</v>
      </c>
      <c r="E1407" t="s">
        <v>25</v>
      </c>
      <c r="F1407">
        <v>812.91</v>
      </c>
      <c r="G1407">
        <v>7.6</v>
      </c>
      <c r="K1407">
        <v>0.1</v>
      </c>
      <c r="L1407">
        <v>7</v>
      </c>
      <c r="M1407">
        <v>109</v>
      </c>
    </row>
    <row r="1408" spans="2:13" x14ac:dyDescent="0.2">
      <c r="C1408" t="s">
        <v>27</v>
      </c>
    </row>
    <row r="1409" spans="2:13" x14ac:dyDescent="0.2">
      <c r="C1409" t="s">
        <v>28</v>
      </c>
      <c r="D1409" t="s">
        <v>16</v>
      </c>
      <c r="E1409" t="s">
        <v>29</v>
      </c>
      <c r="F1409" t="s">
        <v>18</v>
      </c>
    </row>
    <row r="1410" spans="2:13" x14ac:dyDescent="0.2">
      <c r="C1410" t="b">
        <v>0</v>
      </c>
      <c r="D1410">
        <v>760.06</v>
      </c>
      <c r="E1410" t="s">
        <v>30</v>
      </c>
    </row>
    <row r="1411" spans="2:13" x14ac:dyDescent="0.2">
      <c r="C1411" t="b">
        <v>0</v>
      </c>
      <c r="D1411">
        <v>740.04</v>
      </c>
      <c r="E1411" t="s">
        <v>30</v>
      </c>
    </row>
    <row r="1412" spans="2:13" x14ac:dyDescent="0.2">
      <c r="C1412" t="b">
        <v>0</v>
      </c>
      <c r="D1412">
        <v>860.06</v>
      </c>
      <c r="E1412" t="s">
        <v>30</v>
      </c>
    </row>
    <row r="1413" spans="2:13" x14ac:dyDescent="0.2">
      <c r="C1413" t="b">
        <v>0</v>
      </c>
      <c r="D1413">
        <v>820.06</v>
      </c>
      <c r="E1413" t="s">
        <v>30</v>
      </c>
    </row>
    <row r="1414" spans="2:13" x14ac:dyDescent="0.2">
      <c r="C1414" t="b">
        <v>0</v>
      </c>
      <c r="D1414">
        <v>810.05</v>
      </c>
      <c r="E1414" t="s">
        <v>30</v>
      </c>
    </row>
    <row r="1415" spans="2:13" x14ac:dyDescent="0.2">
      <c r="C1415" t="b">
        <v>0</v>
      </c>
      <c r="D1415">
        <v>920.06</v>
      </c>
      <c r="E1415" t="s">
        <v>30</v>
      </c>
    </row>
    <row r="1416" spans="2:13" x14ac:dyDescent="0.2">
      <c r="C1416" t="b">
        <v>0</v>
      </c>
      <c r="D1416">
        <v>780.05</v>
      </c>
      <c r="E1416" t="s">
        <v>30</v>
      </c>
    </row>
    <row r="1417" spans="2:13" x14ac:dyDescent="0.2">
      <c r="B1417" t="s">
        <v>11</v>
      </c>
    </row>
    <row r="1418" spans="2:13" x14ac:dyDescent="0.2">
      <c r="B1418" t="s">
        <v>12</v>
      </c>
      <c r="C1418" t="s">
        <v>13</v>
      </c>
      <c r="D1418" t="s">
        <v>14</v>
      </c>
      <c r="E1418" t="s">
        <v>15</v>
      </c>
      <c r="F1418" t="s">
        <v>16</v>
      </c>
      <c r="G1418" t="s">
        <v>17</v>
      </c>
      <c r="H1418" t="s">
        <v>18</v>
      </c>
      <c r="I1418" t="s">
        <v>19</v>
      </c>
      <c r="J1418" t="s">
        <v>20</v>
      </c>
      <c r="K1418" t="s">
        <v>21</v>
      </c>
      <c r="L1418" t="s">
        <v>22</v>
      </c>
      <c r="M1418" t="s">
        <v>23</v>
      </c>
    </row>
    <row r="1419" spans="2:13" x14ac:dyDescent="0.2">
      <c r="B1419" t="s">
        <v>33</v>
      </c>
      <c r="C1419">
        <v>89</v>
      </c>
      <c r="E1419" t="s">
        <v>25</v>
      </c>
      <c r="F1419">
        <v>3837.83</v>
      </c>
      <c r="G1419">
        <v>6.2</v>
      </c>
      <c r="K1419">
        <v>0.1</v>
      </c>
      <c r="L1419">
        <v>7</v>
      </c>
      <c r="M1419">
        <v>97.3</v>
      </c>
    </row>
    <row r="1420" spans="2:13" x14ac:dyDescent="0.2">
      <c r="C1420" t="s">
        <v>27</v>
      </c>
    </row>
    <row r="1421" spans="2:13" x14ac:dyDescent="0.2">
      <c r="C1421" t="s">
        <v>28</v>
      </c>
      <c r="D1421" t="s">
        <v>16</v>
      </c>
      <c r="E1421" t="s">
        <v>29</v>
      </c>
      <c r="F1421" t="s">
        <v>18</v>
      </c>
    </row>
    <row r="1422" spans="2:13" x14ac:dyDescent="0.2">
      <c r="C1422" t="b">
        <v>0</v>
      </c>
      <c r="D1422">
        <v>3840.71</v>
      </c>
      <c r="E1422" t="s">
        <v>30</v>
      </c>
    </row>
    <row r="1423" spans="2:13" x14ac:dyDescent="0.2">
      <c r="C1423" t="b">
        <v>0</v>
      </c>
      <c r="D1423">
        <v>3400.51</v>
      </c>
      <c r="E1423" t="s">
        <v>30</v>
      </c>
    </row>
    <row r="1424" spans="2:13" x14ac:dyDescent="0.2">
      <c r="C1424" t="b">
        <v>0</v>
      </c>
      <c r="D1424">
        <v>3780.66</v>
      </c>
      <c r="E1424" t="s">
        <v>30</v>
      </c>
    </row>
    <row r="1425" spans="1:13" x14ac:dyDescent="0.2">
      <c r="C1425" t="b">
        <v>0</v>
      </c>
      <c r="D1425">
        <v>3750.63</v>
      </c>
      <c r="E1425" t="s">
        <v>30</v>
      </c>
    </row>
    <row r="1426" spans="1:13" x14ac:dyDescent="0.2">
      <c r="C1426" t="b">
        <v>0</v>
      </c>
      <c r="D1426">
        <v>3980.77</v>
      </c>
      <c r="E1426" t="s">
        <v>30</v>
      </c>
    </row>
    <row r="1427" spans="1:13" x14ac:dyDescent="0.2">
      <c r="C1427" t="b">
        <v>0</v>
      </c>
      <c r="D1427">
        <v>4150.8</v>
      </c>
      <c r="E1427" t="s">
        <v>30</v>
      </c>
    </row>
    <row r="1428" spans="1:13" x14ac:dyDescent="0.2">
      <c r="C1428" t="b">
        <v>0</v>
      </c>
      <c r="D1428">
        <v>3960.76</v>
      </c>
      <c r="E1428" t="s">
        <v>30</v>
      </c>
    </row>
    <row r="1429" spans="1:13" x14ac:dyDescent="0.2">
      <c r="A1429" t="s">
        <v>0</v>
      </c>
    </row>
    <row r="1430" spans="1:13" x14ac:dyDescent="0.2"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</row>
    <row r="1431" spans="1:13" x14ac:dyDescent="0.2">
      <c r="B1431" t="b">
        <v>0</v>
      </c>
      <c r="C1431" t="s">
        <v>116</v>
      </c>
      <c r="D1431" t="s">
        <v>117</v>
      </c>
      <c r="E1431" t="s">
        <v>0</v>
      </c>
      <c r="G1431" t="s">
        <v>118</v>
      </c>
    </row>
    <row r="1432" spans="1:13" x14ac:dyDescent="0.2">
      <c r="B1432" t="s">
        <v>11</v>
      </c>
    </row>
    <row r="1433" spans="1:13" x14ac:dyDescent="0.2">
      <c r="B1433" t="s">
        <v>12</v>
      </c>
      <c r="C1433" t="s">
        <v>13</v>
      </c>
      <c r="D1433" t="s">
        <v>14</v>
      </c>
      <c r="E1433" t="s">
        <v>15</v>
      </c>
      <c r="F1433" t="s">
        <v>16</v>
      </c>
      <c r="G1433" t="s">
        <v>17</v>
      </c>
      <c r="H1433" t="s">
        <v>18</v>
      </c>
      <c r="I1433" t="s">
        <v>19</v>
      </c>
      <c r="J1433" t="s">
        <v>20</v>
      </c>
      <c r="K1433" t="s">
        <v>21</v>
      </c>
      <c r="L1433" t="s">
        <v>22</v>
      </c>
      <c r="M1433" t="s">
        <v>23</v>
      </c>
    </row>
    <row r="1434" spans="1:13" x14ac:dyDescent="0.2">
      <c r="B1434" t="s">
        <v>24</v>
      </c>
      <c r="C1434">
        <v>59</v>
      </c>
      <c r="E1434" t="s">
        <v>25</v>
      </c>
      <c r="F1434">
        <v>38092.230000000003</v>
      </c>
      <c r="G1434">
        <v>0.8</v>
      </c>
      <c r="H1434">
        <v>1.7000000000000001E-2</v>
      </c>
      <c r="I1434" t="s">
        <v>26</v>
      </c>
      <c r="J1434">
        <v>0.8</v>
      </c>
      <c r="K1434">
        <v>0.1</v>
      </c>
      <c r="L1434">
        <v>7</v>
      </c>
    </row>
    <row r="1435" spans="1:13" x14ac:dyDescent="0.2">
      <c r="C1435" t="s">
        <v>27</v>
      </c>
    </row>
    <row r="1436" spans="1:13" x14ac:dyDescent="0.2">
      <c r="C1436" t="s">
        <v>28</v>
      </c>
      <c r="D1436" t="s">
        <v>16</v>
      </c>
      <c r="E1436" t="s">
        <v>29</v>
      </c>
      <c r="F1436" t="s">
        <v>18</v>
      </c>
    </row>
    <row r="1437" spans="1:13" x14ac:dyDescent="0.2">
      <c r="C1437" t="b">
        <v>0</v>
      </c>
      <c r="D1437">
        <v>38012.230000000003</v>
      </c>
      <c r="E1437" t="s">
        <v>30</v>
      </c>
      <c r="F1437">
        <v>1.7000000000000001E-2</v>
      </c>
    </row>
    <row r="1438" spans="1:13" x14ac:dyDescent="0.2">
      <c r="C1438" t="b">
        <v>0</v>
      </c>
      <c r="D1438">
        <v>38433.22</v>
      </c>
      <c r="E1438" t="s">
        <v>30</v>
      </c>
      <c r="F1438">
        <v>1.7000000000000001E-2</v>
      </c>
    </row>
    <row r="1439" spans="1:13" x14ac:dyDescent="0.2">
      <c r="C1439" t="b">
        <v>0</v>
      </c>
      <c r="D1439">
        <v>38182.21</v>
      </c>
      <c r="E1439" t="s">
        <v>30</v>
      </c>
      <c r="F1439">
        <v>1.7000000000000001E-2</v>
      </c>
    </row>
    <row r="1440" spans="1:13" x14ac:dyDescent="0.2">
      <c r="C1440" t="b">
        <v>0</v>
      </c>
      <c r="D1440">
        <v>37450.51</v>
      </c>
      <c r="E1440" t="s">
        <v>30</v>
      </c>
      <c r="F1440">
        <v>1.7000000000000001E-2</v>
      </c>
    </row>
    <row r="1441" spans="2:13" x14ac:dyDescent="0.2">
      <c r="C1441" t="b">
        <v>0</v>
      </c>
      <c r="D1441">
        <v>38232.39</v>
      </c>
      <c r="E1441" t="s">
        <v>30</v>
      </c>
      <c r="F1441">
        <v>1.7000000000000001E-2</v>
      </c>
    </row>
    <row r="1442" spans="2:13" x14ac:dyDescent="0.2">
      <c r="C1442" t="b">
        <v>0</v>
      </c>
      <c r="D1442">
        <v>38192.32</v>
      </c>
      <c r="E1442" t="s">
        <v>30</v>
      </c>
      <c r="F1442">
        <v>1.7000000000000001E-2</v>
      </c>
    </row>
    <row r="1443" spans="2:13" x14ac:dyDescent="0.2">
      <c r="C1443" t="b">
        <v>0</v>
      </c>
      <c r="D1443">
        <v>38142.730000000003</v>
      </c>
      <c r="E1443" t="s">
        <v>30</v>
      </c>
      <c r="F1443">
        <v>1.7000000000000001E-2</v>
      </c>
    </row>
    <row r="1444" spans="2:13" x14ac:dyDescent="0.2">
      <c r="B1444" t="s">
        <v>11</v>
      </c>
    </row>
    <row r="1445" spans="2:13" x14ac:dyDescent="0.2">
      <c r="B1445" t="s">
        <v>12</v>
      </c>
      <c r="C1445" t="s">
        <v>13</v>
      </c>
      <c r="D1445" t="s">
        <v>14</v>
      </c>
      <c r="E1445" t="s">
        <v>15</v>
      </c>
      <c r="F1445" t="s">
        <v>16</v>
      </c>
      <c r="G1445" t="s">
        <v>17</v>
      </c>
      <c r="H1445" t="s">
        <v>18</v>
      </c>
      <c r="I1445" t="s">
        <v>19</v>
      </c>
      <c r="J1445" t="s">
        <v>20</v>
      </c>
      <c r="K1445" t="s">
        <v>21</v>
      </c>
      <c r="L1445" t="s">
        <v>22</v>
      </c>
      <c r="M1445" t="s">
        <v>23</v>
      </c>
    </row>
    <row r="1446" spans="2:13" x14ac:dyDescent="0.2">
      <c r="B1446" t="s">
        <v>31</v>
      </c>
      <c r="C1446">
        <v>45</v>
      </c>
      <c r="E1446" t="s">
        <v>25</v>
      </c>
      <c r="F1446">
        <v>1114.3699999999999</v>
      </c>
      <c r="G1446">
        <v>8.6</v>
      </c>
      <c r="K1446">
        <v>0.1</v>
      </c>
      <c r="L1446">
        <v>7</v>
      </c>
      <c r="M1446">
        <v>107.9</v>
      </c>
    </row>
    <row r="1447" spans="2:13" x14ac:dyDescent="0.2">
      <c r="C1447" t="s">
        <v>27</v>
      </c>
    </row>
    <row r="1448" spans="2:13" x14ac:dyDescent="0.2">
      <c r="C1448" t="s">
        <v>28</v>
      </c>
      <c r="D1448" t="s">
        <v>16</v>
      </c>
      <c r="E1448" t="s">
        <v>29</v>
      </c>
      <c r="F1448" t="s">
        <v>18</v>
      </c>
    </row>
    <row r="1449" spans="2:13" x14ac:dyDescent="0.2">
      <c r="C1449" t="b">
        <v>0</v>
      </c>
      <c r="D1449">
        <v>1080.07</v>
      </c>
      <c r="E1449" t="s">
        <v>30</v>
      </c>
    </row>
    <row r="1450" spans="2:13" x14ac:dyDescent="0.2">
      <c r="C1450" t="b">
        <v>0</v>
      </c>
      <c r="D1450">
        <v>960.07</v>
      </c>
      <c r="E1450" t="s">
        <v>30</v>
      </c>
    </row>
    <row r="1451" spans="2:13" x14ac:dyDescent="0.2">
      <c r="C1451" t="b">
        <v>0</v>
      </c>
      <c r="D1451">
        <v>1070.08</v>
      </c>
      <c r="E1451" t="s">
        <v>30</v>
      </c>
    </row>
    <row r="1452" spans="2:13" x14ac:dyDescent="0.2">
      <c r="C1452" t="b">
        <v>0</v>
      </c>
      <c r="D1452">
        <v>1120.08</v>
      </c>
      <c r="E1452" t="s">
        <v>30</v>
      </c>
    </row>
    <row r="1453" spans="2:13" x14ac:dyDescent="0.2">
      <c r="C1453" t="b">
        <v>0</v>
      </c>
      <c r="D1453">
        <v>1180.0899999999999</v>
      </c>
      <c r="E1453" t="s">
        <v>30</v>
      </c>
    </row>
    <row r="1454" spans="2:13" x14ac:dyDescent="0.2">
      <c r="C1454" t="b">
        <v>0</v>
      </c>
      <c r="D1454">
        <v>1270.0999999999999</v>
      </c>
      <c r="E1454" t="s">
        <v>30</v>
      </c>
    </row>
    <row r="1455" spans="2:13" x14ac:dyDescent="0.2">
      <c r="C1455" t="b">
        <v>0</v>
      </c>
      <c r="D1455">
        <v>1120.08</v>
      </c>
      <c r="E1455" t="s">
        <v>30</v>
      </c>
    </row>
    <row r="1456" spans="2:13" x14ac:dyDescent="0.2">
      <c r="B1456" t="s">
        <v>11</v>
      </c>
    </row>
    <row r="1457" spans="2:13" x14ac:dyDescent="0.2">
      <c r="B1457" t="s">
        <v>12</v>
      </c>
      <c r="C1457" t="s">
        <v>13</v>
      </c>
      <c r="D1457" t="s">
        <v>14</v>
      </c>
      <c r="E1457" t="s">
        <v>15</v>
      </c>
      <c r="F1457" t="s">
        <v>16</v>
      </c>
      <c r="G1457" t="s">
        <v>17</v>
      </c>
      <c r="H1457" t="s">
        <v>18</v>
      </c>
      <c r="I1457" t="s">
        <v>19</v>
      </c>
      <c r="J1457" t="s">
        <v>20</v>
      </c>
      <c r="K1457" t="s">
        <v>21</v>
      </c>
      <c r="L1457" t="s">
        <v>22</v>
      </c>
      <c r="M1457" t="s">
        <v>23</v>
      </c>
    </row>
    <row r="1458" spans="2:13" x14ac:dyDescent="0.2">
      <c r="B1458" t="s">
        <v>32</v>
      </c>
      <c r="C1458">
        <v>72</v>
      </c>
      <c r="E1458" t="s">
        <v>25</v>
      </c>
      <c r="F1458">
        <v>777.19</v>
      </c>
      <c r="G1458">
        <v>9.1</v>
      </c>
      <c r="K1458">
        <v>0.1</v>
      </c>
      <c r="L1458">
        <v>7</v>
      </c>
      <c r="M1458">
        <v>104.2</v>
      </c>
    </row>
    <row r="1459" spans="2:13" x14ac:dyDescent="0.2">
      <c r="C1459" t="s">
        <v>27</v>
      </c>
    </row>
    <row r="1460" spans="2:13" x14ac:dyDescent="0.2">
      <c r="C1460" t="s">
        <v>28</v>
      </c>
      <c r="D1460" t="s">
        <v>16</v>
      </c>
      <c r="E1460" t="s">
        <v>29</v>
      </c>
      <c r="F1460" t="s">
        <v>18</v>
      </c>
    </row>
    <row r="1461" spans="2:13" x14ac:dyDescent="0.2">
      <c r="C1461" t="b">
        <v>0</v>
      </c>
      <c r="D1461">
        <v>810.05</v>
      </c>
      <c r="E1461" t="s">
        <v>30</v>
      </c>
    </row>
    <row r="1462" spans="2:13" x14ac:dyDescent="0.2">
      <c r="C1462" t="b">
        <v>0</v>
      </c>
      <c r="D1462">
        <v>770.05</v>
      </c>
      <c r="E1462" t="s">
        <v>30</v>
      </c>
    </row>
    <row r="1463" spans="2:13" x14ac:dyDescent="0.2">
      <c r="C1463" t="b">
        <v>0</v>
      </c>
      <c r="D1463">
        <v>680.04</v>
      </c>
      <c r="E1463" t="s">
        <v>30</v>
      </c>
    </row>
    <row r="1464" spans="2:13" x14ac:dyDescent="0.2">
      <c r="C1464" t="b">
        <v>0</v>
      </c>
      <c r="D1464">
        <v>710.05</v>
      </c>
      <c r="E1464" t="s">
        <v>30</v>
      </c>
    </row>
    <row r="1465" spans="2:13" x14ac:dyDescent="0.2">
      <c r="C1465" t="b">
        <v>0</v>
      </c>
      <c r="D1465">
        <v>760.04</v>
      </c>
      <c r="E1465" t="s">
        <v>30</v>
      </c>
    </row>
    <row r="1466" spans="2:13" x14ac:dyDescent="0.2">
      <c r="C1466" t="b">
        <v>0</v>
      </c>
      <c r="D1466">
        <v>890.06</v>
      </c>
      <c r="E1466" t="s">
        <v>30</v>
      </c>
    </row>
    <row r="1467" spans="2:13" x14ac:dyDescent="0.2">
      <c r="C1467" t="b">
        <v>0</v>
      </c>
      <c r="D1467">
        <v>820.06</v>
      </c>
      <c r="E1467" t="s">
        <v>30</v>
      </c>
    </row>
    <row r="1468" spans="2:13" x14ac:dyDescent="0.2">
      <c r="B1468" t="s">
        <v>11</v>
      </c>
    </row>
    <row r="1469" spans="2:13" x14ac:dyDescent="0.2">
      <c r="B1469" t="s">
        <v>12</v>
      </c>
      <c r="C1469" t="s">
        <v>13</v>
      </c>
      <c r="D1469" t="s">
        <v>14</v>
      </c>
      <c r="E1469" t="s">
        <v>15</v>
      </c>
      <c r="F1469" t="s">
        <v>16</v>
      </c>
      <c r="G1469" t="s">
        <v>17</v>
      </c>
      <c r="H1469" t="s">
        <v>18</v>
      </c>
      <c r="I1469" t="s">
        <v>19</v>
      </c>
      <c r="J1469" t="s">
        <v>20</v>
      </c>
      <c r="K1469" t="s">
        <v>21</v>
      </c>
      <c r="L1469" t="s">
        <v>22</v>
      </c>
      <c r="M1469" t="s">
        <v>23</v>
      </c>
    </row>
    <row r="1470" spans="2:13" x14ac:dyDescent="0.2">
      <c r="B1470" t="s">
        <v>33</v>
      </c>
      <c r="C1470">
        <v>89</v>
      </c>
      <c r="E1470" t="s">
        <v>25</v>
      </c>
      <c r="F1470">
        <v>3995.01</v>
      </c>
      <c r="G1470">
        <v>2.9</v>
      </c>
      <c r="K1470">
        <v>0.1</v>
      </c>
      <c r="L1470">
        <v>7</v>
      </c>
      <c r="M1470">
        <v>101.3</v>
      </c>
    </row>
    <row r="1471" spans="2:13" x14ac:dyDescent="0.2">
      <c r="C1471" t="s">
        <v>27</v>
      </c>
    </row>
    <row r="1472" spans="2:13" x14ac:dyDescent="0.2">
      <c r="C1472" t="s">
        <v>28</v>
      </c>
      <c r="D1472" t="s">
        <v>16</v>
      </c>
      <c r="E1472" t="s">
        <v>29</v>
      </c>
      <c r="F1472" t="s">
        <v>18</v>
      </c>
    </row>
    <row r="1473" spans="1:13" x14ac:dyDescent="0.2">
      <c r="C1473" t="b">
        <v>0</v>
      </c>
      <c r="D1473">
        <v>3880.68</v>
      </c>
      <c r="E1473" t="s">
        <v>30</v>
      </c>
    </row>
    <row r="1474" spans="1:13" x14ac:dyDescent="0.2">
      <c r="C1474" t="b">
        <v>0</v>
      </c>
      <c r="D1474">
        <v>4100.75</v>
      </c>
      <c r="E1474" t="s">
        <v>30</v>
      </c>
    </row>
    <row r="1475" spans="1:13" x14ac:dyDescent="0.2">
      <c r="C1475" t="b">
        <v>0</v>
      </c>
      <c r="D1475">
        <v>4050.73</v>
      </c>
      <c r="E1475" t="s">
        <v>30</v>
      </c>
    </row>
    <row r="1476" spans="1:13" x14ac:dyDescent="0.2">
      <c r="C1476" t="b">
        <v>0</v>
      </c>
      <c r="D1476">
        <v>4130.76</v>
      </c>
      <c r="E1476" t="s">
        <v>30</v>
      </c>
    </row>
    <row r="1477" spans="1:13" x14ac:dyDescent="0.2">
      <c r="C1477" t="b">
        <v>0</v>
      </c>
      <c r="D1477">
        <v>4060.74</v>
      </c>
      <c r="E1477" t="s">
        <v>30</v>
      </c>
    </row>
    <row r="1478" spans="1:13" x14ac:dyDescent="0.2">
      <c r="C1478" t="b">
        <v>0</v>
      </c>
      <c r="D1478">
        <v>3890.66</v>
      </c>
      <c r="E1478" t="s">
        <v>30</v>
      </c>
    </row>
    <row r="1479" spans="1:13" x14ac:dyDescent="0.2">
      <c r="C1479" t="b">
        <v>0</v>
      </c>
      <c r="D1479">
        <v>3850.75</v>
      </c>
      <c r="E1479" t="s">
        <v>30</v>
      </c>
    </row>
    <row r="1480" spans="1:13" x14ac:dyDescent="0.2">
      <c r="A1480" t="s">
        <v>0</v>
      </c>
    </row>
    <row r="1481" spans="1:13" x14ac:dyDescent="0.2"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</row>
    <row r="1482" spans="1:13" x14ac:dyDescent="0.2">
      <c r="A1482" t="s">
        <v>119</v>
      </c>
      <c r="B1482" t="b">
        <v>0</v>
      </c>
      <c r="C1482" t="s">
        <v>120</v>
      </c>
      <c r="D1482" t="s">
        <v>121</v>
      </c>
      <c r="E1482" t="s">
        <v>0</v>
      </c>
      <c r="G1482" t="s">
        <v>122</v>
      </c>
    </row>
    <row r="1483" spans="1:13" x14ac:dyDescent="0.2">
      <c r="B1483" t="s">
        <v>11</v>
      </c>
    </row>
    <row r="1484" spans="1:13" x14ac:dyDescent="0.2">
      <c r="B1484" t="s">
        <v>12</v>
      </c>
      <c r="C1484" t="s">
        <v>13</v>
      </c>
      <c r="D1484" t="s">
        <v>14</v>
      </c>
      <c r="E1484" t="s">
        <v>15</v>
      </c>
      <c r="F1484" t="s">
        <v>16</v>
      </c>
      <c r="G1484" t="s">
        <v>17</v>
      </c>
      <c r="H1484" t="s">
        <v>18</v>
      </c>
      <c r="I1484" t="s">
        <v>19</v>
      </c>
      <c r="J1484" t="s">
        <v>20</v>
      </c>
      <c r="K1484" t="s">
        <v>21</v>
      </c>
      <c r="L1484" t="s">
        <v>22</v>
      </c>
      <c r="M1484" t="s">
        <v>23</v>
      </c>
    </row>
    <row r="1485" spans="1:13" x14ac:dyDescent="0.2">
      <c r="B1485" t="s">
        <v>24</v>
      </c>
      <c r="C1485">
        <v>59</v>
      </c>
      <c r="E1485" t="s">
        <v>25</v>
      </c>
      <c r="F1485">
        <v>37459.050000000003</v>
      </c>
      <c r="G1485">
        <v>1.9</v>
      </c>
      <c r="H1485">
        <v>1.7000000000000001E-2</v>
      </c>
      <c r="I1485" t="s">
        <v>26</v>
      </c>
      <c r="J1485">
        <v>1.9</v>
      </c>
      <c r="K1485">
        <v>0.1</v>
      </c>
      <c r="L1485">
        <v>7</v>
      </c>
    </row>
    <row r="1486" spans="1:13" x14ac:dyDescent="0.2">
      <c r="C1486" t="s">
        <v>27</v>
      </c>
    </row>
    <row r="1487" spans="1:13" x14ac:dyDescent="0.2">
      <c r="C1487" t="s">
        <v>28</v>
      </c>
      <c r="D1487" t="s">
        <v>16</v>
      </c>
      <c r="E1487" t="s">
        <v>29</v>
      </c>
      <c r="F1487" t="s">
        <v>18</v>
      </c>
    </row>
    <row r="1488" spans="1:13" x14ac:dyDescent="0.2">
      <c r="C1488" t="b">
        <v>0</v>
      </c>
      <c r="D1488">
        <v>38092.44</v>
      </c>
      <c r="E1488" t="s">
        <v>30</v>
      </c>
      <c r="F1488">
        <v>1.7000000000000001E-2</v>
      </c>
    </row>
    <row r="1489" spans="2:13" x14ac:dyDescent="0.2">
      <c r="C1489" t="b">
        <v>0</v>
      </c>
      <c r="D1489">
        <v>37199.57</v>
      </c>
      <c r="E1489" t="s">
        <v>30</v>
      </c>
      <c r="F1489">
        <v>1.7000000000000001E-2</v>
      </c>
    </row>
    <row r="1490" spans="2:13" x14ac:dyDescent="0.2">
      <c r="C1490" t="b">
        <v>0</v>
      </c>
      <c r="D1490">
        <v>38392.9</v>
      </c>
      <c r="E1490" t="s">
        <v>30</v>
      </c>
      <c r="F1490">
        <v>1.7000000000000001E-2</v>
      </c>
    </row>
    <row r="1491" spans="2:13" x14ac:dyDescent="0.2">
      <c r="C1491" t="b">
        <v>0</v>
      </c>
      <c r="D1491">
        <v>37651.07</v>
      </c>
      <c r="E1491" t="s">
        <v>30</v>
      </c>
      <c r="F1491">
        <v>1.7000000000000001E-2</v>
      </c>
    </row>
    <row r="1492" spans="2:13" x14ac:dyDescent="0.2">
      <c r="C1492" t="b">
        <v>0</v>
      </c>
      <c r="D1492">
        <v>37691.06</v>
      </c>
      <c r="E1492" t="s">
        <v>30</v>
      </c>
      <c r="F1492">
        <v>1.7000000000000001E-2</v>
      </c>
    </row>
    <row r="1493" spans="2:13" x14ac:dyDescent="0.2">
      <c r="C1493" t="b">
        <v>0</v>
      </c>
      <c r="D1493">
        <v>36859.08</v>
      </c>
      <c r="E1493" t="s">
        <v>30</v>
      </c>
      <c r="F1493">
        <v>1.6E-2</v>
      </c>
    </row>
    <row r="1494" spans="2:13" x14ac:dyDescent="0.2">
      <c r="C1494" t="b">
        <v>0</v>
      </c>
      <c r="D1494">
        <v>36327.26</v>
      </c>
      <c r="E1494" t="s">
        <v>30</v>
      </c>
      <c r="F1494">
        <v>1.6E-2</v>
      </c>
    </row>
    <row r="1495" spans="2:13" x14ac:dyDescent="0.2">
      <c r="B1495" t="s">
        <v>11</v>
      </c>
    </row>
    <row r="1496" spans="2:13" x14ac:dyDescent="0.2">
      <c r="B1496" t="s">
        <v>12</v>
      </c>
      <c r="C1496" t="s">
        <v>13</v>
      </c>
      <c r="D1496" t="s">
        <v>14</v>
      </c>
      <c r="E1496" t="s">
        <v>15</v>
      </c>
      <c r="F1496" t="s">
        <v>16</v>
      </c>
      <c r="G1496" t="s">
        <v>17</v>
      </c>
      <c r="H1496" t="s">
        <v>18</v>
      </c>
      <c r="I1496" t="s">
        <v>19</v>
      </c>
      <c r="J1496" t="s">
        <v>20</v>
      </c>
      <c r="K1496" t="s">
        <v>21</v>
      </c>
      <c r="L1496" t="s">
        <v>22</v>
      </c>
      <c r="M1496" t="s">
        <v>23</v>
      </c>
    </row>
    <row r="1497" spans="2:13" x14ac:dyDescent="0.2">
      <c r="B1497" t="s">
        <v>31</v>
      </c>
      <c r="C1497">
        <v>45</v>
      </c>
      <c r="E1497" t="s">
        <v>25</v>
      </c>
      <c r="F1497">
        <v>1252.95</v>
      </c>
      <c r="G1497">
        <v>7.6</v>
      </c>
      <c r="K1497">
        <v>0.1</v>
      </c>
      <c r="L1497">
        <v>7</v>
      </c>
      <c r="M1497">
        <v>121.3</v>
      </c>
    </row>
    <row r="1498" spans="2:13" x14ac:dyDescent="0.2">
      <c r="C1498" t="s">
        <v>27</v>
      </c>
    </row>
    <row r="1499" spans="2:13" x14ac:dyDescent="0.2">
      <c r="C1499" t="s">
        <v>28</v>
      </c>
      <c r="D1499" t="s">
        <v>16</v>
      </c>
      <c r="E1499" t="s">
        <v>29</v>
      </c>
      <c r="F1499" t="s">
        <v>18</v>
      </c>
    </row>
    <row r="1500" spans="2:13" x14ac:dyDescent="0.2">
      <c r="C1500" t="b">
        <v>0</v>
      </c>
      <c r="D1500">
        <v>1260.0999999999999</v>
      </c>
      <c r="E1500" t="s">
        <v>30</v>
      </c>
    </row>
    <row r="1501" spans="2:13" x14ac:dyDescent="0.2">
      <c r="C1501" t="b">
        <v>0</v>
      </c>
      <c r="D1501">
        <v>1130.0899999999999</v>
      </c>
      <c r="E1501" t="s">
        <v>30</v>
      </c>
    </row>
    <row r="1502" spans="2:13" x14ac:dyDescent="0.2">
      <c r="C1502" t="b">
        <v>0</v>
      </c>
      <c r="D1502">
        <v>1140.08</v>
      </c>
      <c r="E1502" t="s">
        <v>30</v>
      </c>
    </row>
    <row r="1503" spans="2:13" x14ac:dyDescent="0.2">
      <c r="C1503" t="b">
        <v>0</v>
      </c>
      <c r="D1503">
        <v>1280.0999999999999</v>
      </c>
      <c r="E1503" t="s">
        <v>30</v>
      </c>
    </row>
    <row r="1504" spans="2:13" x14ac:dyDescent="0.2">
      <c r="C1504" t="b">
        <v>0</v>
      </c>
      <c r="D1504">
        <v>1270.0999999999999</v>
      </c>
      <c r="E1504" t="s">
        <v>30</v>
      </c>
    </row>
    <row r="1505" spans="2:13" x14ac:dyDescent="0.2">
      <c r="C1505" t="b">
        <v>0</v>
      </c>
      <c r="D1505">
        <v>1280.0999999999999</v>
      </c>
      <c r="E1505" t="s">
        <v>30</v>
      </c>
    </row>
    <row r="1506" spans="2:13" x14ac:dyDescent="0.2">
      <c r="C1506" t="b">
        <v>0</v>
      </c>
      <c r="D1506">
        <v>1410.11</v>
      </c>
      <c r="E1506" t="s">
        <v>30</v>
      </c>
    </row>
    <row r="1507" spans="2:13" x14ac:dyDescent="0.2">
      <c r="B1507" t="s">
        <v>11</v>
      </c>
    </row>
    <row r="1508" spans="2:13" x14ac:dyDescent="0.2">
      <c r="B1508" t="s">
        <v>12</v>
      </c>
      <c r="C1508" t="s">
        <v>13</v>
      </c>
      <c r="D1508" t="s">
        <v>14</v>
      </c>
      <c r="E1508" t="s">
        <v>15</v>
      </c>
      <c r="F1508" t="s">
        <v>16</v>
      </c>
      <c r="G1508" t="s">
        <v>17</v>
      </c>
      <c r="H1508" t="s">
        <v>18</v>
      </c>
      <c r="I1508" t="s">
        <v>19</v>
      </c>
      <c r="J1508" t="s">
        <v>20</v>
      </c>
      <c r="K1508" t="s">
        <v>21</v>
      </c>
      <c r="L1508" t="s">
        <v>22</v>
      </c>
      <c r="M1508" t="s">
        <v>23</v>
      </c>
    </row>
    <row r="1509" spans="2:13" x14ac:dyDescent="0.2">
      <c r="B1509" t="s">
        <v>32</v>
      </c>
      <c r="C1509">
        <v>72</v>
      </c>
      <c r="E1509" t="s">
        <v>25</v>
      </c>
      <c r="F1509">
        <v>677.18</v>
      </c>
      <c r="G1509">
        <v>17.3</v>
      </c>
      <c r="K1509">
        <v>0.1</v>
      </c>
      <c r="L1509">
        <v>7</v>
      </c>
      <c r="M1509">
        <v>90.8</v>
      </c>
    </row>
    <row r="1510" spans="2:13" x14ac:dyDescent="0.2">
      <c r="C1510" t="s">
        <v>27</v>
      </c>
    </row>
    <row r="1511" spans="2:13" x14ac:dyDescent="0.2">
      <c r="C1511" t="s">
        <v>28</v>
      </c>
      <c r="D1511" t="s">
        <v>16</v>
      </c>
      <c r="E1511" t="s">
        <v>29</v>
      </c>
      <c r="F1511" t="s">
        <v>18</v>
      </c>
    </row>
    <row r="1512" spans="2:13" x14ac:dyDescent="0.2">
      <c r="C1512" t="b">
        <v>0</v>
      </c>
      <c r="D1512">
        <v>710.04</v>
      </c>
      <c r="E1512" t="s">
        <v>30</v>
      </c>
    </row>
    <row r="1513" spans="2:13" x14ac:dyDescent="0.2">
      <c r="C1513" t="b">
        <v>0</v>
      </c>
      <c r="D1513">
        <v>840.05</v>
      </c>
      <c r="E1513" t="s">
        <v>30</v>
      </c>
    </row>
    <row r="1514" spans="2:13" x14ac:dyDescent="0.2">
      <c r="C1514" t="b">
        <v>0</v>
      </c>
      <c r="D1514">
        <v>590.03</v>
      </c>
      <c r="E1514" t="s">
        <v>30</v>
      </c>
    </row>
    <row r="1515" spans="2:13" x14ac:dyDescent="0.2">
      <c r="C1515" t="b">
        <v>0</v>
      </c>
      <c r="D1515">
        <v>730.05</v>
      </c>
      <c r="E1515" t="s">
        <v>30</v>
      </c>
    </row>
    <row r="1516" spans="2:13" x14ac:dyDescent="0.2">
      <c r="C1516" t="b">
        <v>0</v>
      </c>
      <c r="D1516">
        <v>710.05</v>
      </c>
      <c r="E1516" t="s">
        <v>30</v>
      </c>
    </row>
    <row r="1517" spans="2:13" x14ac:dyDescent="0.2">
      <c r="C1517" t="b">
        <v>0</v>
      </c>
      <c r="D1517">
        <v>690.04</v>
      </c>
      <c r="E1517" t="s">
        <v>30</v>
      </c>
    </row>
    <row r="1518" spans="2:13" x14ac:dyDescent="0.2">
      <c r="C1518" t="b">
        <v>0</v>
      </c>
      <c r="D1518">
        <v>470.03</v>
      </c>
      <c r="E1518" t="s">
        <v>30</v>
      </c>
    </row>
    <row r="1519" spans="2:13" x14ac:dyDescent="0.2">
      <c r="B1519" t="s">
        <v>11</v>
      </c>
    </row>
    <row r="1520" spans="2:13" x14ac:dyDescent="0.2">
      <c r="B1520" t="s">
        <v>12</v>
      </c>
      <c r="C1520" t="s">
        <v>13</v>
      </c>
      <c r="D1520" t="s">
        <v>14</v>
      </c>
      <c r="E1520" t="s">
        <v>15</v>
      </c>
      <c r="F1520" t="s">
        <v>16</v>
      </c>
      <c r="G1520" t="s">
        <v>17</v>
      </c>
      <c r="H1520" t="s">
        <v>18</v>
      </c>
      <c r="I1520" t="s">
        <v>19</v>
      </c>
      <c r="J1520" t="s">
        <v>20</v>
      </c>
      <c r="K1520" t="s">
        <v>21</v>
      </c>
      <c r="L1520" t="s">
        <v>22</v>
      </c>
      <c r="M1520" t="s">
        <v>23</v>
      </c>
    </row>
    <row r="1521" spans="1:13" x14ac:dyDescent="0.2">
      <c r="B1521" t="s">
        <v>33</v>
      </c>
      <c r="C1521">
        <v>89</v>
      </c>
      <c r="E1521" t="s">
        <v>25</v>
      </c>
      <c r="F1521">
        <v>3786.36</v>
      </c>
      <c r="G1521">
        <v>6.9</v>
      </c>
      <c r="K1521">
        <v>0.1</v>
      </c>
      <c r="L1521">
        <v>7</v>
      </c>
      <c r="M1521">
        <v>96</v>
      </c>
    </row>
    <row r="1522" spans="1:13" x14ac:dyDescent="0.2">
      <c r="C1522" t="s">
        <v>27</v>
      </c>
    </row>
    <row r="1523" spans="1:13" x14ac:dyDescent="0.2">
      <c r="C1523" t="s">
        <v>28</v>
      </c>
      <c r="D1523" t="s">
        <v>16</v>
      </c>
      <c r="E1523" t="s">
        <v>29</v>
      </c>
      <c r="F1523" t="s">
        <v>18</v>
      </c>
    </row>
    <row r="1524" spans="1:13" x14ac:dyDescent="0.2">
      <c r="C1524" t="b">
        <v>0</v>
      </c>
      <c r="D1524">
        <v>3330.51</v>
      </c>
      <c r="E1524" t="s">
        <v>30</v>
      </c>
    </row>
    <row r="1525" spans="1:13" x14ac:dyDescent="0.2">
      <c r="C1525" t="b">
        <v>0</v>
      </c>
      <c r="D1525">
        <v>3860.66</v>
      </c>
      <c r="E1525" t="s">
        <v>30</v>
      </c>
    </row>
    <row r="1526" spans="1:13" x14ac:dyDescent="0.2">
      <c r="C1526" t="b">
        <v>0</v>
      </c>
      <c r="D1526">
        <v>3880.71</v>
      </c>
      <c r="E1526" t="s">
        <v>30</v>
      </c>
    </row>
    <row r="1527" spans="1:13" x14ac:dyDescent="0.2">
      <c r="C1527" t="b">
        <v>0</v>
      </c>
      <c r="D1527">
        <v>4020.74</v>
      </c>
      <c r="E1527" t="s">
        <v>30</v>
      </c>
    </row>
    <row r="1528" spans="1:13" x14ac:dyDescent="0.2">
      <c r="C1528" t="b">
        <v>0</v>
      </c>
      <c r="D1528">
        <v>3800.63</v>
      </c>
      <c r="E1528" t="s">
        <v>30</v>
      </c>
    </row>
    <row r="1529" spans="1:13" x14ac:dyDescent="0.2">
      <c r="C1529" t="b">
        <v>0</v>
      </c>
      <c r="D1529">
        <v>4060.72</v>
      </c>
      <c r="E1529" t="s">
        <v>30</v>
      </c>
    </row>
    <row r="1530" spans="1:13" x14ac:dyDescent="0.2">
      <c r="C1530" t="b">
        <v>0</v>
      </c>
      <c r="D1530">
        <v>3550.57</v>
      </c>
      <c r="E1530" t="s">
        <v>30</v>
      </c>
    </row>
    <row r="1531" spans="1:13" x14ac:dyDescent="0.2">
      <c r="A1531" t="s">
        <v>0</v>
      </c>
    </row>
    <row r="1532" spans="1:13" x14ac:dyDescent="0.2"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</row>
    <row r="1533" spans="1:13" x14ac:dyDescent="0.2">
      <c r="B1533" t="b">
        <v>0</v>
      </c>
      <c r="C1533" t="s">
        <v>123</v>
      </c>
      <c r="D1533" t="s">
        <v>124</v>
      </c>
      <c r="E1533" t="s">
        <v>0</v>
      </c>
      <c r="G1533" t="s">
        <v>125</v>
      </c>
    </row>
    <row r="1534" spans="1:13" x14ac:dyDescent="0.2">
      <c r="B1534" t="s">
        <v>11</v>
      </c>
    </row>
    <row r="1535" spans="1:13" x14ac:dyDescent="0.2">
      <c r="B1535" t="s">
        <v>12</v>
      </c>
      <c r="C1535" t="s">
        <v>13</v>
      </c>
      <c r="D1535" t="s">
        <v>14</v>
      </c>
      <c r="E1535" t="s">
        <v>15</v>
      </c>
      <c r="F1535" t="s">
        <v>16</v>
      </c>
      <c r="G1535" t="s">
        <v>17</v>
      </c>
      <c r="H1535" t="s">
        <v>18</v>
      </c>
      <c r="I1535" t="s">
        <v>19</v>
      </c>
      <c r="J1535" t="s">
        <v>20</v>
      </c>
      <c r="K1535" t="s">
        <v>21</v>
      </c>
      <c r="L1535" t="s">
        <v>22</v>
      </c>
      <c r="M1535" t="s">
        <v>23</v>
      </c>
    </row>
    <row r="1536" spans="1:13" x14ac:dyDescent="0.2">
      <c r="B1536" t="s">
        <v>24</v>
      </c>
      <c r="C1536">
        <v>59</v>
      </c>
      <c r="E1536" t="s">
        <v>25</v>
      </c>
      <c r="F1536">
        <v>199946.6</v>
      </c>
      <c r="G1536">
        <v>1.4</v>
      </c>
      <c r="H1536">
        <v>8.8999999999999996E-2</v>
      </c>
      <c r="I1536" t="s">
        <v>26</v>
      </c>
      <c r="J1536">
        <v>1.4</v>
      </c>
      <c r="K1536">
        <v>0.1</v>
      </c>
      <c r="L1536">
        <v>7</v>
      </c>
    </row>
    <row r="1537" spans="2:13" x14ac:dyDescent="0.2">
      <c r="C1537" t="s">
        <v>27</v>
      </c>
    </row>
    <row r="1538" spans="2:13" x14ac:dyDescent="0.2">
      <c r="C1538" t="s">
        <v>28</v>
      </c>
      <c r="D1538" t="s">
        <v>16</v>
      </c>
      <c r="E1538" t="s">
        <v>29</v>
      </c>
      <c r="F1538" t="s">
        <v>18</v>
      </c>
    </row>
    <row r="1539" spans="2:13" x14ac:dyDescent="0.2">
      <c r="C1539" t="b">
        <v>0</v>
      </c>
      <c r="D1539">
        <v>195500.23</v>
      </c>
      <c r="E1539" t="s">
        <v>30</v>
      </c>
      <c r="F1539">
        <v>8.6999999999999994E-2</v>
      </c>
    </row>
    <row r="1540" spans="2:13" x14ac:dyDescent="0.2">
      <c r="C1540" t="b">
        <v>0</v>
      </c>
      <c r="D1540">
        <v>200730.6</v>
      </c>
      <c r="E1540" t="s">
        <v>30</v>
      </c>
      <c r="F1540">
        <v>8.8999999999999996E-2</v>
      </c>
    </row>
    <row r="1541" spans="2:13" x14ac:dyDescent="0.2">
      <c r="C1541" t="b">
        <v>0</v>
      </c>
      <c r="D1541">
        <v>204717.85</v>
      </c>
      <c r="E1541" t="s">
        <v>30</v>
      </c>
      <c r="F1541">
        <v>9.0999999999999998E-2</v>
      </c>
    </row>
    <row r="1542" spans="2:13" x14ac:dyDescent="0.2">
      <c r="C1542" t="b">
        <v>0</v>
      </c>
      <c r="D1542">
        <v>201216.01</v>
      </c>
      <c r="E1542" t="s">
        <v>30</v>
      </c>
      <c r="F1542">
        <v>8.8999999999999996E-2</v>
      </c>
    </row>
    <row r="1543" spans="2:13" x14ac:dyDescent="0.2">
      <c r="C1543" t="b">
        <v>0</v>
      </c>
      <c r="D1543">
        <v>199281.31</v>
      </c>
      <c r="E1543" t="s">
        <v>30</v>
      </c>
      <c r="F1543">
        <v>8.8999999999999996E-2</v>
      </c>
    </row>
    <row r="1544" spans="2:13" x14ac:dyDescent="0.2">
      <c r="C1544" t="b">
        <v>0</v>
      </c>
      <c r="D1544">
        <v>199007.71</v>
      </c>
      <c r="E1544" t="s">
        <v>30</v>
      </c>
      <c r="F1544">
        <v>8.7999999999999995E-2</v>
      </c>
    </row>
    <row r="1545" spans="2:13" x14ac:dyDescent="0.2">
      <c r="C1545" t="b">
        <v>0</v>
      </c>
      <c r="D1545">
        <v>199172.48000000001</v>
      </c>
      <c r="E1545" t="s">
        <v>30</v>
      </c>
      <c r="F1545">
        <v>8.8999999999999996E-2</v>
      </c>
    </row>
    <row r="1546" spans="2:13" x14ac:dyDescent="0.2">
      <c r="B1546" t="s">
        <v>11</v>
      </c>
    </row>
    <row r="1547" spans="2:13" x14ac:dyDescent="0.2">
      <c r="B1547" t="s">
        <v>12</v>
      </c>
      <c r="C1547" t="s">
        <v>13</v>
      </c>
      <c r="D1547" t="s">
        <v>14</v>
      </c>
      <c r="E1547" t="s">
        <v>15</v>
      </c>
      <c r="F1547" t="s">
        <v>16</v>
      </c>
      <c r="G1547" t="s">
        <v>17</v>
      </c>
      <c r="H1547" t="s">
        <v>18</v>
      </c>
      <c r="I1547" t="s">
        <v>19</v>
      </c>
      <c r="J1547" t="s">
        <v>20</v>
      </c>
      <c r="K1547" t="s">
        <v>21</v>
      </c>
      <c r="L1547" t="s">
        <v>22</v>
      </c>
      <c r="M1547" t="s">
        <v>23</v>
      </c>
    </row>
    <row r="1548" spans="2:13" x14ac:dyDescent="0.2">
      <c r="B1548" t="s">
        <v>31</v>
      </c>
      <c r="C1548">
        <v>45</v>
      </c>
      <c r="E1548" t="s">
        <v>25</v>
      </c>
      <c r="F1548">
        <v>1161.52</v>
      </c>
      <c r="G1548">
        <v>6.1</v>
      </c>
      <c r="K1548">
        <v>0.1</v>
      </c>
      <c r="L1548">
        <v>7</v>
      </c>
      <c r="M1548">
        <v>112.4</v>
      </c>
    </row>
    <row r="1549" spans="2:13" x14ac:dyDescent="0.2">
      <c r="C1549" t="s">
        <v>27</v>
      </c>
    </row>
    <row r="1550" spans="2:13" x14ac:dyDescent="0.2">
      <c r="C1550" t="s">
        <v>28</v>
      </c>
      <c r="D1550" t="s">
        <v>16</v>
      </c>
      <c r="E1550" t="s">
        <v>29</v>
      </c>
      <c r="F1550" t="s">
        <v>18</v>
      </c>
    </row>
    <row r="1551" spans="2:13" x14ac:dyDescent="0.2">
      <c r="C1551" t="b">
        <v>0</v>
      </c>
      <c r="D1551">
        <v>1100.07</v>
      </c>
      <c r="E1551" t="s">
        <v>30</v>
      </c>
    </row>
    <row r="1552" spans="2:13" x14ac:dyDescent="0.2">
      <c r="C1552" t="b">
        <v>0</v>
      </c>
      <c r="D1552">
        <v>1150.0899999999999</v>
      </c>
      <c r="E1552" t="s">
        <v>30</v>
      </c>
    </row>
    <row r="1553" spans="2:13" x14ac:dyDescent="0.2">
      <c r="C1553" t="b">
        <v>0</v>
      </c>
      <c r="D1553">
        <v>1270.0999999999999</v>
      </c>
      <c r="E1553" t="s">
        <v>30</v>
      </c>
    </row>
    <row r="1554" spans="2:13" x14ac:dyDescent="0.2">
      <c r="C1554" t="b">
        <v>0</v>
      </c>
      <c r="D1554">
        <v>1090.0899999999999</v>
      </c>
      <c r="E1554" t="s">
        <v>30</v>
      </c>
    </row>
    <row r="1555" spans="2:13" x14ac:dyDescent="0.2">
      <c r="C1555" t="b">
        <v>0</v>
      </c>
      <c r="D1555">
        <v>1240.0999999999999</v>
      </c>
      <c r="E1555" t="s">
        <v>30</v>
      </c>
    </row>
    <row r="1556" spans="2:13" x14ac:dyDescent="0.2">
      <c r="C1556" t="b">
        <v>0</v>
      </c>
      <c r="D1556">
        <v>1110.08</v>
      </c>
      <c r="E1556" t="s">
        <v>30</v>
      </c>
    </row>
    <row r="1557" spans="2:13" x14ac:dyDescent="0.2">
      <c r="C1557" t="b">
        <v>0</v>
      </c>
      <c r="D1557">
        <v>1170.0899999999999</v>
      </c>
      <c r="E1557" t="s">
        <v>30</v>
      </c>
    </row>
    <row r="1558" spans="2:13" x14ac:dyDescent="0.2">
      <c r="B1558" t="s">
        <v>11</v>
      </c>
    </row>
    <row r="1559" spans="2:13" x14ac:dyDescent="0.2">
      <c r="B1559" t="s">
        <v>12</v>
      </c>
      <c r="C1559" t="s">
        <v>13</v>
      </c>
      <c r="D1559" t="s">
        <v>14</v>
      </c>
      <c r="E1559" t="s">
        <v>15</v>
      </c>
      <c r="F1559" t="s">
        <v>16</v>
      </c>
      <c r="G1559" t="s">
        <v>17</v>
      </c>
      <c r="H1559" t="s">
        <v>18</v>
      </c>
      <c r="I1559" t="s">
        <v>19</v>
      </c>
      <c r="J1559" t="s">
        <v>20</v>
      </c>
      <c r="K1559" t="s">
        <v>21</v>
      </c>
      <c r="L1559" t="s">
        <v>22</v>
      </c>
      <c r="M1559" t="s">
        <v>23</v>
      </c>
    </row>
    <row r="1560" spans="2:13" x14ac:dyDescent="0.2">
      <c r="B1560" t="s">
        <v>32</v>
      </c>
      <c r="C1560">
        <v>72</v>
      </c>
      <c r="E1560" t="s">
        <v>25</v>
      </c>
      <c r="F1560">
        <v>767.19</v>
      </c>
      <c r="G1560">
        <v>10.199999999999999</v>
      </c>
      <c r="K1560">
        <v>0.1</v>
      </c>
      <c r="L1560">
        <v>7</v>
      </c>
      <c r="M1560">
        <v>102.9</v>
      </c>
    </row>
    <row r="1561" spans="2:13" x14ac:dyDescent="0.2">
      <c r="C1561" t="s">
        <v>27</v>
      </c>
    </row>
    <row r="1562" spans="2:13" x14ac:dyDescent="0.2">
      <c r="C1562" t="s">
        <v>28</v>
      </c>
      <c r="D1562" t="s">
        <v>16</v>
      </c>
      <c r="E1562" t="s">
        <v>29</v>
      </c>
      <c r="F1562" t="s">
        <v>18</v>
      </c>
    </row>
    <row r="1563" spans="2:13" x14ac:dyDescent="0.2">
      <c r="C1563" t="b">
        <v>0</v>
      </c>
      <c r="D1563">
        <v>690.04</v>
      </c>
      <c r="E1563" t="s">
        <v>30</v>
      </c>
    </row>
    <row r="1564" spans="2:13" x14ac:dyDescent="0.2">
      <c r="C1564" t="b">
        <v>0</v>
      </c>
      <c r="D1564">
        <v>650.04</v>
      </c>
      <c r="E1564" t="s">
        <v>30</v>
      </c>
    </row>
    <row r="1565" spans="2:13" x14ac:dyDescent="0.2">
      <c r="C1565" t="b">
        <v>0</v>
      </c>
      <c r="D1565">
        <v>830.06</v>
      </c>
      <c r="E1565" t="s">
        <v>30</v>
      </c>
    </row>
    <row r="1566" spans="2:13" x14ac:dyDescent="0.2">
      <c r="C1566" t="b">
        <v>0</v>
      </c>
      <c r="D1566">
        <v>730.04</v>
      </c>
      <c r="E1566" t="s">
        <v>30</v>
      </c>
    </row>
    <row r="1567" spans="2:13" x14ac:dyDescent="0.2">
      <c r="C1567" t="b">
        <v>0</v>
      </c>
      <c r="D1567">
        <v>800.05</v>
      </c>
      <c r="E1567" t="s">
        <v>30</v>
      </c>
    </row>
    <row r="1568" spans="2:13" x14ac:dyDescent="0.2">
      <c r="C1568" t="b">
        <v>0</v>
      </c>
      <c r="D1568">
        <v>810.05</v>
      </c>
      <c r="E1568" t="s">
        <v>30</v>
      </c>
    </row>
    <row r="1569" spans="1:13" x14ac:dyDescent="0.2">
      <c r="C1569" t="b">
        <v>0</v>
      </c>
      <c r="D1569">
        <v>860.06</v>
      </c>
      <c r="E1569" t="s">
        <v>30</v>
      </c>
    </row>
    <row r="1570" spans="1:13" x14ac:dyDescent="0.2">
      <c r="B1570" t="s">
        <v>11</v>
      </c>
    </row>
    <row r="1571" spans="1:13" x14ac:dyDescent="0.2">
      <c r="B1571" t="s">
        <v>12</v>
      </c>
      <c r="C1571" t="s">
        <v>13</v>
      </c>
      <c r="D1571" t="s">
        <v>14</v>
      </c>
      <c r="E1571" t="s">
        <v>15</v>
      </c>
      <c r="F1571" t="s">
        <v>16</v>
      </c>
      <c r="G1571" t="s">
        <v>17</v>
      </c>
      <c r="H1571" t="s">
        <v>18</v>
      </c>
      <c r="I1571" t="s">
        <v>19</v>
      </c>
      <c r="J1571" t="s">
        <v>20</v>
      </c>
      <c r="K1571" t="s">
        <v>21</v>
      </c>
      <c r="L1571" t="s">
        <v>22</v>
      </c>
      <c r="M1571" t="s">
        <v>23</v>
      </c>
    </row>
    <row r="1572" spans="1:13" x14ac:dyDescent="0.2">
      <c r="B1572" t="s">
        <v>33</v>
      </c>
      <c r="C1572">
        <v>89</v>
      </c>
      <c r="E1572" t="s">
        <v>25</v>
      </c>
      <c r="F1572">
        <v>3714.91</v>
      </c>
      <c r="G1572">
        <v>8.1999999999999993</v>
      </c>
      <c r="K1572">
        <v>0.1</v>
      </c>
      <c r="L1572">
        <v>7</v>
      </c>
      <c r="M1572">
        <v>94.2</v>
      </c>
    </row>
    <row r="1573" spans="1:13" x14ac:dyDescent="0.2">
      <c r="C1573" t="s">
        <v>27</v>
      </c>
    </row>
    <row r="1574" spans="1:13" x14ac:dyDescent="0.2">
      <c r="C1574" t="s">
        <v>28</v>
      </c>
      <c r="D1574" t="s">
        <v>16</v>
      </c>
      <c r="E1574" t="s">
        <v>29</v>
      </c>
      <c r="F1574" t="s">
        <v>18</v>
      </c>
    </row>
    <row r="1575" spans="1:13" x14ac:dyDescent="0.2">
      <c r="C1575" t="b">
        <v>0</v>
      </c>
      <c r="D1575">
        <v>3160.44</v>
      </c>
      <c r="E1575" t="s">
        <v>30</v>
      </c>
    </row>
    <row r="1576" spans="1:13" x14ac:dyDescent="0.2">
      <c r="C1576" t="b">
        <v>0</v>
      </c>
      <c r="D1576">
        <v>3490.55</v>
      </c>
      <c r="E1576" t="s">
        <v>30</v>
      </c>
    </row>
    <row r="1577" spans="1:13" x14ac:dyDescent="0.2">
      <c r="C1577" t="b">
        <v>0</v>
      </c>
      <c r="D1577">
        <v>3880.69</v>
      </c>
      <c r="E1577" t="s">
        <v>30</v>
      </c>
    </row>
    <row r="1578" spans="1:13" x14ac:dyDescent="0.2">
      <c r="C1578" t="b">
        <v>0</v>
      </c>
      <c r="D1578">
        <v>3640.59</v>
      </c>
      <c r="E1578" t="s">
        <v>30</v>
      </c>
    </row>
    <row r="1579" spans="1:13" x14ac:dyDescent="0.2">
      <c r="C1579" t="b">
        <v>0</v>
      </c>
      <c r="D1579">
        <v>3860.66</v>
      </c>
      <c r="E1579" t="s">
        <v>30</v>
      </c>
    </row>
    <row r="1580" spans="1:13" x14ac:dyDescent="0.2">
      <c r="C1580" t="b">
        <v>0</v>
      </c>
      <c r="D1580">
        <v>3990.74</v>
      </c>
      <c r="E1580" t="s">
        <v>30</v>
      </c>
    </row>
    <row r="1581" spans="1:13" x14ac:dyDescent="0.2">
      <c r="C1581" t="b">
        <v>0</v>
      </c>
      <c r="D1581">
        <v>3980.72</v>
      </c>
      <c r="E1581" t="s">
        <v>30</v>
      </c>
    </row>
    <row r="1582" spans="1:13" x14ac:dyDescent="0.2">
      <c r="A1582" t="s">
        <v>0</v>
      </c>
    </row>
    <row r="1583" spans="1:13" x14ac:dyDescent="0.2"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</row>
    <row r="1584" spans="1:13" x14ac:dyDescent="0.2">
      <c r="A1584" t="s">
        <v>126</v>
      </c>
      <c r="B1584" t="b">
        <v>0</v>
      </c>
      <c r="C1584" t="s">
        <v>127</v>
      </c>
      <c r="D1584" t="s">
        <v>128</v>
      </c>
      <c r="E1584" t="s">
        <v>0</v>
      </c>
      <c r="G1584" t="s">
        <v>129</v>
      </c>
    </row>
    <row r="1585" spans="2:13" x14ac:dyDescent="0.2">
      <c r="B1585" t="s">
        <v>11</v>
      </c>
    </row>
    <row r="1586" spans="2:13" x14ac:dyDescent="0.2">
      <c r="B1586" t="s">
        <v>12</v>
      </c>
      <c r="C1586" t="s">
        <v>13</v>
      </c>
      <c r="D1586" t="s">
        <v>14</v>
      </c>
      <c r="E1586" t="s">
        <v>15</v>
      </c>
      <c r="F1586" t="s">
        <v>16</v>
      </c>
      <c r="G1586" t="s">
        <v>17</v>
      </c>
      <c r="H1586" t="s">
        <v>18</v>
      </c>
      <c r="I1586" t="s">
        <v>19</v>
      </c>
      <c r="J1586" t="s">
        <v>20</v>
      </c>
      <c r="K1586" t="s">
        <v>21</v>
      </c>
      <c r="L1586" t="s">
        <v>22</v>
      </c>
      <c r="M1586" t="s">
        <v>23</v>
      </c>
    </row>
    <row r="1587" spans="2:13" x14ac:dyDescent="0.2">
      <c r="B1587" t="s">
        <v>24</v>
      </c>
      <c r="C1587">
        <v>59</v>
      </c>
      <c r="E1587" t="s">
        <v>25</v>
      </c>
      <c r="F1587">
        <v>208780.63</v>
      </c>
      <c r="G1587">
        <v>0.5</v>
      </c>
      <c r="H1587">
        <v>9.2999999999999999E-2</v>
      </c>
      <c r="I1587" t="s">
        <v>26</v>
      </c>
      <c r="J1587">
        <v>0.5</v>
      </c>
      <c r="K1587">
        <v>0.1</v>
      </c>
      <c r="L1587">
        <v>7</v>
      </c>
    </row>
    <row r="1588" spans="2:13" x14ac:dyDescent="0.2">
      <c r="C1588" t="s">
        <v>27</v>
      </c>
    </row>
    <row r="1589" spans="2:13" x14ac:dyDescent="0.2">
      <c r="C1589" t="s">
        <v>28</v>
      </c>
      <c r="D1589" t="s">
        <v>16</v>
      </c>
      <c r="E1589" t="s">
        <v>29</v>
      </c>
      <c r="F1589" t="s">
        <v>18</v>
      </c>
    </row>
    <row r="1590" spans="2:13" x14ac:dyDescent="0.2">
      <c r="C1590" t="b">
        <v>0</v>
      </c>
      <c r="D1590">
        <v>210463.24</v>
      </c>
      <c r="E1590" t="s">
        <v>30</v>
      </c>
      <c r="F1590">
        <v>9.4E-2</v>
      </c>
    </row>
    <row r="1591" spans="2:13" x14ac:dyDescent="0.2">
      <c r="C1591" t="b">
        <v>0</v>
      </c>
      <c r="D1591">
        <v>208714.45</v>
      </c>
      <c r="E1591" t="s">
        <v>30</v>
      </c>
      <c r="F1591">
        <v>9.2999999999999999E-2</v>
      </c>
    </row>
    <row r="1592" spans="2:13" x14ac:dyDescent="0.2">
      <c r="C1592" t="b">
        <v>0</v>
      </c>
      <c r="D1592">
        <v>208322.11</v>
      </c>
      <c r="E1592" t="s">
        <v>30</v>
      </c>
      <c r="F1592">
        <v>9.2999999999999999E-2</v>
      </c>
    </row>
    <row r="1593" spans="2:13" x14ac:dyDescent="0.2">
      <c r="C1593" t="b">
        <v>0</v>
      </c>
      <c r="D1593">
        <v>209385.72</v>
      </c>
      <c r="E1593" t="s">
        <v>30</v>
      </c>
      <c r="F1593">
        <v>9.2999999999999999E-2</v>
      </c>
    </row>
    <row r="1594" spans="2:13" x14ac:dyDescent="0.2">
      <c r="C1594" t="b">
        <v>0</v>
      </c>
      <c r="D1594">
        <v>209053.71</v>
      </c>
      <c r="E1594" t="s">
        <v>30</v>
      </c>
      <c r="F1594">
        <v>9.2999999999999999E-2</v>
      </c>
    </row>
    <row r="1595" spans="2:13" x14ac:dyDescent="0.2">
      <c r="C1595" t="b">
        <v>0</v>
      </c>
      <c r="D1595">
        <v>207274.61</v>
      </c>
      <c r="E1595" t="s">
        <v>30</v>
      </c>
      <c r="F1595">
        <v>9.1999999999999998E-2</v>
      </c>
    </row>
    <row r="1596" spans="2:13" x14ac:dyDescent="0.2">
      <c r="C1596" t="b">
        <v>0</v>
      </c>
      <c r="D1596">
        <v>208250.58</v>
      </c>
      <c r="E1596" t="s">
        <v>30</v>
      </c>
      <c r="F1596">
        <v>9.2999999999999999E-2</v>
      </c>
    </row>
    <row r="1597" spans="2:13" x14ac:dyDescent="0.2">
      <c r="B1597" t="s">
        <v>11</v>
      </c>
    </row>
    <row r="1598" spans="2:13" x14ac:dyDescent="0.2">
      <c r="B1598" t="s">
        <v>12</v>
      </c>
      <c r="C1598" t="s">
        <v>13</v>
      </c>
      <c r="D1598" t="s">
        <v>14</v>
      </c>
      <c r="E1598" t="s">
        <v>15</v>
      </c>
      <c r="F1598" t="s">
        <v>16</v>
      </c>
      <c r="G1598" t="s">
        <v>17</v>
      </c>
      <c r="H1598" t="s">
        <v>18</v>
      </c>
      <c r="I1598" t="s">
        <v>19</v>
      </c>
      <c r="J1598" t="s">
        <v>20</v>
      </c>
      <c r="K1598" t="s">
        <v>21</v>
      </c>
      <c r="L1598" t="s">
        <v>22</v>
      </c>
      <c r="M1598" t="s">
        <v>23</v>
      </c>
    </row>
    <row r="1599" spans="2:13" x14ac:dyDescent="0.2">
      <c r="B1599" t="s">
        <v>31</v>
      </c>
      <c r="C1599">
        <v>45</v>
      </c>
      <c r="E1599" t="s">
        <v>25</v>
      </c>
      <c r="F1599">
        <v>1301.53</v>
      </c>
      <c r="G1599">
        <v>11.3</v>
      </c>
      <c r="K1599">
        <v>0.1</v>
      </c>
      <c r="L1599">
        <v>7</v>
      </c>
      <c r="M1599">
        <v>126</v>
      </c>
    </row>
    <row r="1600" spans="2:13" x14ac:dyDescent="0.2">
      <c r="C1600" t="s">
        <v>27</v>
      </c>
    </row>
    <row r="1601" spans="2:13" x14ac:dyDescent="0.2">
      <c r="C1601" t="s">
        <v>28</v>
      </c>
      <c r="D1601" t="s">
        <v>16</v>
      </c>
      <c r="E1601" t="s">
        <v>29</v>
      </c>
      <c r="F1601" t="s">
        <v>18</v>
      </c>
    </row>
    <row r="1602" spans="2:13" x14ac:dyDescent="0.2">
      <c r="C1602" t="b">
        <v>0</v>
      </c>
      <c r="D1602">
        <v>1260.0999999999999</v>
      </c>
      <c r="E1602" t="s">
        <v>30</v>
      </c>
    </row>
    <row r="1603" spans="2:13" x14ac:dyDescent="0.2">
      <c r="C1603" t="b">
        <v>0</v>
      </c>
      <c r="D1603">
        <v>1220.0999999999999</v>
      </c>
      <c r="E1603" t="s">
        <v>30</v>
      </c>
    </row>
    <row r="1604" spans="2:13" x14ac:dyDescent="0.2">
      <c r="C1604" t="b">
        <v>0</v>
      </c>
      <c r="D1604">
        <v>1280.0999999999999</v>
      </c>
      <c r="E1604" t="s">
        <v>30</v>
      </c>
    </row>
    <row r="1605" spans="2:13" x14ac:dyDescent="0.2">
      <c r="C1605" t="b">
        <v>0</v>
      </c>
      <c r="D1605">
        <v>1380.12</v>
      </c>
      <c r="E1605" t="s">
        <v>30</v>
      </c>
    </row>
    <row r="1606" spans="2:13" x14ac:dyDescent="0.2">
      <c r="C1606" t="b">
        <v>0</v>
      </c>
      <c r="D1606">
        <v>1050.07</v>
      </c>
      <c r="E1606" t="s">
        <v>30</v>
      </c>
    </row>
    <row r="1607" spans="2:13" x14ac:dyDescent="0.2">
      <c r="C1607" t="b">
        <v>0</v>
      </c>
      <c r="D1607">
        <v>1440.13</v>
      </c>
      <c r="E1607" t="s">
        <v>30</v>
      </c>
    </row>
    <row r="1608" spans="2:13" x14ac:dyDescent="0.2">
      <c r="C1608" t="b">
        <v>0</v>
      </c>
      <c r="D1608">
        <v>1480.12</v>
      </c>
      <c r="E1608" t="s">
        <v>30</v>
      </c>
    </row>
    <row r="1609" spans="2:13" x14ac:dyDescent="0.2">
      <c r="B1609" t="s">
        <v>11</v>
      </c>
    </row>
    <row r="1610" spans="2:13" x14ac:dyDescent="0.2">
      <c r="B1610" t="s">
        <v>12</v>
      </c>
      <c r="C1610" t="s">
        <v>13</v>
      </c>
      <c r="D1610" t="s">
        <v>14</v>
      </c>
      <c r="E1610" t="s">
        <v>15</v>
      </c>
      <c r="F1610" t="s">
        <v>16</v>
      </c>
      <c r="G1610" t="s">
        <v>17</v>
      </c>
      <c r="H1610" t="s">
        <v>18</v>
      </c>
      <c r="I1610" t="s">
        <v>19</v>
      </c>
      <c r="J1610" t="s">
        <v>20</v>
      </c>
      <c r="K1610" t="s">
        <v>21</v>
      </c>
      <c r="L1610" t="s">
        <v>22</v>
      </c>
      <c r="M1610" t="s">
        <v>23</v>
      </c>
    </row>
    <row r="1611" spans="2:13" x14ac:dyDescent="0.2">
      <c r="B1611" t="s">
        <v>32</v>
      </c>
      <c r="C1611">
        <v>72</v>
      </c>
      <c r="E1611" t="s">
        <v>25</v>
      </c>
      <c r="F1611">
        <v>691.47</v>
      </c>
      <c r="G1611">
        <v>16.5</v>
      </c>
      <c r="K1611">
        <v>0.1</v>
      </c>
      <c r="L1611">
        <v>7</v>
      </c>
      <c r="M1611">
        <v>92.7</v>
      </c>
    </row>
    <row r="1612" spans="2:13" x14ac:dyDescent="0.2">
      <c r="C1612" t="s">
        <v>27</v>
      </c>
    </row>
    <row r="1613" spans="2:13" x14ac:dyDescent="0.2">
      <c r="C1613" t="s">
        <v>28</v>
      </c>
      <c r="D1613" t="s">
        <v>16</v>
      </c>
      <c r="E1613" t="s">
        <v>29</v>
      </c>
      <c r="F1613" t="s">
        <v>18</v>
      </c>
    </row>
    <row r="1614" spans="2:13" x14ac:dyDescent="0.2">
      <c r="C1614" t="b">
        <v>0</v>
      </c>
      <c r="D1614">
        <v>540.03</v>
      </c>
      <c r="E1614" t="s">
        <v>30</v>
      </c>
    </row>
    <row r="1615" spans="2:13" x14ac:dyDescent="0.2">
      <c r="C1615" t="b">
        <v>0</v>
      </c>
      <c r="D1615">
        <v>770.05</v>
      </c>
      <c r="E1615" t="s">
        <v>30</v>
      </c>
    </row>
    <row r="1616" spans="2:13" x14ac:dyDescent="0.2">
      <c r="C1616" t="b">
        <v>0</v>
      </c>
      <c r="D1616">
        <v>710.05</v>
      </c>
      <c r="E1616" t="s">
        <v>30</v>
      </c>
    </row>
    <row r="1617" spans="2:13" x14ac:dyDescent="0.2">
      <c r="C1617" t="b">
        <v>0</v>
      </c>
      <c r="D1617">
        <v>520.02</v>
      </c>
      <c r="E1617" t="s">
        <v>30</v>
      </c>
    </row>
    <row r="1618" spans="2:13" x14ac:dyDescent="0.2">
      <c r="C1618" t="b">
        <v>0</v>
      </c>
      <c r="D1618">
        <v>760.05</v>
      </c>
      <c r="E1618" t="s">
        <v>30</v>
      </c>
    </row>
    <row r="1619" spans="2:13" x14ac:dyDescent="0.2">
      <c r="C1619" t="b">
        <v>0</v>
      </c>
      <c r="D1619">
        <v>740.05</v>
      </c>
      <c r="E1619" t="s">
        <v>30</v>
      </c>
    </row>
    <row r="1620" spans="2:13" x14ac:dyDescent="0.2">
      <c r="C1620" t="b">
        <v>0</v>
      </c>
      <c r="D1620">
        <v>800.06</v>
      </c>
      <c r="E1620" t="s">
        <v>30</v>
      </c>
    </row>
    <row r="1621" spans="2:13" x14ac:dyDescent="0.2">
      <c r="B1621" t="s">
        <v>11</v>
      </c>
    </row>
    <row r="1622" spans="2:13" x14ac:dyDescent="0.2">
      <c r="B1622" t="s">
        <v>12</v>
      </c>
      <c r="C1622" t="s">
        <v>13</v>
      </c>
      <c r="D1622" t="s">
        <v>14</v>
      </c>
      <c r="E1622" t="s">
        <v>15</v>
      </c>
      <c r="F1622" t="s">
        <v>16</v>
      </c>
      <c r="G1622" t="s">
        <v>17</v>
      </c>
      <c r="H1622" t="s">
        <v>18</v>
      </c>
      <c r="I1622" t="s">
        <v>19</v>
      </c>
      <c r="J1622" t="s">
        <v>20</v>
      </c>
      <c r="K1622" t="s">
        <v>21</v>
      </c>
      <c r="L1622" t="s">
        <v>22</v>
      </c>
      <c r="M1622" t="s">
        <v>23</v>
      </c>
    </row>
    <row r="1623" spans="2:13" x14ac:dyDescent="0.2">
      <c r="B1623" t="s">
        <v>33</v>
      </c>
      <c r="C1623">
        <v>89</v>
      </c>
      <c r="E1623" t="s">
        <v>25</v>
      </c>
      <c r="F1623">
        <v>3594.88</v>
      </c>
      <c r="G1623">
        <v>6.5</v>
      </c>
      <c r="K1623">
        <v>0.1</v>
      </c>
      <c r="L1623">
        <v>7</v>
      </c>
      <c r="M1623">
        <v>91.1</v>
      </c>
    </row>
    <row r="1624" spans="2:13" x14ac:dyDescent="0.2">
      <c r="C1624" t="s">
        <v>27</v>
      </c>
    </row>
    <row r="1625" spans="2:13" x14ac:dyDescent="0.2">
      <c r="C1625" t="s">
        <v>28</v>
      </c>
      <c r="D1625" t="s">
        <v>16</v>
      </c>
      <c r="E1625" t="s">
        <v>29</v>
      </c>
      <c r="F1625" t="s">
        <v>18</v>
      </c>
    </row>
    <row r="1626" spans="2:13" x14ac:dyDescent="0.2">
      <c r="C1626" t="b">
        <v>0</v>
      </c>
      <c r="D1626">
        <v>3300.5</v>
      </c>
      <c r="E1626" t="s">
        <v>30</v>
      </c>
    </row>
    <row r="1627" spans="2:13" x14ac:dyDescent="0.2">
      <c r="C1627" t="b">
        <v>0</v>
      </c>
      <c r="D1627">
        <v>3610.63</v>
      </c>
      <c r="E1627" t="s">
        <v>30</v>
      </c>
    </row>
    <row r="1628" spans="2:13" x14ac:dyDescent="0.2">
      <c r="C1628" t="b">
        <v>0</v>
      </c>
      <c r="D1628">
        <v>3720.61</v>
      </c>
      <c r="E1628" t="s">
        <v>30</v>
      </c>
    </row>
    <row r="1629" spans="2:13" x14ac:dyDescent="0.2">
      <c r="C1629" t="b">
        <v>0</v>
      </c>
      <c r="D1629">
        <v>3270.51</v>
      </c>
      <c r="E1629" t="s">
        <v>30</v>
      </c>
    </row>
    <row r="1630" spans="2:13" x14ac:dyDescent="0.2">
      <c r="C1630" t="b">
        <v>0</v>
      </c>
      <c r="D1630">
        <v>3880.68</v>
      </c>
      <c r="E1630" t="s">
        <v>30</v>
      </c>
    </row>
    <row r="1631" spans="2:13" x14ac:dyDescent="0.2">
      <c r="C1631" t="b">
        <v>0</v>
      </c>
      <c r="D1631">
        <v>3600.59</v>
      </c>
      <c r="E1631" t="s">
        <v>30</v>
      </c>
    </row>
    <row r="1632" spans="2:13" x14ac:dyDescent="0.2">
      <c r="C1632" t="b">
        <v>0</v>
      </c>
      <c r="D1632">
        <v>3780.64</v>
      </c>
      <c r="E1632" t="s">
        <v>30</v>
      </c>
    </row>
    <row r="1633" spans="1:13" x14ac:dyDescent="0.2">
      <c r="A1633" t="s">
        <v>0</v>
      </c>
    </row>
    <row r="1634" spans="1:13" x14ac:dyDescent="0.2"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</row>
    <row r="1635" spans="1:13" x14ac:dyDescent="0.2">
      <c r="B1635" t="b">
        <v>0</v>
      </c>
      <c r="C1635" t="s">
        <v>130</v>
      </c>
      <c r="D1635" t="s">
        <v>131</v>
      </c>
      <c r="E1635" t="s">
        <v>0</v>
      </c>
      <c r="G1635" t="s">
        <v>132</v>
      </c>
    </row>
    <row r="1636" spans="1:13" x14ac:dyDescent="0.2">
      <c r="B1636" t="s">
        <v>11</v>
      </c>
    </row>
    <row r="1637" spans="1:13" x14ac:dyDescent="0.2">
      <c r="B1637" t="s">
        <v>12</v>
      </c>
      <c r="C1637" t="s">
        <v>13</v>
      </c>
      <c r="D1637" t="s">
        <v>14</v>
      </c>
      <c r="E1637" t="s">
        <v>15</v>
      </c>
      <c r="F1637" t="s">
        <v>16</v>
      </c>
      <c r="G1637" t="s">
        <v>17</v>
      </c>
      <c r="H1637" t="s">
        <v>18</v>
      </c>
      <c r="I1637" t="s">
        <v>19</v>
      </c>
      <c r="J1637" t="s">
        <v>20</v>
      </c>
      <c r="K1637" t="s">
        <v>21</v>
      </c>
      <c r="L1637" t="s">
        <v>22</v>
      </c>
      <c r="M1637" t="s">
        <v>23</v>
      </c>
    </row>
    <row r="1638" spans="1:13" x14ac:dyDescent="0.2">
      <c r="B1638" t="s">
        <v>24</v>
      </c>
      <c r="C1638">
        <v>59</v>
      </c>
      <c r="E1638" t="s">
        <v>25</v>
      </c>
      <c r="F1638">
        <v>204463.66</v>
      </c>
      <c r="G1638">
        <v>0.7</v>
      </c>
      <c r="H1638">
        <v>9.0999999999999998E-2</v>
      </c>
      <c r="I1638" t="s">
        <v>26</v>
      </c>
      <c r="J1638">
        <v>0.7</v>
      </c>
      <c r="K1638">
        <v>0.1</v>
      </c>
      <c r="L1638">
        <v>7</v>
      </c>
    </row>
    <row r="1639" spans="1:13" x14ac:dyDescent="0.2">
      <c r="C1639" t="s">
        <v>27</v>
      </c>
    </row>
    <row r="1640" spans="1:13" x14ac:dyDescent="0.2">
      <c r="C1640" t="s">
        <v>28</v>
      </c>
      <c r="D1640" t="s">
        <v>16</v>
      </c>
      <c r="E1640" t="s">
        <v>29</v>
      </c>
      <c r="F1640" t="s">
        <v>18</v>
      </c>
    </row>
    <row r="1641" spans="1:13" x14ac:dyDescent="0.2">
      <c r="C1641" t="b">
        <v>0</v>
      </c>
      <c r="D1641">
        <v>203430.91</v>
      </c>
      <c r="E1641" t="s">
        <v>30</v>
      </c>
      <c r="F1641">
        <v>0.09</v>
      </c>
    </row>
    <row r="1642" spans="1:13" x14ac:dyDescent="0.2">
      <c r="C1642" t="b">
        <v>0</v>
      </c>
      <c r="D1642">
        <v>203463.2</v>
      </c>
      <c r="E1642" t="s">
        <v>30</v>
      </c>
      <c r="F1642">
        <v>0.09</v>
      </c>
    </row>
    <row r="1643" spans="1:13" x14ac:dyDescent="0.2">
      <c r="C1643" t="b">
        <v>0</v>
      </c>
      <c r="D1643">
        <v>206853.38</v>
      </c>
      <c r="E1643" t="s">
        <v>30</v>
      </c>
      <c r="F1643">
        <v>9.1999999999999998E-2</v>
      </c>
    </row>
    <row r="1644" spans="1:13" x14ac:dyDescent="0.2">
      <c r="C1644" t="b">
        <v>0</v>
      </c>
      <c r="D1644">
        <v>205914.9</v>
      </c>
      <c r="E1644" t="s">
        <v>30</v>
      </c>
      <c r="F1644">
        <v>9.1999999999999998E-2</v>
      </c>
    </row>
    <row r="1645" spans="1:13" x14ac:dyDescent="0.2">
      <c r="C1645" t="b">
        <v>0</v>
      </c>
      <c r="D1645">
        <v>204883.86</v>
      </c>
      <c r="E1645" t="s">
        <v>30</v>
      </c>
      <c r="F1645">
        <v>9.0999999999999998E-2</v>
      </c>
    </row>
    <row r="1646" spans="1:13" x14ac:dyDescent="0.2">
      <c r="C1646" t="b">
        <v>0</v>
      </c>
      <c r="D1646">
        <v>204189.39</v>
      </c>
      <c r="E1646" t="s">
        <v>30</v>
      </c>
      <c r="F1646">
        <v>9.0999999999999998E-2</v>
      </c>
    </row>
    <row r="1647" spans="1:13" x14ac:dyDescent="0.2">
      <c r="C1647" t="b">
        <v>0</v>
      </c>
      <c r="D1647">
        <v>202509.98</v>
      </c>
      <c r="E1647" t="s">
        <v>30</v>
      </c>
      <c r="F1647">
        <v>0.09</v>
      </c>
    </row>
    <row r="1648" spans="1:13" x14ac:dyDescent="0.2">
      <c r="B1648" t="s">
        <v>11</v>
      </c>
    </row>
    <row r="1649" spans="2:13" x14ac:dyDescent="0.2">
      <c r="B1649" t="s">
        <v>12</v>
      </c>
      <c r="C1649" t="s">
        <v>13</v>
      </c>
      <c r="D1649" t="s">
        <v>14</v>
      </c>
      <c r="E1649" t="s">
        <v>15</v>
      </c>
      <c r="F1649" t="s">
        <v>16</v>
      </c>
      <c r="G1649" t="s">
        <v>17</v>
      </c>
      <c r="H1649" t="s">
        <v>18</v>
      </c>
      <c r="I1649" t="s">
        <v>19</v>
      </c>
      <c r="J1649" t="s">
        <v>20</v>
      </c>
      <c r="K1649" t="s">
        <v>21</v>
      </c>
      <c r="L1649" t="s">
        <v>22</v>
      </c>
      <c r="M1649" t="s">
        <v>23</v>
      </c>
    </row>
    <row r="1650" spans="2:13" x14ac:dyDescent="0.2">
      <c r="B1650" t="s">
        <v>31</v>
      </c>
      <c r="C1650">
        <v>45</v>
      </c>
      <c r="E1650" t="s">
        <v>25</v>
      </c>
      <c r="F1650">
        <v>1125.8</v>
      </c>
      <c r="G1650">
        <v>13.3</v>
      </c>
      <c r="K1650">
        <v>0.1</v>
      </c>
      <c r="L1650">
        <v>7</v>
      </c>
      <c r="M1650">
        <v>109</v>
      </c>
    </row>
    <row r="1651" spans="2:13" x14ac:dyDescent="0.2">
      <c r="C1651" t="s">
        <v>27</v>
      </c>
    </row>
    <row r="1652" spans="2:13" x14ac:dyDescent="0.2">
      <c r="C1652" t="s">
        <v>28</v>
      </c>
      <c r="D1652" t="s">
        <v>16</v>
      </c>
      <c r="E1652" t="s">
        <v>29</v>
      </c>
      <c r="F1652" t="s">
        <v>18</v>
      </c>
    </row>
    <row r="1653" spans="2:13" x14ac:dyDescent="0.2">
      <c r="C1653" t="b">
        <v>0</v>
      </c>
      <c r="D1653">
        <v>1020.07</v>
      </c>
      <c r="E1653" t="s">
        <v>30</v>
      </c>
    </row>
    <row r="1654" spans="2:13" x14ac:dyDescent="0.2">
      <c r="C1654" t="b">
        <v>0</v>
      </c>
      <c r="D1654">
        <v>960.06</v>
      </c>
      <c r="E1654" t="s">
        <v>30</v>
      </c>
    </row>
    <row r="1655" spans="2:13" x14ac:dyDescent="0.2">
      <c r="C1655" t="b">
        <v>0</v>
      </c>
      <c r="D1655">
        <v>1100.0899999999999</v>
      </c>
      <c r="E1655" t="s">
        <v>30</v>
      </c>
    </row>
    <row r="1656" spans="2:13" x14ac:dyDescent="0.2">
      <c r="C1656" t="b">
        <v>0</v>
      </c>
      <c r="D1656">
        <v>1010.07</v>
      </c>
      <c r="E1656" t="s">
        <v>30</v>
      </c>
    </row>
    <row r="1657" spans="2:13" x14ac:dyDescent="0.2">
      <c r="C1657" t="b">
        <v>0</v>
      </c>
      <c r="D1657">
        <v>1300.1099999999999</v>
      </c>
      <c r="E1657" t="s">
        <v>30</v>
      </c>
    </row>
    <row r="1658" spans="2:13" x14ac:dyDescent="0.2">
      <c r="C1658" t="b">
        <v>0</v>
      </c>
      <c r="D1658">
        <v>1350.12</v>
      </c>
      <c r="E1658" t="s">
        <v>30</v>
      </c>
    </row>
    <row r="1659" spans="2:13" x14ac:dyDescent="0.2">
      <c r="C1659" t="b">
        <v>0</v>
      </c>
      <c r="D1659">
        <v>1140.0899999999999</v>
      </c>
      <c r="E1659" t="s">
        <v>30</v>
      </c>
    </row>
    <row r="1660" spans="2:13" x14ac:dyDescent="0.2">
      <c r="B1660" t="s">
        <v>11</v>
      </c>
    </row>
    <row r="1661" spans="2:13" x14ac:dyDescent="0.2">
      <c r="B1661" t="s">
        <v>12</v>
      </c>
      <c r="C1661" t="s">
        <v>13</v>
      </c>
      <c r="D1661" t="s">
        <v>14</v>
      </c>
      <c r="E1661" t="s">
        <v>15</v>
      </c>
      <c r="F1661" t="s">
        <v>16</v>
      </c>
      <c r="G1661" t="s">
        <v>17</v>
      </c>
      <c r="H1661" t="s">
        <v>18</v>
      </c>
      <c r="I1661" t="s">
        <v>19</v>
      </c>
      <c r="J1661" t="s">
        <v>20</v>
      </c>
      <c r="K1661" t="s">
        <v>21</v>
      </c>
      <c r="L1661" t="s">
        <v>22</v>
      </c>
      <c r="M1661" t="s">
        <v>23</v>
      </c>
    </row>
    <row r="1662" spans="2:13" x14ac:dyDescent="0.2">
      <c r="B1662" t="s">
        <v>32</v>
      </c>
      <c r="C1662">
        <v>72</v>
      </c>
      <c r="E1662" t="s">
        <v>25</v>
      </c>
      <c r="F1662">
        <v>790.05</v>
      </c>
      <c r="G1662">
        <v>11.1</v>
      </c>
      <c r="K1662">
        <v>0.1</v>
      </c>
      <c r="L1662">
        <v>7</v>
      </c>
      <c r="M1662">
        <v>105.9</v>
      </c>
    </row>
    <row r="1663" spans="2:13" x14ac:dyDescent="0.2">
      <c r="C1663" t="s">
        <v>27</v>
      </c>
    </row>
    <row r="1664" spans="2:13" x14ac:dyDescent="0.2">
      <c r="C1664" t="s">
        <v>28</v>
      </c>
      <c r="D1664" t="s">
        <v>16</v>
      </c>
      <c r="E1664" t="s">
        <v>29</v>
      </c>
      <c r="F1664" t="s">
        <v>18</v>
      </c>
    </row>
    <row r="1665" spans="2:13" x14ac:dyDescent="0.2">
      <c r="C1665" t="b">
        <v>0</v>
      </c>
      <c r="D1665">
        <v>750.04</v>
      </c>
      <c r="E1665" t="s">
        <v>30</v>
      </c>
    </row>
    <row r="1666" spans="2:13" x14ac:dyDescent="0.2">
      <c r="C1666" t="b">
        <v>0</v>
      </c>
      <c r="D1666">
        <v>800.05</v>
      </c>
      <c r="E1666" t="s">
        <v>30</v>
      </c>
    </row>
    <row r="1667" spans="2:13" x14ac:dyDescent="0.2">
      <c r="C1667" t="b">
        <v>0</v>
      </c>
      <c r="D1667">
        <v>820.06</v>
      </c>
      <c r="E1667" t="s">
        <v>30</v>
      </c>
    </row>
    <row r="1668" spans="2:13" x14ac:dyDescent="0.2">
      <c r="C1668" t="b">
        <v>0</v>
      </c>
      <c r="D1668">
        <v>650.04</v>
      </c>
      <c r="E1668" t="s">
        <v>30</v>
      </c>
    </row>
    <row r="1669" spans="2:13" x14ac:dyDescent="0.2">
      <c r="C1669" t="b">
        <v>0</v>
      </c>
      <c r="D1669">
        <v>760.05</v>
      </c>
      <c r="E1669" t="s">
        <v>30</v>
      </c>
    </row>
    <row r="1670" spans="2:13" x14ac:dyDescent="0.2">
      <c r="C1670" t="b">
        <v>0</v>
      </c>
      <c r="D1670">
        <v>810.05</v>
      </c>
      <c r="E1670" t="s">
        <v>30</v>
      </c>
    </row>
    <row r="1671" spans="2:13" x14ac:dyDescent="0.2">
      <c r="C1671" t="b">
        <v>0</v>
      </c>
      <c r="D1671">
        <v>940.07</v>
      </c>
      <c r="E1671" t="s">
        <v>30</v>
      </c>
    </row>
    <row r="1672" spans="2:13" x14ac:dyDescent="0.2">
      <c r="B1672" t="s">
        <v>11</v>
      </c>
    </row>
    <row r="1673" spans="2:13" x14ac:dyDescent="0.2">
      <c r="B1673" t="s">
        <v>12</v>
      </c>
      <c r="C1673" t="s">
        <v>13</v>
      </c>
      <c r="D1673" t="s">
        <v>14</v>
      </c>
      <c r="E1673" t="s">
        <v>15</v>
      </c>
      <c r="F1673" t="s">
        <v>16</v>
      </c>
      <c r="G1673" t="s">
        <v>17</v>
      </c>
      <c r="H1673" t="s">
        <v>18</v>
      </c>
      <c r="I1673" t="s">
        <v>19</v>
      </c>
      <c r="J1673" t="s">
        <v>20</v>
      </c>
      <c r="K1673" t="s">
        <v>21</v>
      </c>
      <c r="L1673" t="s">
        <v>22</v>
      </c>
      <c r="M1673" t="s">
        <v>23</v>
      </c>
    </row>
    <row r="1674" spans="2:13" x14ac:dyDescent="0.2">
      <c r="B1674" t="s">
        <v>33</v>
      </c>
      <c r="C1674">
        <v>89</v>
      </c>
      <c r="E1674" t="s">
        <v>25</v>
      </c>
      <c r="F1674">
        <v>4012.16</v>
      </c>
      <c r="G1674">
        <v>4.7</v>
      </c>
      <c r="K1674">
        <v>0.1</v>
      </c>
      <c r="L1674">
        <v>7</v>
      </c>
      <c r="M1674">
        <v>101.7</v>
      </c>
    </row>
    <row r="1675" spans="2:13" x14ac:dyDescent="0.2">
      <c r="C1675" t="s">
        <v>27</v>
      </c>
    </row>
    <row r="1676" spans="2:13" x14ac:dyDescent="0.2">
      <c r="C1676" t="s">
        <v>28</v>
      </c>
      <c r="D1676" t="s">
        <v>16</v>
      </c>
      <c r="E1676" t="s">
        <v>29</v>
      </c>
      <c r="F1676" t="s">
        <v>18</v>
      </c>
    </row>
    <row r="1677" spans="2:13" x14ac:dyDescent="0.2">
      <c r="C1677" t="b">
        <v>0</v>
      </c>
      <c r="D1677">
        <v>4050.75</v>
      </c>
      <c r="E1677" t="s">
        <v>30</v>
      </c>
    </row>
    <row r="1678" spans="2:13" x14ac:dyDescent="0.2">
      <c r="C1678" t="b">
        <v>0</v>
      </c>
      <c r="D1678">
        <v>4030.75</v>
      </c>
      <c r="E1678" t="s">
        <v>30</v>
      </c>
    </row>
    <row r="1679" spans="2:13" x14ac:dyDescent="0.2">
      <c r="C1679" t="b">
        <v>0</v>
      </c>
      <c r="D1679">
        <v>4160.78</v>
      </c>
      <c r="E1679" t="s">
        <v>30</v>
      </c>
    </row>
    <row r="1680" spans="2:13" x14ac:dyDescent="0.2">
      <c r="C1680" t="b">
        <v>0</v>
      </c>
      <c r="D1680">
        <v>4120.8</v>
      </c>
      <c r="E1680" t="s">
        <v>30</v>
      </c>
    </row>
    <row r="1681" spans="1:13" x14ac:dyDescent="0.2">
      <c r="C1681" t="b">
        <v>0</v>
      </c>
      <c r="D1681">
        <v>3890.66</v>
      </c>
      <c r="E1681" t="s">
        <v>30</v>
      </c>
    </row>
    <row r="1682" spans="1:13" x14ac:dyDescent="0.2">
      <c r="C1682" t="b">
        <v>0</v>
      </c>
      <c r="D1682">
        <v>3650.62</v>
      </c>
      <c r="E1682" t="s">
        <v>30</v>
      </c>
    </row>
    <row r="1683" spans="1:13" x14ac:dyDescent="0.2">
      <c r="C1683" t="b">
        <v>0</v>
      </c>
      <c r="D1683">
        <v>4180.76</v>
      </c>
      <c r="E1683" t="s">
        <v>30</v>
      </c>
    </row>
    <row r="1684" spans="1:13" x14ac:dyDescent="0.2">
      <c r="A1684" t="s">
        <v>0</v>
      </c>
    </row>
    <row r="1685" spans="1:13" x14ac:dyDescent="0.2"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</row>
    <row r="1686" spans="1:13" x14ac:dyDescent="0.2">
      <c r="A1686" t="s">
        <v>133</v>
      </c>
      <c r="B1686" t="b">
        <v>0</v>
      </c>
      <c r="C1686" t="s">
        <v>134</v>
      </c>
      <c r="D1686" t="s">
        <v>135</v>
      </c>
      <c r="E1686" t="s">
        <v>0</v>
      </c>
      <c r="G1686" t="s">
        <v>136</v>
      </c>
    </row>
    <row r="1687" spans="1:13" x14ac:dyDescent="0.2">
      <c r="B1687" t="s">
        <v>11</v>
      </c>
    </row>
    <row r="1688" spans="1:13" x14ac:dyDescent="0.2">
      <c r="B1688" t="s">
        <v>12</v>
      </c>
      <c r="C1688" t="s">
        <v>13</v>
      </c>
      <c r="D1688" t="s">
        <v>14</v>
      </c>
      <c r="E1688" t="s">
        <v>15</v>
      </c>
      <c r="F1688" t="s">
        <v>16</v>
      </c>
      <c r="G1688" t="s">
        <v>17</v>
      </c>
      <c r="H1688" t="s">
        <v>18</v>
      </c>
      <c r="I1688" t="s">
        <v>19</v>
      </c>
      <c r="J1688" t="s">
        <v>20</v>
      </c>
      <c r="K1688" t="s">
        <v>21</v>
      </c>
      <c r="L1688" t="s">
        <v>22</v>
      </c>
      <c r="M1688" t="s">
        <v>23</v>
      </c>
    </row>
    <row r="1689" spans="1:13" x14ac:dyDescent="0.2">
      <c r="B1689" t="s">
        <v>24</v>
      </c>
      <c r="C1689">
        <v>59</v>
      </c>
      <c r="E1689" t="s">
        <v>25</v>
      </c>
      <c r="F1689">
        <v>216922.52</v>
      </c>
      <c r="G1689">
        <v>2</v>
      </c>
      <c r="H1689">
        <v>9.6000000000000002E-2</v>
      </c>
      <c r="I1689" t="s">
        <v>26</v>
      </c>
      <c r="J1689">
        <v>2</v>
      </c>
      <c r="K1689">
        <v>0.1</v>
      </c>
      <c r="L1689">
        <v>7</v>
      </c>
    </row>
    <row r="1690" spans="1:13" x14ac:dyDescent="0.2">
      <c r="C1690" t="s">
        <v>27</v>
      </c>
    </row>
    <row r="1691" spans="1:13" x14ac:dyDescent="0.2">
      <c r="C1691" t="s">
        <v>28</v>
      </c>
      <c r="D1691" t="s">
        <v>16</v>
      </c>
      <c r="E1691" t="s">
        <v>29</v>
      </c>
      <c r="F1691" t="s">
        <v>18</v>
      </c>
    </row>
    <row r="1692" spans="1:13" x14ac:dyDescent="0.2">
      <c r="C1692" t="b">
        <v>0</v>
      </c>
      <c r="D1692">
        <v>222850.97</v>
      </c>
      <c r="E1692" t="s">
        <v>30</v>
      </c>
      <c r="F1692">
        <v>9.9000000000000005E-2</v>
      </c>
    </row>
    <row r="1693" spans="1:13" x14ac:dyDescent="0.2">
      <c r="C1693" t="b">
        <v>0</v>
      </c>
      <c r="D1693">
        <v>221461.83</v>
      </c>
      <c r="E1693" t="s">
        <v>30</v>
      </c>
      <c r="F1693">
        <v>9.8000000000000004E-2</v>
      </c>
    </row>
    <row r="1694" spans="1:13" x14ac:dyDescent="0.2">
      <c r="C1694" t="b">
        <v>0</v>
      </c>
      <c r="D1694">
        <v>213997.48</v>
      </c>
      <c r="E1694" t="s">
        <v>30</v>
      </c>
      <c r="F1694">
        <v>9.5000000000000001E-2</v>
      </c>
    </row>
    <row r="1695" spans="1:13" x14ac:dyDescent="0.2">
      <c r="C1695" t="b">
        <v>0</v>
      </c>
      <c r="D1695">
        <v>210288.32</v>
      </c>
      <c r="E1695" t="s">
        <v>30</v>
      </c>
      <c r="F1695">
        <v>9.4E-2</v>
      </c>
    </row>
    <row r="1696" spans="1:13" x14ac:dyDescent="0.2">
      <c r="C1696" t="b">
        <v>0</v>
      </c>
      <c r="D1696">
        <v>217725.41</v>
      </c>
      <c r="E1696" t="s">
        <v>30</v>
      </c>
      <c r="F1696">
        <v>9.7000000000000003E-2</v>
      </c>
    </row>
    <row r="1697" spans="2:13" x14ac:dyDescent="0.2">
      <c r="C1697" t="b">
        <v>0</v>
      </c>
      <c r="D1697">
        <v>217560.06</v>
      </c>
      <c r="E1697" t="s">
        <v>30</v>
      </c>
      <c r="F1697">
        <v>9.7000000000000003E-2</v>
      </c>
    </row>
    <row r="1698" spans="2:13" x14ac:dyDescent="0.2">
      <c r="C1698" t="b">
        <v>0</v>
      </c>
      <c r="D1698">
        <v>214573.59</v>
      </c>
      <c r="E1698" t="s">
        <v>30</v>
      </c>
      <c r="F1698">
        <v>9.5000000000000001E-2</v>
      </c>
    </row>
    <row r="1699" spans="2:13" x14ac:dyDescent="0.2">
      <c r="B1699" t="s">
        <v>11</v>
      </c>
    </row>
    <row r="1700" spans="2:13" x14ac:dyDescent="0.2">
      <c r="B1700" t="s">
        <v>12</v>
      </c>
      <c r="C1700" t="s">
        <v>13</v>
      </c>
      <c r="D1700" t="s">
        <v>14</v>
      </c>
      <c r="E1700" t="s">
        <v>15</v>
      </c>
      <c r="F1700" t="s">
        <v>16</v>
      </c>
      <c r="G1700" t="s">
        <v>17</v>
      </c>
      <c r="H1700" t="s">
        <v>18</v>
      </c>
      <c r="I1700" t="s">
        <v>19</v>
      </c>
      <c r="J1700" t="s">
        <v>20</v>
      </c>
      <c r="K1700" t="s">
        <v>21</v>
      </c>
      <c r="L1700" t="s">
        <v>22</v>
      </c>
      <c r="M1700" t="s">
        <v>23</v>
      </c>
    </row>
    <row r="1701" spans="2:13" x14ac:dyDescent="0.2">
      <c r="B1701" t="s">
        <v>31</v>
      </c>
      <c r="C1701">
        <v>45</v>
      </c>
      <c r="E1701" t="s">
        <v>25</v>
      </c>
      <c r="F1701">
        <v>1260.0999999999999</v>
      </c>
      <c r="G1701">
        <v>9.6</v>
      </c>
      <c r="K1701">
        <v>0.1</v>
      </c>
      <c r="L1701">
        <v>7</v>
      </c>
      <c r="M1701">
        <v>122</v>
      </c>
    </row>
    <row r="1702" spans="2:13" x14ac:dyDescent="0.2">
      <c r="C1702" t="s">
        <v>27</v>
      </c>
    </row>
    <row r="1703" spans="2:13" x14ac:dyDescent="0.2">
      <c r="C1703" t="s">
        <v>28</v>
      </c>
      <c r="D1703" t="s">
        <v>16</v>
      </c>
      <c r="E1703" t="s">
        <v>29</v>
      </c>
      <c r="F1703" t="s">
        <v>18</v>
      </c>
    </row>
    <row r="1704" spans="2:13" x14ac:dyDescent="0.2">
      <c r="C1704" t="b">
        <v>0</v>
      </c>
      <c r="D1704">
        <v>1300.1099999999999</v>
      </c>
      <c r="E1704" t="s">
        <v>30</v>
      </c>
    </row>
    <row r="1705" spans="2:13" x14ac:dyDescent="0.2">
      <c r="C1705" t="b">
        <v>0</v>
      </c>
      <c r="D1705">
        <v>1100.08</v>
      </c>
      <c r="E1705" t="s">
        <v>30</v>
      </c>
    </row>
    <row r="1706" spans="2:13" x14ac:dyDescent="0.2">
      <c r="C1706" t="b">
        <v>0</v>
      </c>
      <c r="D1706">
        <v>1420.12</v>
      </c>
      <c r="E1706" t="s">
        <v>30</v>
      </c>
    </row>
    <row r="1707" spans="2:13" x14ac:dyDescent="0.2">
      <c r="C1707" t="b">
        <v>0</v>
      </c>
      <c r="D1707">
        <v>1170.0999999999999</v>
      </c>
      <c r="E1707" t="s">
        <v>30</v>
      </c>
    </row>
    <row r="1708" spans="2:13" x14ac:dyDescent="0.2">
      <c r="C1708" t="b">
        <v>0</v>
      </c>
      <c r="D1708">
        <v>1180.0899999999999</v>
      </c>
      <c r="E1708" t="s">
        <v>30</v>
      </c>
    </row>
    <row r="1709" spans="2:13" x14ac:dyDescent="0.2">
      <c r="C1709" t="b">
        <v>0</v>
      </c>
      <c r="D1709">
        <v>1400.11</v>
      </c>
      <c r="E1709" t="s">
        <v>30</v>
      </c>
    </row>
    <row r="1710" spans="2:13" x14ac:dyDescent="0.2">
      <c r="C1710" t="b">
        <v>0</v>
      </c>
      <c r="D1710">
        <v>1250.1099999999999</v>
      </c>
      <c r="E1710" t="s">
        <v>30</v>
      </c>
    </row>
    <row r="1711" spans="2:13" x14ac:dyDescent="0.2">
      <c r="B1711" t="s">
        <v>11</v>
      </c>
    </row>
    <row r="1712" spans="2:13" x14ac:dyDescent="0.2">
      <c r="B1712" t="s">
        <v>12</v>
      </c>
      <c r="C1712" t="s">
        <v>13</v>
      </c>
      <c r="D1712" t="s">
        <v>14</v>
      </c>
      <c r="E1712" t="s">
        <v>15</v>
      </c>
      <c r="F1712" t="s">
        <v>16</v>
      </c>
      <c r="G1712" t="s">
        <v>17</v>
      </c>
      <c r="H1712" t="s">
        <v>18</v>
      </c>
      <c r="I1712" t="s">
        <v>19</v>
      </c>
      <c r="J1712" t="s">
        <v>20</v>
      </c>
      <c r="K1712" t="s">
        <v>21</v>
      </c>
      <c r="L1712" t="s">
        <v>22</v>
      </c>
      <c r="M1712" t="s">
        <v>23</v>
      </c>
    </row>
    <row r="1713" spans="2:13" x14ac:dyDescent="0.2">
      <c r="B1713" t="s">
        <v>32</v>
      </c>
      <c r="C1713">
        <v>72</v>
      </c>
      <c r="E1713" t="s">
        <v>25</v>
      </c>
      <c r="F1713">
        <v>822.91</v>
      </c>
      <c r="G1713">
        <v>12.5</v>
      </c>
      <c r="K1713">
        <v>0.1</v>
      </c>
      <c r="L1713">
        <v>7</v>
      </c>
      <c r="M1713">
        <v>110.3</v>
      </c>
    </row>
    <row r="1714" spans="2:13" x14ac:dyDescent="0.2">
      <c r="C1714" t="s">
        <v>27</v>
      </c>
    </row>
    <row r="1715" spans="2:13" x14ac:dyDescent="0.2">
      <c r="C1715" t="s">
        <v>28</v>
      </c>
      <c r="D1715" t="s">
        <v>16</v>
      </c>
      <c r="E1715" t="s">
        <v>29</v>
      </c>
      <c r="F1715" t="s">
        <v>18</v>
      </c>
    </row>
    <row r="1716" spans="2:13" x14ac:dyDescent="0.2">
      <c r="C1716" t="b">
        <v>0</v>
      </c>
      <c r="D1716">
        <v>750.04</v>
      </c>
      <c r="E1716" t="s">
        <v>30</v>
      </c>
    </row>
    <row r="1717" spans="2:13" x14ac:dyDescent="0.2">
      <c r="C1717" t="b">
        <v>0</v>
      </c>
      <c r="D1717">
        <v>910.07</v>
      </c>
      <c r="E1717" t="s">
        <v>30</v>
      </c>
    </row>
    <row r="1718" spans="2:13" x14ac:dyDescent="0.2">
      <c r="C1718" t="b">
        <v>0</v>
      </c>
      <c r="D1718">
        <v>750.05</v>
      </c>
      <c r="E1718" t="s">
        <v>30</v>
      </c>
    </row>
    <row r="1719" spans="2:13" x14ac:dyDescent="0.2">
      <c r="C1719" t="b">
        <v>0</v>
      </c>
      <c r="D1719">
        <v>830.06</v>
      </c>
      <c r="E1719" t="s">
        <v>30</v>
      </c>
    </row>
    <row r="1720" spans="2:13" x14ac:dyDescent="0.2">
      <c r="C1720" t="b">
        <v>0</v>
      </c>
      <c r="D1720">
        <v>950.07</v>
      </c>
      <c r="E1720" t="s">
        <v>30</v>
      </c>
    </row>
    <row r="1721" spans="2:13" x14ac:dyDescent="0.2">
      <c r="C1721" t="b">
        <v>0</v>
      </c>
      <c r="D1721">
        <v>670.04</v>
      </c>
      <c r="E1721" t="s">
        <v>30</v>
      </c>
    </row>
    <row r="1722" spans="2:13" x14ac:dyDescent="0.2">
      <c r="C1722" t="b">
        <v>0</v>
      </c>
      <c r="D1722">
        <v>900.06</v>
      </c>
      <c r="E1722" t="s">
        <v>30</v>
      </c>
    </row>
    <row r="1723" spans="2:13" x14ac:dyDescent="0.2">
      <c r="B1723" t="s">
        <v>11</v>
      </c>
    </row>
    <row r="1724" spans="2:13" x14ac:dyDescent="0.2">
      <c r="B1724" t="s">
        <v>12</v>
      </c>
      <c r="C1724" t="s">
        <v>13</v>
      </c>
      <c r="D1724" t="s">
        <v>14</v>
      </c>
      <c r="E1724" t="s">
        <v>15</v>
      </c>
      <c r="F1724" t="s">
        <v>16</v>
      </c>
      <c r="G1724" t="s">
        <v>17</v>
      </c>
      <c r="H1724" t="s">
        <v>18</v>
      </c>
      <c r="I1724" t="s">
        <v>19</v>
      </c>
      <c r="J1724" t="s">
        <v>20</v>
      </c>
      <c r="K1724" t="s">
        <v>21</v>
      </c>
      <c r="L1724" t="s">
        <v>22</v>
      </c>
      <c r="M1724" t="s">
        <v>23</v>
      </c>
    </row>
    <row r="1725" spans="2:13" x14ac:dyDescent="0.2">
      <c r="B1725" t="s">
        <v>33</v>
      </c>
      <c r="C1725">
        <v>89</v>
      </c>
      <c r="E1725" t="s">
        <v>25</v>
      </c>
      <c r="F1725">
        <v>4272.2299999999996</v>
      </c>
      <c r="G1725">
        <v>3.4</v>
      </c>
      <c r="K1725">
        <v>0.1</v>
      </c>
      <c r="L1725">
        <v>7</v>
      </c>
      <c r="M1725">
        <v>108.3</v>
      </c>
    </row>
    <row r="1726" spans="2:13" x14ac:dyDescent="0.2">
      <c r="C1726" t="s">
        <v>27</v>
      </c>
    </row>
    <row r="1727" spans="2:13" x14ac:dyDescent="0.2">
      <c r="C1727" t="s">
        <v>28</v>
      </c>
      <c r="D1727" t="s">
        <v>16</v>
      </c>
      <c r="E1727" t="s">
        <v>29</v>
      </c>
      <c r="F1727" t="s">
        <v>18</v>
      </c>
    </row>
    <row r="1728" spans="2:13" x14ac:dyDescent="0.2">
      <c r="C1728" t="b">
        <v>0</v>
      </c>
      <c r="D1728">
        <v>4420.8599999999997</v>
      </c>
      <c r="E1728" t="s">
        <v>30</v>
      </c>
    </row>
    <row r="1729" spans="1:13" x14ac:dyDescent="0.2">
      <c r="C1729" t="b">
        <v>0</v>
      </c>
      <c r="D1729">
        <v>4390.8500000000004</v>
      </c>
      <c r="E1729" t="s">
        <v>30</v>
      </c>
    </row>
    <row r="1730" spans="1:13" x14ac:dyDescent="0.2">
      <c r="C1730" t="b">
        <v>0</v>
      </c>
      <c r="D1730">
        <v>4090.73</v>
      </c>
      <c r="E1730" t="s">
        <v>30</v>
      </c>
    </row>
    <row r="1731" spans="1:13" x14ac:dyDescent="0.2">
      <c r="C1731" t="b">
        <v>0</v>
      </c>
      <c r="D1731">
        <v>4230.79</v>
      </c>
      <c r="E1731" t="s">
        <v>30</v>
      </c>
    </row>
    <row r="1732" spans="1:13" x14ac:dyDescent="0.2">
      <c r="C1732" t="b">
        <v>0</v>
      </c>
      <c r="D1732">
        <v>4070.73</v>
      </c>
      <c r="E1732" t="s">
        <v>30</v>
      </c>
    </row>
    <row r="1733" spans="1:13" x14ac:dyDescent="0.2">
      <c r="C1733" t="b">
        <v>0</v>
      </c>
      <c r="D1733">
        <v>4300.8100000000004</v>
      </c>
      <c r="E1733" t="s">
        <v>30</v>
      </c>
    </row>
    <row r="1734" spans="1:13" x14ac:dyDescent="0.2">
      <c r="C1734" t="b">
        <v>0</v>
      </c>
      <c r="D1734">
        <v>4400.8599999999997</v>
      </c>
      <c r="E1734" t="s">
        <v>30</v>
      </c>
    </row>
    <row r="1735" spans="1:13" x14ac:dyDescent="0.2">
      <c r="A1735" t="s">
        <v>0</v>
      </c>
    </row>
    <row r="1736" spans="1:13" x14ac:dyDescent="0.2"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</row>
    <row r="1737" spans="1:13" x14ac:dyDescent="0.2">
      <c r="B1737" t="b">
        <v>0</v>
      </c>
      <c r="C1737" t="s">
        <v>137</v>
      </c>
      <c r="D1737" t="s">
        <v>138</v>
      </c>
      <c r="E1737" t="s">
        <v>0</v>
      </c>
      <c r="G1737" t="s">
        <v>139</v>
      </c>
    </row>
    <row r="1738" spans="1:13" x14ac:dyDescent="0.2">
      <c r="B1738" t="s">
        <v>11</v>
      </c>
    </row>
    <row r="1739" spans="1:13" x14ac:dyDescent="0.2">
      <c r="B1739" t="s">
        <v>12</v>
      </c>
      <c r="C1739" t="s">
        <v>13</v>
      </c>
      <c r="D1739" t="s">
        <v>14</v>
      </c>
      <c r="E1739" t="s">
        <v>15</v>
      </c>
      <c r="F1739" t="s">
        <v>16</v>
      </c>
      <c r="G1739" t="s">
        <v>17</v>
      </c>
      <c r="H1739" t="s">
        <v>18</v>
      </c>
      <c r="I1739" t="s">
        <v>19</v>
      </c>
      <c r="J1739" t="s">
        <v>20</v>
      </c>
      <c r="K1739" t="s">
        <v>21</v>
      </c>
      <c r="L1739" t="s">
        <v>22</v>
      </c>
      <c r="M1739" t="s">
        <v>23</v>
      </c>
    </row>
    <row r="1740" spans="1:13" x14ac:dyDescent="0.2">
      <c r="B1740" t="s">
        <v>24</v>
      </c>
      <c r="C1740">
        <v>59</v>
      </c>
      <c r="E1740" t="s">
        <v>25</v>
      </c>
      <c r="F1740">
        <v>191915.32</v>
      </c>
      <c r="G1740">
        <v>1.1000000000000001</v>
      </c>
      <c r="H1740">
        <v>8.5000000000000006E-2</v>
      </c>
      <c r="I1740" t="s">
        <v>26</v>
      </c>
      <c r="J1740">
        <v>1.1000000000000001</v>
      </c>
      <c r="K1740">
        <v>0.1</v>
      </c>
      <c r="L1740">
        <v>7</v>
      </c>
    </row>
    <row r="1741" spans="1:13" x14ac:dyDescent="0.2">
      <c r="C1741" t="s">
        <v>27</v>
      </c>
    </row>
    <row r="1742" spans="1:13" x14ac:dyDescent="0.2">
      <c r="C1742" t="s">
        <v>28</v>
      </c>
      <c r="D1742" t="s">
        <v>16</v>
      </c>
      <c r="E1742" t="s">
        <v>29</v>
      </c>
      <c r="F1742" t="s">
        <v>18</v>
      </c>
    </row>
    <row r="1743" spans="1:13" x14ac:dyDescent="0.2">
      <c r="C1743" t="b">
        <v>0</v>
      </c>
      <c r="D1743">
        <v>189508.75</v>
      </c>
      <c r="E1743" t="s">
        <v>30</v>
      </c>
      <c r="F1743">
        <v>8.4000000000000005E-2</v>
      </c>
    </row>
    <row r="1744" spans="1:13" x14ac:dyDescent="0.2">
      <c r="C1744" t="b">
        <v>0</v>
      </c>
      <c r="D1744">
        <v>190126.03</v>
      </c>
      <c r="E1744" t="s">
        <v>30</v>
      </c>
      <c r="F1744">
        <v>8.5000000000000006E-2</v>
      </c>
    </row>
    <row r="1745" spans="2:13" x14ac:dyDescent="0.2">
      <c r="C1745" t="b">
        <v>0</v>
      </c>
      <c r="D1745">
        <v>192305.9</v>
      </c>
      <c r="E1745" t="s">
        <v>30</v>
      </c>
      <c r="F1745">
        <v>8.5999999999999993E-2</v>
      </c>
    </row>
    <row r="1746" spans="2:13" x14ac:dyDescent="0.2">
      <c r="C1746" t="b">
        <v>0</v>
      </c>
      <c r="D1746">
        <v>191526.89</v>
      </c>
      <c r="E1746" t="s">
        <v>30</v>
      </c>
      <c r="F1746">
        <v>8.5000000000000006E-2</v>
      </c>
    </row>
    <row r="1747" spans="2:13" x14ac:dyDescent="0.2">
      <c r="C1747" t="b">
        <v>0</v>
      </c>
      <c r="D1747">
        <v>195001.60000000001</v>
      </c>
      <c r="E1747" t="s">
        <v>30</v>
      </c>
      <c r="F1747">
        <v>8.6999999999999994E-2</v>
      </c>
    </row>
    <row r="1748" spans="2:13" x14ac:dyDescent="0.2">
      <c r="C1748" t="b">
        <v>0</v>
      </c>
      <c r="D1748">
        <v>194293.3</v>
      </c>
      <c r="E1748" t="s">
        <v>30</v>
      </c>
      <c r="F1748">
        <v>8.5999999999999993E-2</v>
      </c>
    </row>
    <row r="1749" spans="2:13" x14ac:dyDescent="0.2">
      <c r="C1749" t="b">
        <v>0</v>
      </c>
      <c r="D1749">
        <v>190644.74</v>
      </c>
      <c r="E1749" t="s">
        <v>30</v>
      </c>
      <c r="F1749">
        <v>8.5000000000000006E-2</v>
      </c>
    </row>
    <row r="1750" spans="2:13" x14ac:dyDescent="0.2">
      <c r="B1750" t="s">
        <v>11</v>
      </c>
    </row>
    <row r="1751" spans="2:13" x14ac:dyDescent="0.2">
      <c r="B1751" t="s">
        <v>12</v>
      </c>
      <c r="C1751" t="s">
        <v>13</v>
      </c>
      <c r="D1751" t="s">
        <v>14</v>
      </c>
      <c r="E1751" t="s">
        <v>15</v>
      </c>
      <c r="F1751" t="s">
        <v>16</v>
      </c>
      <c r="G1751" t="s">
        <v>17</v>
      </c>
      <c r="H1751" t="s">
        <v>18</v>
      </c>
      <c r="I1751" t="s">
        <v>19</v>
      </c>
      <c r="J1751" t="s">
        <v>20</v>
      </c>
      <c r="K1751" t="s">
        <v>21</v>
      </c>
      <c r="L1751" t="s">
        <v>22</v>
      </c>
      <c r="M1751" t="s">
        <v>23</v>
      </c>
    </row>
    <row r="1752" spans="2:13" x14ac:dyDescent="0.2">
      <c r="B1752" t="s">
        <v>31</v>
      </c>
      <c r="C1752">
        <v>45</v>
      </c>
      <c r="E1752" t="s">
        <v>25</v>
      </c>
      <c r="F1752">
        <v>1058.6500000000001</v>
      </c>
      <c r="G1752">
        <v>13.7</v>
      </c>
      <c r="K1752">
        <v>0.1</v>
      </c>
      <c r="L1752">
        <v>7</v>
      </c>
      <c r="M1752">
        <v>102.5</v>
      </c>
    </row>
    <row r="1753" spans="2:13" x14ac:dyDescent="0.2">
      <c r="C1753" t="s">
        <v>27</v>
      </c>
    </row>
    <row r="1754" spans="2:13" x14ac:dyDescent="0.2">
      <c r="C1754" t="s">
        <v>28</v>
      </c>
      <c r="D1754" t="s">
        <v>16</v>
      </c>
      <c r="E1754" t="s">
        <v>29</v>
      </c>
      <c r="F1754" t="s">
        <v>18</v>
      </c>
    </row>
    <row r="1755" spans="2:13" x14ac:dyDescent="0.2">
      <c r="C1755" t="b">
        <v>0</v>
      </c>
      <c r="D1755">
        <v>940.06</v>
      </c>
      <c r="E1755" t="s">
        <v>30</v>
      </c>
    </row>
    <row r="1756" spans="2:13" x14ac:dyDescent="0.2">
      <c r="C1756" t="b">
        <v>0</v>
      </c>
      <c r="D1756">
        <v>980.07</v>
      </c>
      <c r="E1756" t="s">
        <v>30</v>
      </c>
    </row>
    <row r="1757" spans="2:13" x14ac:dyDescent="0.2">
      <c r="C1757" t="b">
        <v>0</v>
      </c>
      <c r="D1757">
        <v>850.06</v>
      </c>
      <c r="E1757" t="s">
        <v>30</v>
      </c>
    </row>
    <row r="1758" spans="2:13" x14ac:dyDescent="0.2">
      <c r="C1758" t="b">
        <v>0</v>
      </c>
      <c r="D1758">
        <v>1210.0899999999999</v>
      </c>
      <c r="E1758" t="s">
        <v>30</v>
      </c>
    </row>
    <row r="1759" spans="2:13" x14ac:dyDescent="0.2">
      <c r="C1759" t="b">
        <v>0</v>
      </c>
      <c r="D1759">
        <v>1040.08</v>
      </c>
      <c r="E1759" t="s">
        <v>30</v>
      </c>
    </row>
    <row r="1760" spans="2:13" x14ac:dyDescent="0.2">
      <c r="C1760" t="b">
        <v>0</v>
      </c>
      <c r="D1760">
        <v>1170.0899999999999</v>
      </c>
      <c r="E1760" t="s">
        <v>30</v>
      </c>
    </row>
    <row r="1761" spans="2:13" x14ac:dyDescent="0.2">
      <c r="C1761" t="b">
        <v>0</v>
      </c>
      <c r="D1761">
        <v>1220.0999999999999</v>
      </c>
      <c r="E1761" t="s">
        <v>30</v>
      </c>
    </row>
    <row r="1762" spans="2:13" x14ac:dyDescent="0.2">
      <c r="B1762" t="s">
        <v>11</v>
      </c>
    </row>
    <row r="1763" spans="2:13" x14ac:dyDescent="0.2">
      <c r="B1763" t="s">
        <v>12</v>
      </c>
      <c r="C1763" t="s">
        <v>13</v>
      </c>
      <c r="D1763" t="s">
        <v>14</v>
      </c>
      <c r="E1763" t="s">
        <v>15</v>
      </c>
      <c r="F1763" t="s">
        <v>16</v>
      </c>
      <c r="G1763" t="s">
        <v>17</v>
      </c>
      <c r="H1763" t="s">
        <v>18</v>
      </c>
      <c r="I1763" t="s">
        <v>19</v>
      </c>
      <c r="J1763" t="s">
        <v>20</v>
      </c>
      <c r="K1763" t="s">
        <v>21</v>
      </c>
      <c r="L1763" t="s">
        <v>22</v>
      </c>
      <c r="M1763" t="s">
        <v>23</v>
      </c>
    </row>
    <row r="1764" spans="2:13" x14ac:dyDescent="0.2">
      <c r="B1764" t="s">
        <v>32</v>
      </c>
      <c r="C1764">
        <v>72</v>
      </c>
      <c r="E1764" t="s">
        <v>25</v>
      </c>
      <c r="F1764">
        <v>757.19</v>
      </c>
      <c r="G1764">
        <v>6.8</v>
      </c>
      <c r="K1764">
        <v>0.1</v>
      </c>
      <c r="L1764">
        <v>7</v>
      </c>
      <c r="M1764">
        <v>101.5</v>
      </c>
    </row>
    <row r="1765" spans="2:13" x14ac:dyDescent="0.2">
      <c r="C1765" t="s">
        <v>27</v>
      </c>
    </row>
    <row r="1766" spans="2:13" x14ac:dyDescent="0.2">
      <c r="C1766" t="s">
        <v>28</v>
      </c>
      <c r="D1766" t="s">
        <v>16</v>
      </c>
      <c r="E1766" t="s">
        <v>29</v>
      </c>
      <c r="F1766" t="s">
        <v>18</v>
      </c>
    </row>
    <row r="1767" spans="2:13" x14ac:dyDescent="0.2">
      <c r="C1767" t="b">
        <v>0</v>
      </c>
      <c r="D1767">
        <v>720.04</v>
      </c>
      <c r="E1767" t="s">
        <v>30</v>
      </c>
    </row>
    <row r="1768" spans="2:13" x14ac:dyDescent="0.2">
      <c r="C1768" t="b">
        <v>0</v>
      </c>
      <c r="D1768">
        <v>730.05</v>
      </c>
      <c r="E1768" t="s">
        <v>30</v>
      </c>
    </row>
    <row r="1769" spans="2:13" x14ac:dyDescent="0.2">
      <c r="C1769" t="b">
        <v>0</v>
      </c>
      <c r="D1769">
        <v>810.05</v>
      </c>
      <c r="E1769" t="s">
        <v>30</v>
      </c>
    </row>
    <row r="1770" spans="2:13" x14ac:dyDescent="0.2">
      <c r="C1770" t="b">
        <v>0</v>
      </c>
      <c r="D1770">
        <v>790.05</v>
      </c>
      <c r="E1770" t="s">
        <v>30</v>
      </c>
    </row>
    <row r="1771" spans="2:13" x14ac:dyDescent="0.2">
      <c r="C1771" t="b">
        <v>0</v>
      </c>
      <c r="D1771">
        <v>830.06</v>
      </c>
      <c r="E1771" t="s">
        <v>30</v>
      </c>
    </row>
    <row r="1772" spans="2:13" x14ac:dyDescent="0.2">
      <c r="C1772" t="b">
        <v>0</v>
      </c>
      <c r="D1772">
        <v>700.04</v>
      </c>
      <c r="E1772" t="s">
        <v>30</v>
      </c>
    </row>
    <row r="1773" spans="2:13" x14ac:dyDescent="0.2">
      <c r="C1773" t="b">
        <v>0</v>
      </c>
      <c r="D1773">
        <v>720.05</v>
      </c>
      <c r="E1773" t="s">
        <v>30</v>
      </c>
    </row>
    <row r="1774" spans="2:13" x14ac:dyDescent="0.2">
      <c r="B1774" t="s">
        <v>11</v>
      </c>
    </row>
    <row r="1775" spans="2:13" x14ac:dyDescent="0.2">
      <c r="B1775" t="s">
        <v>12</v>
      </c>
      <c r="C1775" t="s">
        <v>13</v>
      </c>
      <c r="D1775" t="s">
        <v>14</v>
      </c>
      <c r="E1775" t="s">
        <v>15</v>
      </c>
      <c r="F1775" t="s">
        <v>16</v>
      </c>
      <c r="G1775" t="s">
        <v>17</v>
      </c>
      <c r="H1775" t="s">
        <v>18</v>
      </c>
      <c r="I1775" t="s">
        <v>19</v>
      </c>
      <c r="J1775" t="s">
        <v>20</v>
      </c>
      <c r="K1775" t="s">
        <v>21</v>
      </c>
      <c r="L1775" t="s">
        <v>22</v>
      </c>
      <c r="M1775" t="s">
        <v>23</v>
      </c>
    </row>
    <row r="1776" spans="2:13" x14ac:dyDescent="0.2">
      <c r="B1776" t="s">
        <v>33</v>
      </c>
      <c r="C1776">
        <v>89</v>
      </c>
      <c r="E1776" t="s">
        <v>25</v>
      </c>
      <c r="F1776">
        <v>3886.4</v>
      </c>
      <c r="G1776">
        <v>6.4</v>
      </c>
      <c r="K1776">
        <v>0.1</v>
      </c>
      <c r="L1776">
        <v>7</v>
      </c>
      <c r="M1776">
        <v>98.5</v>
      </c>
    </row>
    <row r="1777" spans="1:13" x14ac:dyDescent="0.2">
      <c r="C1777" t="s">
        <v>27</v>
      </c>
    </row>
    <row r="1778" spans="1:13" x14ac:dyDescent="0.2">
      <c r="C1778" t="s">
        <v>28</v>
      </c>
      <c r="D1778" t="s">
        <v>16</v>
      </c>
      <c r="E1778" t="s">
        <v>29</v>
      </c>
      <c r="F1778" t="s">
        <v>18</v>
      </c>
    </row>
    <row r="1779" spans="1:13" x14ac:dyDescent="0.2">
      <c r="C1779" t="b">
        <v>0</v>
      </c>
      <c r="D1779">
        <v>3670.62</v>
      </c>
      <c r="E1779" t="s">
        <v>30</v>
      </c>
    </row>
    <row r="1780" spans="1:13" x14ac:dyDescent="0.2">
      <c r="C1780" t="b">
        <v>0</v>
      </c>
      <c r="D1780">
        <v>3560.56</v>
      </c>
      <c r="E1780" t="s">
        <v>30</v>
      </c>
    </row>
    <row r="1781" spans="1:13" x14ac:dyDescent="0.2">
      <c r="C1781" t="b">
        <v>0</v>
      </c>
      <c r="D1781">
        <v>3870.68</v>
      </c>
      <c r="E1781" t="s">
        <v>30</v>
      </c>
    </row>
    <row r="1782" spans="1:13" x14ac:dyDescent="0.2">
      <c r="C1782" t="b">
        <v>0</v>
      </c>
      <c r="D1782">
        <v>4160.7700000000004</v>
      </c>
      <c r="E1782" t="s">
        <v>30</v>
      </c>
    </row>
    <row r="1783" spans="1:13" x14ac:dyDescent="0.2">
      <c r="C1783" t="b">
        <v>0</v>
      </c>
      <c r="D1783">
        <v>4060.71</v>
      </c>
      <c r="E1783" t="s">
        <v>30</v>
      </c>
    </row>
    <row r="1784" spans="1:13" x14ac:dyDescent="0.2">
      <c r="C1784" t="b">
        <v>0</v>
      </c>
      <c r="D1784">
        <v>3710.62</v>
      </c>
      <c r="E1784" t="s">
        <v>30</v>
      </c>
    </row>
    <row r="1785" spans="1:13" x14ac:dyDescent="0.2">
      <c r="C1785" t="b">
        <v>0</v>
      </c>
      <c r="D1785">
        <v>4170.8599999999997</v>
      </c>
      <c r="E1785" t="s">
        <v>30</v>
      </c>
    </row>
    <row r="1786" spans="1:13" x14ac:dyDescent="0.2">
      <c r="A1786" t="s">
        <v>0</v>
      </c>
    </row>
    <row r="1787" spans="1:13" x14ac:dyDescent="0.2"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</row>
    <row r="1788" spans="1:13" x14ac:dyDescent="0.2">
      <c r="A1788" t="s">
        <v>140</v>
      </c>
      <c r="B1788" t="b">
        <v>0</v>
      </c>
      <c r="C1788" t="s">
        <v>141</v>
      </c>
      <c r="D1788" t="s">
        <v>142</v>
      </c>
      <c r="E1788" t="s">
        <v>0</v>
      </c>
      <c r="G1788" t="s">
        <v>143</v>
      </c>
    </row>
    <row r="1789" spans="1:13" x14ac:dyDescent="0.2">
      <c r="B1789" t="s">
        <v>11</v>
      </c>
    </row>
    <row r="1790" spans="1:13" x14ac:dyDescent="0.2">
      <c r="B1790" t="s">
        <v>12</v>
      </c>
      <c r="C1790" t="s">
        <v>13</v>
      </c>
      <c r="D1790" t="s">
        <v>14</v>
      </c>
      <c r="E1790" t="s">
        <v>15</v>
      </c>
      <c r="F1790" t="s">
        <v>16</v>
      </c>
      <c r="G1790" t="s">
        <v>17</v>
      </c>
      <c r="H1790" t="s">
        <v>18</v>
      </c>
      <c r="I1790" t="s">
        <v>19</v>
      </c>
      <c r="J1790" t="s">
        <v>20</v>
      </c>
      <c r="K1790" t="s">
        <v>21</v>
      </c>
      <c r="L1790" t="s">
        <v>22</v>
      </c>
      <c r="M1790" t="s">
        <v>23</v>
      </c>
    </row>
    <row r="1791" spans="1:13" x14ac:dyDescent="0.2">
      <c r="B1791" t="s">
        <v>24</v>
      </c>
      <c r="C1791">
        <v>59</v>
      </c>
      <c r="E1791" t="s">
        <v>25</v>
      </c>
      <c r="F1791">
        <v>212674.87</v>
      </c>
      <c r="G1791">
        <v>1.2</v>
      </c>
      <c r="H1791">
        <v>9.5000000000000001E-2</v>
      </c>
      <c r="I1791" t="s">
        <v>26</v>
      </c>
      <c r="J1791">
        <v>1.2</v>
      </c>
      <c r="K1791">
        <v>0.1</v>
      </c>
      <c r="L1791">
        <v>7</v>
      </c>
    </row>
    <row r="1792" spans="1:13" x14ac:dyDescent="0.2">
      <c r="C1792" t="s">
        <v>27</v>
      </c>
    </row>
    <row r="1793" spans="2:13" x14ac:dyDescent="0.2">
      <c r="C1793" t="s">
        <v>28</v>
      </c>
      <c r="D1793" t="s">
        <v>16</v>
      </c>
      <c r="E1793" t="s">
        <v>29</v>
      </c>
      <c r="F1793" t="s">
        <v>18</v>
      </c>
    </row>
    <row r="1794" spans="2:13" x14ac:dyDescent="0.2">
      <c r="C1794" t="b">
        <v>0</v>
      </c>
      <c r="D1794">
        <v>215545.68</v>
      </c>
      <c r="E1794" t="s">
        <v>30</v>
      </c>
      <c r="F1794">
        <v>9.6000000000000002E-2</v>
      </c>
    </row>
    <row r="1795" spans="2:13" x14ac:dyDescent="0.2">
      <c r="C1795" t="b">
        <v>0</v>
      </c>
      <c r="D1795">
        <v>215768.06</v>
      </c>
      <c r="E1795" t="s">
        <v>30</v>
      </c>
      <c r="F1795">
        <v>9.6000000000000002E-2</v>
      </c>
    </row>
    <row r="1796" spans="2:13" x14ac:dyDescent="0.2">
      <c r="C1796" t="b">
        <v>0</v>
      </c>
      <c r="D1796">
        <v>212135.76</v>
      </c>
      <c r="E1796" t="s">
        <v>30</v>
      </c>
      <c r="F1796">
        <v>9.4E-2</v>
      </c>
    </row>
    <row r="1797" spans="2:13" x14ac:dyDescent="0.2">
      <c r="C1797" t="b">
        <v>0</v>
      </c>
      <c r="D1797">
        <v>213851.03</v>
      </c>
      <c r="E1797" t="s">
        <v>30</v>
      </c>
      <c r="F1797">
        <v>9.5000000000000001E-2</v>
      </c>
    </row>
    <row r="1798" spans="2:13" x14ac:dyDescent="0.2">
      <c r="C1798" t="b">
        <v>0</v>
      </c>
      <c r="D1798">
        <v>212066.91</v>
      </c>
      <c r="E1798" t="s">
        <v>30</v>
      </c>
      <c r="F1798">
        <v>9.4E-2</v>
      </c>
    </row>
    <row r="1799" spans="2:13" x14ac:dyDescent="0.2">
      <c r="C1799" t="b">
        <v>0</v>
      </c>
      <c r="D1799">
        <v>208907.46</v>
      </c>
      <c r="E1799" t="s">
        <v>30</v>
      </c>
      <c r="F1799">
        <v>9.2999999999999999E-2</v>
      </c>
    </row>
    <row r="1800" spans="2:13" x14ac:dyDescent="0.2">
      <c r="C1800" t="b">
        <v>0</v>
      </c>
      <c r="D1800">
        <v>210449.16</v>
      </c>
      <c r="E1800" t="s">
        <v>30</v>
      </c>
      <c r="F1800">
        <v>9.4E-2</v>
      </c>
    </row>
    <row r="1801" spans="2:13" x14ac:dyDescent="0.2">
      <c r="B1801" t="s">
        <v>11</v>
      </c>
    </row>
    <row r="1802" spans="2:13" x14ac:dyDescent="0.2">
      <c r="B1802" t="s">
        <v>12</v>
      </c>
      <c r="C1802" t="s">
        <v>13</v>
      </c>
      <c r="D1802" t="s">
        <v>14</v>
      </c>
      <c r="E1802" t="s">
        <v>15</v>
      </c>
      <c r="F1802" t="s">
        <v>16</v>
      </c>
      <c r="G1802" t="s">
        <v>17</v>
      </c>
      <c r="H1802" t="s">
        <v>18</v>
      </c>
      <c r="I1802" t="s">
        <v>19</v>
      </c>
      <c r="J1802" t="s">
        <v>20</v>
      </c>
      <c r="K1802" t="s">
        <v>21</v>
      </c>
      <c r="L1802" t="s">
        <v>22</v>
      </c>
      <c r="M1802" t="s">
        <v>23</v>
      </c>
    </row>
    <row r="1803" spans="2:13" x14ac:dyDescent="0.2">
      <c r="B1803" t="s">
        <v>31</v>
      </c>
      <c r="C1803">
        <v>45</v>
      </c>
      <c r="E1803" t="s">
        <v>25</v>
      </c>
      <c r="F1803">
        <v>1348.68</v>
      </c>
      <c r="G1803">
        <v>9.4</v>
      </c>
      <c r="K1803">
        <v>0.1</v>
      </c>
      <c r="L1803">
        <v>7</v>
      </c>
      <c r="M1803">
        <v>130.6</v>
      </c>
    </row>
    <row r="1804" spans="2:13" x14ac:dyDescent="0.2">
      <c r="C1804" t="s">
        <v>27</v>
      </c>
    </row>
    <row r="1805" spans="2:13" x14ac:dyDescent="0.2">
      <c r="C1805" t="s">
        <v>28</v>
      </c>
      <c r="D1805" t="s">
        <v>16</v>
      </c>
      <c r="E1805" t="s">
        <v>29</v>
      </c>
      <c r="F1805" t="s">
        <v>18</v>
      </c>
    </row>
    <row r="1806" spans="2:13" x14ac:dyDescent="0.2">
      <c r="C1806" t="b">
        <v>0</v>
      </c>
      <c r="D1806">
        <v>1310.0999999999999</v>
      </c>
      <c r="E1806" t="s">
        <v>30</v>
      </c>
    </row>
    <row r="1807" spans="2:13" x14ac:dyDescent="0.2">
      <c r="C1807" t="b">
        <v>0</v>
      </c>
      <c r="D1807">
        <v>1150.0899999999999</v>
      </c>
      <c r="E1807" t="s">
        <v>30</v>
      </c>
    </row>
    <row r="1808" spans="2:13" x14ac:dyDescent="0.2">
      <c r="C1808" t="b">
        <v>0</v>
      </c>
      <c r="D1808">
        <v>1320.11</v>
      </c>
      <c r="E1808" t="s">
        <v>30</v>
      </c>
    </row>
    <row r="1809" spans="2:13" x14ac:dyDescent="0.2">
      <c r="C1809" t="b">
        <v>0</v>
      </c>
      <c r="D1809">
        <v>1280.0999999999999</v>
      </c>
      <c r="E1809" t="s">
        <v>30</v>
      </c>
    </row>
    <row r="1810" spans="2:13" x14ac:dyDescent="0.2">
      <c r="C1810" t="b">
        <v>0</v>
      </c>
      <c r="D1810">
        <v>1430.12</v>
      </c>
      <c r="E1810" t="s">
        <v>30</v>
      </c>
    </row>
    <row r="1811" spans="2:13" x14ac:dyDescent="0.2">
      <c r="C1811" t="b">
        <v>0</v>
      </c>
      <c r="D1811">
        <v>1400.11</v>
      </c>
      <c r="E1811" t="s">
        <v>30</v>
      </c>
    </row>
    <row r="1812" spans="2:13" x14ac:dyDescent="0.2">
      <c r="C1812" t="b">
        <v>0</v>
      </c>
      <c r="D1812">
        <v>1550.15</v>
      </c>
      <c r="E1812" t="s">
        <v>30</v>
      </c>
    </row>
    <row r="1813" spans="2:13" x14ac:dyDescent="0.2">
      <c r="B1813" t="s">
        <v>11</v>
      </c>
    </row>
    <row r="1814" spans="2:13" x14ac:dyDescent="0.2">
      <c r="B1814" t="s">
        <v>12</v>
      </c>
      <c r="C1814" t="s">
        <v>13</v>
      </c>
      <c r="D1814" t="s">
        <v>14</v>
      </c>
      <c r="E1814" t="s">
        <v>15</v>
      </c>
      <c r="F1814" t="s">
        <v>16</v>
      </c>
      <c r="G1814" t="s">
        <v>17</v>
      </c>
      <c r="H1814" t="s">
        <v>18</v>
      </c>
      <c r="I1814" t="s">
        <v>19</v>
      </c>
      <c r="J1814" t="s">
        <v>20</v>
      </c>
      <c r="K1814" t="s">
        <v>21</v>
      </c>
      <c r="L1814" t="s">
        <v>22</v>
      </c>
      <c r="M1814" t="s">
        <v>23</v>
      </c>
    </row>
    <row r="1815" spans="2:13" x14ac:dyDescent="0.2">
      <c r="B1815" t="s">
        <v>32</v>
      </c>
      <c r="C1815">
        <v>72</v>
      </c>
      <c r="E1815" t="s">
        <v>25</v>
      </c>
      <c r="F1815">
        <v>780.05</v>
      </c>
      <c r="G1815">
        <v>11</v>
      </c>
      <c r="K1815">
        <v>0.1</v>
      </c>
      <c r="L1815">
        <v>7</v>
      </c>
      <c r="M1815">
        <v>104.6</v>
      </c>
    </row>
    <row r="1816" spans="2:13" x14ac:dyDescent="0.2">
      <c r="C1816" t="s">
        <v>27</v>
      </c>
    </row>
    <row r="1817" spans="2:13" x14ac:dyDescent="0.2">
      <c r="C1817" t="s">
        <v>28</v>
      </c>
      <c r="D1817" t="s">
        <v>16</v>
      </c>
      <c r="E1817" t="s">
        <v>29</v>
      </c>
      <c r="F1817" t="s">
        <v>18</v>
      </c>
    </row>
    <row r="1818" spans="2:13" x14ac:dyDescent="0.2">
      <c r="C1818" t="b">
        <v>0</v>
      </c>
      <c r="D1818">
        <v>940.07</v>
      </c>
      <c r="E1818" t="s">
        <v>30</v>
      </c>
    </row>
    <row r="1819" spans="2:13" x14ac:dyDescent="0.2">
      <c r="C1819" t="b">
        <v>0</v>
      </c>
      <c r="D1819">
        <v>790.05</v>
      </c>
      <c r="E1819" t="s">
        <v>30</v>
      </c>
    </row>
    <row r="1820" spans="2:13" x14ac:dyDescent="0.2">
      <c r="C1820" t="b">
        <v>0</v>
      </c>
      <c r="D1820">
        <v>790.05</v>
      </c>
      <c r="E1820" t="s">
        <v>30</v>
      </c>
    </row>
    <row r="1821" spans="2:13" x14ac:dyDescent="0.2">
      <c r="C1821" t="b">
        <v>0</v>
      </c>
      <c r="D1821">
        <v>780.06</v>
      </c>
      <c r="E1821" t="s">
        <v>30</v>
      </c>
    </row>
    <row r="1822" spans="2:13" x14ac:dyDescent="0.2">
      <c r="C1822" t="b">
        <v>0</v>
      </c>
      <c r="D1822">
        <v>760.05</v>
      </c>
      <c r="E1822" t="s">
        <v>30</v>
      </c>
    </row>
    <row r="1823" spans="2:13" x14ac:dyDescent="0.2">
      <c r="C1823" t="b">
        <v>0</v>
      </c>
      <c r="D1823">
        <v>650.04</v>
      </c>
      <c r="E1823" t="s">
        <v>30</v>
      </c>
    </row>
    <row r="1824" spans="2:13" x14ac:dyDescent="0.2">
      <c r="C1824" t="b">
        <v>0</v>
      </c>
      <c r="D1824">
        <v>750.05</v>
      </c>
      <c r="E1824" t="s">
        <v>30</v>
      </c>
    </row>
    <row r="1825" spans="1:13" x14ac:dyDescent="0.2">
      <c r="B1825" t="s">
        <v>11</v>
      </c>
    </row>
    <row r="1826" spans="1:13" x14ac:dyDescent="0.2">
      <c r="B1826" t="s">
        <v>12</v>
      </c>
      <c r="C1826" t="s">
        <v>13</v>
      </c>
      <c r="D1826" t="s">
        <v>14</v>
      </c>
      <c r="E1826" t="s">
        <v>15</v>
      </c>
      <c r="F1826" t="s">
        <v>16</v>
      </c>
      <c r="G1826" t="s">
        <v>17</v>
      </c>
      <c r="H1826" t="s">
        <v>18</v>
      </c>
      <c r="I1826" t="s">
        <v>19</v>
      </c>
      <c r="J1826" t="s">
        <v>20</v>
      </c>
      <c r="K1826" t="s">
        <v>21</v>
      </c>
      <c r="L1826" t="s">
        <v>22</v>
      </c>
      <c r="M1826" t="s">
        <v>23</v>
      </c>
    </row>
    <row r="1827" spans="1:13" x14ac:dyDescent="0.2">
      <c r="B1827" t="s">
        <v>33</v>
      </c>
      <c r="C1827">
        <v>89</v>
      </c>
      <c r="E1827" t="s">
        <v>25</v>
      </c>
      <c r="F1827">
        <v>3712.05</v>
      </c>
      <c r="G1827">
        <v>4.8</v>
      </c>
      <c r="K1827">
        <v>0.1</v>
      </c>
      <c r="L1827">
        <v>7</v>
      </c>
      <c r="M1827">
        <v>94.1</v>
      </c>
    </row>
    <row r="1828" spans="1:13" x14ac:dyDescent="0.2">
      <c r="C1828" t="s">
        <v>27</v>
      </c>
    </row>
    <row r="1829" spans="1:13" x14ac:dyDescent="0.2">
      <c r="C1829" t="s">
        <v>28</v>
      </c>
      <c r="D1829" t="s">
        <v>16</v>
      </c>
      <c r="E1829" t="s">
        <v>29</v>
      </c>
      <c r="F1829" t="s">
        <v>18</v>
      </c>
    </row>
    <row r="1830" spans="1:13" x14ac:dyDescent="0.2">
      <c r="C1830" t="b">
        <v>0</v>
      </c>
      <c r="D1830">
        <v>3980.71</v>
      </c>
      <c r="E1830" t="s">
        <v>30</v>
      </c>
    </row>
    <row r="1831" spans="1:13" x14ac:dyDescent="0.2">
      <c r="C1831" t="b">
        <v>0</v>
      </c>
      <c r="D1831">
        <v>3760.64</v>
      </c>
      <c r="E1831" t="s">
        <v>30</v>
      </c>
    </row>
    <row r="1832" spans="1:13" x14ac:dyDescent="0.2">
      <c r="C1832" t="b">
        <v>0</v>
      </c>
      <c r="D1832">
        <v>3650.62</v>
      </c>
      <c r="E1832" t="s">
        <v>30</v>
      </c>
    </row>
    <row r="1833" spans="1:13" x14ac:dyDescent="0.2">
      <c r="C1833" t="b">
        <v>0</v>
      </c>
      <c r="D1833">
        <v>3420.51</v>
      </c>
      <c r="E1833" t="s">
        <v>30</v>
      </c>
    </row>
    <row r="1834" spans="1:13" x14ac:dyDescent="0.2">
      <c r="C1834" t="b">
        <v>0</v>
      </c>
      <c r="D1834">
        <v>3750.63</v>
      </c>
      <c r="E1834" t="s">
        <v>30</v>
      </c>
    </row>
    <row r="1835" spans="1:13" x14ac:dyDescent="0.2">
      <c r="C1835" t="b">
        <v>0</v>
      </c>
      <c r="D1835">
        <v>3830.66</v>
      </c>
      <c r="E1835" t="s">
        <v>30</v>
      </c>
    </row>
    <row r="1836" spans="1:13" x14ac:dyDescent="0.2">
      <c r="C1836" t="b">
        <v>0</v>
      </c>
      <c r="D1836">
        <v>3590.59</v>
      </c>
      <c r="E1836" t="s">
        <v>30</v>
      </c>
    </row>
    <row r="1837" spans="1:13" x14ac:dyDescent="0.2">
      <c r="A1837" t="s">
        <v>0</v>
      </c>
    </row>
    <row r="1838" spans="1:13" x14ac:dyDescent="0.2"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</row>
    <row r="1839" spans="1:13" x14ac:dyDescent="0.2">
      <c r="B1839" t="b">
        <v>0</v>
      </c>
      <c r="C1839" t="s">
        <v>144</v>
      </c>
      <c r="D1839" t="s">
        <v>145</v>
      </c>
      <c r="E1839" t="s">
        <v>9</v>
      </c>
      <c r="G1839" t="s">
        <v>146</v>
      </c>
    </row>
    <row r="1840" spans="1:13" x14ac:dyDescent="0.2">
      <c r="B1840" t="s">
        <v>11</v>
      </c>
    </row>
    <row r="1841" spans="2:13" x14ac:dyDescent="0.2">
      <c r="B1841" t="s">
        <v>12</v>
      </c>
      <c r="C1841" t="s">
        <v>13</v>
      </c>
      <c r="D1841" t="s">
        <v>14</v>
      </c>
      <c r="E1841" t="s">
        <v>15</v>
      </c>
      <c r="F1841" t="s">
        <v>16</v>
      </c>
      <c r="G1841" t="s">
        <v>17</v>
      </c>
      <c r="H1841" t="s">
        <v>18</v>
      </c>
      <c r="I1841" t="s">
        <v>19</v>
      </c>
      <c r="J1841" t="s">
        <v>20</v>
      </c>
      <c r="K1841" t="s">
        <v>21</v>
      </c>
      <c r="L1841" t="s">
        <v>22</v>
      </c>
      <c r="M1841" t="s">
        <v>23</v>
      </c>
    </row>
    <row r="1842" spans="2:13" x14ac:dyDescent="0.2">
      <c r="B1842" t="s">
        <v>24</v>
      </c>
      <c r="C1842">
        <v>59</v>
      </c>
      <c r="E1842" t="s">
        <v>25</v>
      </c>
      <c r="F1842">
        <v>197.15</v>
      </c>
      <c r="G1842">
        <v>15.4</v>
      </c>
      <c r="H1842">
        <v>0</v>
      </c>
      <c r="I1842" t="s">
        <v>26</v>
      </c>
      <c r="J1842">
        <v>21.5</v>
      </c>
      <c r="K1842">
        <v>0.1</v>
      </c>
      <c r="L1842">
        <v>7</v>
      </c>
    </row>
    <row r="1843" spans="2:13" x14ac:dyDescent="0.2">
      <c r="C1843" t="s">
        <v>27</v>
      </c>
    </row>
    <row r="1844" spans="2:13" x14ac:dyDescent="0.2">
      <c r="C1844" t="s">
        <v>28</v>
      </c>
      <c r="D1844" t="s">
        <v>16</v>
      </c>
      <c r="E1844" t="s">
        <v>29</v>
      </c>
      <c r="F1844" t="s">
        <v>18</v>
      </c>
    </row>
    <row r="1845" spans="2:13" x14ac:dyDescent="0.2">
      <c r="C1845" t="b">
        <v>0</v>
      </c>
      <c r="D1845">
        <v>230.01</v>
      </c>
      <c r="E1845" t="s">
        <v>30</v>
      </c>
      <c r="F1845">
        <v>0</v>
      </c>
    </row>
    <row r="1846" spans="2:13" x14ac:dyDescent="0.2">
      <c r="C1846" t="b">
        <v>0</v>
      </c>
      <c r="D1846">
        <v>190.01</v>
      </c>
      <c r="E1846" t="s">
        <v>30</v>
      </c>
      <c r="F1846">
        <v>0</v>
      </c>
    </row>
    <row r="1847" spans="2:13" x14ac:dyDescent="0.2">
      <c r="C1847" t="b">
        <v>0</v>
      </c>
      <c r="D1847">
        <v>230.01</v>
      </c>
      <c r="E1847" t="s">
        <v>30</v>
      </c>
      <c r="F1847">
        <v>0</v>
      </c>
    </row>
    <row r="1848" spans="2:13" x14ac:dyDescent="0.2">
      <c r="C1848" t="b">
        <v>0</v>
      </c>
      <c r="D1848">
        <v>180.01</v>
      </c>
      <c r="E1848" t="s">
        <v>30</v>
      </c>
      <c r="F1848">
        <v>0</v>
      </c>
    </row>
    <row r="1849" spans="2:13" x14ac:dyDescent="0.2">
      <c r="C1849" t="b">
        <v>0</v>
      </c>
      <c r="D1849">
        <v>150.01</v>
      </c>
      <c r="E1849" t="s">
        <v>30</v>
      </c>
      <c r="F1849">
        <v>0</v>
      </c>
    </row>
    <row r="1850" spans="2:13" x14ac:dyDescent="0.2">
      <c r="C1850" t="b">
        <v>0</v>
      </c>
      <c r="D1850">
        <v>220.01</v>
      </c>
      <c r="E1850" t="s">
        <v>30</v>
      </c>
      <c r="F1850">
        <v>0</v>
      </c>
    </row>
    <row r="1851" spans="2:13" x14ac:dyDescent="0.2">
      <c r="C1851" t="b">
        <v>0</v>
      </c>
      <c r="D1851">
        <v>180.01</v>
      </c>
      <c r="E1851" t="s">
        <v>30</v>
      </c>
      <c r="F1851">
        <v>0</v>
      </c>
    </row>
    <row r="1852" spans="2:13" x14ac:dyDescent="0.2">
      <c r="B1852" t="s">
        <v>11</v>
      </c>
    </row>
    <row r="1853" spans="2:13" x14ac:dyDescent="0.2">
      <c r="B1853" t="s">
        <v>12</v>
      </c>
      <c r="C1853" t="s">
        <v>13</v>
      </c>
      <c r="D1853" t="s">
        <v>14</v>
      </c>
      <c r="E1853" t="s">
        <v>15</v>
      </c>
      <c r="F1853" t="s">
        <v>16</v>
      </c>
      <c r="G1853" t="s">
        <v>17</v>
      </c>
      <c r="H1853" t="s">
        <v>18</v>
      </c>
      <c r="I1853" t="s">
        <v>19</v>
      </c>
      <c r="J1853" t="s">
        <v>20</v>
      </c>
      <c r="K1853" t="s">
        <v>21</v>
      </c>
      <c r="L1853" t="s">
        <v>22</v>
      </c>
      <c r="M1853" t="s">
        <v>23</v>
      </c>
    </row>
    <row r="1854" spans="2:13" x14ac:dyDescent="0.2">
      <c r="B1854" t="s">
        <v>31</v>
      </c>
      <c r="C1854">
        <v>45</v>
      </c>
      <c r="E1854" t="s">
        <v>25</v>
      </c>
      <c r="F1854">
        <v>877.2</v>
      </c>
      <c r="G1854">
        <v>11.4</v>
      </c>
      <c r="K1854">
        <v>0.1</v>
      </c>
      <c r="L1854">
        <v>7</v>
      </c>
      <c r="M1854">
        <v>84.9</v>
      </c>
    </row>
    <row r="1855" spans="2:13" x14ac:dyDescent="0.2">
      <c r="C1855" t="s">
        <v>27</v>
      </c>
    </row>
    <row r="1856" spans="2:13" x14ac:dyDescent="0.2">
      <c r="C1856" t="s">
        <v>28</v>
      </c>
      <c r="D1856" t="s">
        <v>16</v>
      </c>
      <c r="E1856" t="s">
        <v>29</v>
      </c>
      <c r="F1856" t="s">
        <v>18</v>
      </c>
    </row>
    <row r="1857" spans="2:13" x14ac:dyDescent="0.2">
      <c r="C1857" t="b">
        <v>0</v>
      </c>
      <c r="D1857">
        <v>910.06</v>
      </c>
      <c r="E1857" t="s">
        <v>30</v>
      </c>
    </row>
    <row r="1858" spans="2:13" x14ac:dyDescent="0.2">
      <c r="C1858" t="b">
        <v>0</v>
      </c>
      <c r="D1858">
        <v>900.05</v>
      </c>
      <c r="E1858" t="s">
        <v>30</v>
      </c>
    </row>
    <row r="1859" spans="2:13" x14ac:dyDescent="0.2">
      <c r="C1859" t="b">
        <v>0</v>
      </c>
      <c r="D1859">
        <v>710.04</v>
      </c>
      <c r="E1859" t="s">
        <v>30</v>
      </c>
    </row>
    <row r="1860" spans="2:13" x14ac:dyDescent="0.2">
      <c r="C1860" t="b">
        <v>0</v>
      </c>
      <c r="D1860">
        <v>810.05</v>
      </c>
      <c r="E1860" t="s">
        <v>30</v>
      </c>
    </row>
    <row r="1861" spans="2:13" x14ac:dyDescent="0.2">
      <c r="C1861" t="b">
        <v>0</v>
      </c>
      <c r="D1861">
        <v>840.06</v>
      </c>
      <c r="E1861" t="s">
        <v>30</v>
      </c>
    </row>
    <row r="1862" spans="2:13" x14ac:dyDescent="0.2">
      <c r="C1862" t="b">
        <v>0</v>
      </c>
      <c r="D1862">
        <v>960.07</v>
      </c>
      <c r="E1862" t="s">
        <v>30</v>
      </c>
    </row>
    <row r="1863" spans="2:13" x14ac:dyDescent="0.2">
      <c r="C1863" t="b">
        <v>0</v>
      </c>
      <c r="D1863">
        <v>1010.06</v>
      </c>
      <c r="E1863" t="s">
        <v>30</v>
      </c>
    </row>
    <row r="1864" spans="2:13" x14ac:dyDescent="0.2">
      <c r="B1864" t="s">
        <v>11</v>
      </c>
    </row>
    <row r="1865" spans="2:13" x14ac:dyDescent="0.2">
      <c r="B1865" t="s">
        <v>12</v>
      </c>
      <c r="C1865" t="s">
        <v>13</v>
      </c>
      <c r="D1865" t="s">
        <v>14</v>
      </c>
      <c r="E1865" t="s">
        <v>15</v>
      </c>
      <c r="F1865" t="s">
        <v>16</v>
      </c>
      <c r="G1865" t="s">
        <v>17</v>
      </c>
      <c r="H1865" t="s">
        <v>18</v>
      </c>
      <c r="I1865" t="s">
        <v>19</v>
      </c>
      <c r="J1865" t="s">
        <v>20</v>
      </c>
      <c r="K1865" t="s">
        <v>21</v>
      </c>
      <c r="L1865" t="s">
        <v>22</v>
      </c>
      <c r="M1865" t="s">
        <v>23</v>
      </c>
    </row>
    <row r="1866" spans="2:13" x14ac:dyDescent="0.2">
      <c r="B1866" t="s">
        <v>32</v>
      </c>
      <c r="C1866">
        <v>72</v>
      </c>
      <c r="E1866" t="s">
        <v>25</v>
      </c>
      <c r="F1866">
        <v>892.92</v>
      </c>
      <c r="G1866">
        <v>13.7</v>
      </c>
      <c r="K1866">
        <v>0.1</v>
      </c>
      <c r="L1866">
        <v>7</v>
      </c>
      <c r="M1866">
        <v>119.7</v>
      </c>
    </row>
    <row r="1867" spans="2:13" x14ac:dyDescent="0.2">
      <c r="C1867" t="s">
        <v>27</v>
      </c>
    </row>
    <row r="1868" spans="2:13" x14ac:dyDescent="0.2">
      <c r="C1868" t="s">
        <v>28</v>
      </c>
      <c r="D1868" t="s">
        <v>16</v>
      </c>
      <c r="E1868" t="s">
        <v>29</v>
      </c>
      <c r="F1868" t="s">
        <v>18</v>
      </c>
    </row>
    <row r="1869" spans="2:13" x14ac:dyDescent="0.2">
      <c r="C1869" t="b">
        <v>0</v>
      </c>
      <c r="D1869">
        <v>940.06</v>
      </c>
      <c r="E1869" t="s">
        <v>30</v>
      </c>
    </row>
    <row r="1870" spans="2:13" x14ac:dyDescent="0.2">
      <c r="C1870" t="b">
        <v>0</v>
      </c>
      <c r="D1870">
        <v>910.08</v>
      </c>
      <c r="E1870" t="s">
        <v>30</v>
      </c>
    </row>
    <row r="1871" spans="2:13" x14ac:dyDescent="0.2">
      <c r="C1871" t="b">
        <v>0</v>
      </c>
      <c r="D1871">
        <v>700.04</v>
      </c>
      <c r="E1871" t="s">
        <v>30</v>
      </c>
    </row>
    <row r="1872" spans="2:13" x14ac:dyDescent="0.2">
      <c r="C1872" t="b">
        <v>0</v>
      </c>
      <c r="D1872">
        <v>970.07</v>
      </c>
      <c r="E1872" t="s">
        <v>30</v>
      </c>
    </row>
    <row r="1873" spans="1:13" x14ac:dyDescent="0.2">
      <c r="C1873" t="b">
        <v>0</v>
      </c>
      <c r="D1873">
        <v>1080.08</v>
      </c>
      <c r="E1873" t="s">
        <v>30</v>
      </c>
    </row>
    <row r="1874" spans="1:13" x14ac:dyDescent="0.2">
      <c r="C1874" t="b">
        <v>0</v>
      </c>
      <c r="D1874">
        <v>840.06</v>
      </c>
      <c r="E1874" t="s">
        <v>30</v>
      </c>
    </row>
    <row r="1875" spans="1:13" x14ac:dyDescent="0.2">
      <c r="C1875" t="b">
        <v>0</v>
      </c>
      <c r="D1875">
        <v>810.06</v>
      </c>
      <c r="E1875" t="s">
        <v>30</v>
      </c>
    </row>
    <row r="1876" spans="1:13" x14ac:dyDescent="0.2">
      <c r="B1876" t="s">
        <v>11</v>
      </c>
    </row>
    <row r="1877" spans="1:13" x14ac:dyDescent="0.2">
      <c r="B1877" t="s">
        <v>12</v>
      </c>
      <c r="C1877" t="s">
        <v>13</v>
      </c>
      <c r="D1877" t="s">
        <v>14</v>
      </c>
      <c r="E1877" t="s">
        <v>15</v>
      </c>
      <c r="F1877" t="s">
        <v>16</v>
      </c>
      <c r="G1877" t="s">
        <v>17</v>
      </c>
      <c r="H1877" t="s">
        <v>18</v>
      </c>
      <c r="I1877" t="s">
        <v>19</v>
      </c>
      <c r="J1877" t="s">
        <v>20</v>
      </c>
      <c r="K1877" t="s">
        <v>21</v>
      </c>
      <c r="L1877" t="s">
        <v>22</v>
      </c>
      <c r="M1877" t="s">
        <v>23</v>
      </c>
    </row>
    <row r="1878" spans="1:13" x14ac:dyDescent="0.2">
      <c r="B1878" t="s">
        <v>33</v>
      </c>
      <c r="C1878">
        <v>89</v>
      </c>
      <c r="E1878" t="s">
        <v>25</v>
      </c>
      <c r="F1878">
        <v>4233.66</v>
      </c>
      <c r="G1878">
        <v>11.2</v>
      </c>
      <c r="K1878">
        <v>0.1</v>
      </c>
      <c r="L1878">
        <v>7</v>
      </c>
      <c r="M1878">
        <v>107.3</v>
      </c>
    </row>
    <row r="1879" spans="1:13" x14ac:dyDescent="0.2">
      <c r="C1879" t="s">
        <v>27</v>
      </c>
    </row>
    <row r="1880" spans="1:13" x14ac:dyDescent="0.2">
      <c r="C1880" t="s">
        <v>28</v>
      </c>
      <c r="D1880" t="s">
        <v>16</v>
      </c>
      <c r="E1880" t="s">
        <v>29</v>
      </c>
      <c r="F1880" t="s">
        <v>18</v>
      </c>
    </row>
    <row r="1881" spans="1:13" x14ac:dyDescent="0.2">
      <c r="C1881" t="b">
        <v>0</v>
      </c>
      <c r="D1881">
        <v>3640.62</v>
      </c>
      <c r="E1881" t="s">
        <v>30</v>
      </c>
    </row>
    <row r="1882" spans="1:13" x14ac:dyDescent="0.2">
      <c r="C1882" t="b">
        <v>0</v>
      </c>
      <c r="D1882">
        <v>3840.67</v>
      </c>
      <c r="E1882" t="s">
        <v>30</v>
      </c>
    </row>
    <row r="1883" spans="1:13" x14ac:dyDescent="0.2">
      <c r="C1883" t="b">
        <v>0</v>
      </c>
      <c r="D1883">
        <v>4470.87</v>
      </c>
      <c r="E1883" t="s">
        <v>30</v>
      </c>
    </row>
    <row r="1884" spans="1:13" x14ac:dyDescent="0.2">
      <c r="C1884" t="b">
        <v>0</v>
      </c>
      <c r="D1884">
        <v>3820.67</v>
      </c>
      <c r="E1884" t="s">
        <v>30</v>
      </c>
    </row>
    <row r="1885" spans="1:13" x14ac:dyDescent="0.2">
      <c r="C1885" t="b">
        <v>0</v>
      </c>
      <c r="D1885">
        <v>4771</v>
      </c>
      <c r="E1885" t="s">
        <v>30</v>
      </c>
    </row>
    <row r="1886" spans="1:13" x14ac:dyDescent="0.2">
      <c r="C1886" t="b">
        <v>0</v>
      </c>
      <c r="D1886">
        <v>4280.78</v>
      </c>
      <c r="E1886" t="s">
        <v>30</v>
      </c>
    </row>
    <row r="1887" spans="1:13" x14ac:dyDescent="0.2">
      <c r="C1887" t="b">
        <v>0</v>
      </c>
      <c r="D1887">
        <v>4811</v>
      </c>
      <c r="E1887" t="s">
        <v>30</v>
      </c>
    </row>
    <row r="1888" spans="1:13" x14ac:dyDescent="0.2">
      <c r="A1888" t="s">
        <v>0</v>
      </c>
    </row>
    <row r="1889" spans="1:13" x14ac:dyDescent="0.2"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6</v>
      </c>
    </row>
    <row r="1890" spans="1:13" x14ac:dyDescent="0.2">
      <c r="A1890" t="s">
        <v>147</v>
      </c>
      <c r="B1890" t="b">
        <v>0</v>
      </c>
      <c r="C1890" t="s">
        <v>148</v>
      </c>
      <c r="D1890" t="s">
        <v>149</v>
      </c>
      <c r="E1890" t="s">
        <v>150</v>
      </c>
      <c r="G1890" t="s">
        <v>151</v>
      </c>
    </row>
    <row r="1891" spans="1:13" x14ac:dyDescent="0.2">
      <c r="B1891" t="s">
        <v>11</v>
      </c>
    </row>
    <row r="1892" spans="1:13" x14ac:dyDescent="0.2">
      <c r="B1892" t="s">
        <v>12</v>
      </c>
      <c r="C1892" t="s">
        <v>13</v>
      </c>
      <c r="D1892" t="s">
        <v>14</v>
      </c>
      <c r="E1892" t="s">
        <v>15</v>
      </c>
      <c r="F1892" t="s">
        <v>16</v>
      </c>
      <c r="G1892" t="s">
        <v>17</v>
      </c>
      <c r="H1892" t="s">
        <v>18</v>
      </c>
      <c r="I1892" t="s">
        <v>19</v>
      </c>
      <c r="J1892" t="s">
        <v>20</v>
      </c>
      <c r="K1892" t="s">
        <v>21</v>
      </c>
      <c r="L1892" t="s">
        <v>22</v>
      </c>
      <c r="M1892" t="s">
        <v>23</v>
      </c>
    </row>
    <row r="1893" spans="1:13" x14ac:dyDescent="0.2">
      <c r="B1893" t="s">
        <v>24</v>
      </c>
      <c r="C1893">
        <v>59</v>
      </c>
      <c r="E1893" t="s">
        <v>25</v>
      </c>
      <c r="F1893">
        <v>214448.18</v>
      </c>
      <c r="G1893">
        <v>1.1000000000000001</v>
      </c>
      <c r="H1893">
        <v>9.5000000000000001E-2</v>
      </c>
      <c r="I1893" t="s">
        <v>26</v>
      </c>
      <c r="J1893">
        <v>1.1000000000000001</v>
      </c>
      <c r="K1893">
        <v>0.1</v>
      </c>
      <c r="L1893">
        <v>7</v>
      </c>
    </row>
    <row r="1894" spans="1:13" x14ac:dyDescent="0.2">
      <c r="C1894" t="s">
        <v>27</v>
      </c>
    </row>
    <row r="1895" spans="1:13" x14ac:dyDescent="0.2">
      <c r="C1895" t="s">
        <v>28</v>
      </c>
      <c r="D1895" t="s">
        <v>16</v>
      </c>
      <c r="E1895" t="s">
        <v>29</v>
      </c>
      <c r="F1895" t="s">
        <v>18</v>
      </c>
    </row>
    <row r="1896" spans="1:13" x14ac:dyDescent="0.2">
      <c r="C1896" t="b">
        <v>0</v>
      </c>
      <c r="D1896">
        <v>210978.24</v>
      </c>
      <c r="E1896" t="s">
        <v>30</v>
      </c>
      <c r="F1896">
        <v>9.4E-2</v>
      </c>
    </row>
    <row r="1897" spans="1:13" x14ac:dyDescent="0.2">
      <c r="C1897" t="b">
        <v>0</v>
      </c>
      <c r="D1897">
        <v>212879.06</v>
      </c>
      <c r="E1897" t="s">
        <v>30</v>
      </c>
      <c r="F1897">
        <v>9.5000000000000001E-2</v>
      </c>
    </row>
    <row r="1898" spans="1:13" x14ac:dyDescent="0.2">
      <c r="C1898" t="b">
        <v>0</v>
      </c>
      <c r="D1898">
        <v>216165.43</v>
      </c>
      <c r="E1898" t="s">
        <v>30</v>
      </c>
      <c r="F1898">
        <v>9.6000000000000002E-2</v>
      </c>
    </row>
    <row r="1899" spans="1:13" x14ac:dyDescent="0.2">
      <c r="C1899" t="b">
        <v>0</v>
      </c>
      <c r="D1899">
        <v>214725.6</v>
      </c>
      <c r="E1899" t="s">
        <v>30</v>
      </c>
      <c r="F1899">
        <v>9.5000000000000001E-2</v>
      </c>
    </row>
    <row r="1900" spans="1:13" x14ac:dyDescent="0.2">
      <c r="C1900" t="b">
        <v>0</v>
      </c>
      <c r="D1900">
        <v>218349.76</v>
      </c>
      <c r="E1900" t="s">
        <v>30</v>
      </c>
      <c r="F1900">
        <v>9.7000000000000003E-2</v>
      </c>
    </row>
    <row r="1901" spans="1:13" x14ac:dyDescent="0.2">
      <c r="C1901" t="b">
        <v>0</v>
      </c>
      <c r="D1901">
        <v>214085.6</v>
      </c>
      <c r="E1901" t="s">
        <v>30</v>
      </c>
      <c r="F1901">
        <v>9.5000000000000001E-2</v>
      </c>
    </row>
    <row r="1902" spans="1:13" x14ac:dyDescent="0.2">
      <c r="C1902" t="b">
        <v>0</v>
      </c>
      <c r="D1902">
        <v>213953.55</v>
      </c>
      <c r="E1902" t="s">
        <v>30</v>
      </c>
      <c r="F1902">
        <v>9.5000000000000001E-2</v>
      </c>
    </row>
    <row r="1903" spans="1:13" x14ac:dyDescent="0.2">
      <c r="B1903" t="s">
        <v>11</v>
      </c>
    </row>
    <row r="1904" spans="1:13" x14ac:dyDescent="0.2">
      <c r="B1904" t="s">
        <v>12</v>
      </c>
      <c r="C1904" t="s">
        <v>13</v>
      </c>
      <c r="D1904" t="s">
        <v>14</v>
      </c>
      <c r="E1904" t="s">
        <v>15</v>
      </c>
      <c r="F1904" t="s">
        <v>16</v>
      </c>
      <c r="G1904" t="s">
        <v>17</v>
      </c>
      <c r="H1904" t="s">
        <v>18</v>
      </c>
      <c r="I1904" t="s">
        <v>19</v>
      </c>
      <c r="J1904" t="s">
        <v>20</v>
      </c>
      <c r="K1904" t="s">
        <v>21</v>
      </c>
      <c r="L1904" t="s">
        <v>22</v>
      </c>
      <c r="M1904" t="s">
        <v>23</v>
      </c>
    </row>
    <row r="1905" spans="2:13" x14ac:dyDescent="0.2">
      <c r="B1905" t="s">
        <v>31</v>
      </c>
      <c r="C1905">
        <v>45</v>
      </c>
      <c r="E1905" t="s">
        <v>25</v>
      </c>
      <c r="F1905">
        <v>1181.52</v>
      </c>
      <c r="G1905">
        <v>8.8000000000000007</v>
      </c>
      <c r="K1905">
        <v>0.1</v>
      </c>
      <c r="L1905">
        <v>7</v>
      </c>
      <c r="M1905">
        <v>114.4</v>
      </c>
    </row>
    <row r="1906" spans="2:13" x14ac:dyDescent="0.2">
      <c r="C1906" t="s">
        <v>27</v>
      </c>
    </row>
    <row r="1907" spans="2:13" x14ac:dyDescent="0.2">
      <c r="C1907" t="s">
        <v>28</v>
      </c>
      <c r="D1907" t="s">
        <v>16</v>
      </c>
      <c r="E1907" t="s">
        <v>29</v>
      </c>
      <c r="F1907" t="s">
        <v>18</v>
      </c>
    </row>
    <row r="1908" spans="2:13" x14ac:dyDescent="0.2">
      <c r="C1908" t="b">
        <v>0</v>
      </c>
      <c r="D1908">
        <v>1230.1099999999999</v>
      </c>
      <c r="E1908" t="s">
        <v>30</v>
      </c>
    </row>
    <row r="1909" spans="2:13" x14ac:dyDescent="0.2">
      <c r="C1909" t="b">
        <v>0</v>
      </c>
      <c r="D1909">
        <v>1030.07</v>
      </c>
      <c r="E1909" t="s">
        <v>30</v>
      </c>
    </row>
    <row r="1910" spans="2:13" x14ac:dyDescent="0.2">
      <c r="C1910" t="b">
        <v>0</v>
      </c>
      <c r="D1910">
        <v>1040.08</v>
      </c>
      <c r="E1910" t="s">
        <v>30</v>
      </c>
    </row>
    <row r="1911" spans="2:13" x14ac:dyDescent="0.2">
      <c r="C1911" t="b">
        <v>0</v>
      </c>
      <c r="D1911">
        <v>1290.0999999999999</v>
      </c>
      <c r="E1911" t="s">
        <v>30</v>
      </c>
    </row>
    <row r="1912" spans="2:13" x14ac:dyDescent="0.2">
      <c r="C1912" t="b">
        <v>0</v>
      </c>
      <c r="D1912">
        <v>1240.1099999999999</v>
      </c>
      <c r="E1912" t="s">
        <v>30</v>
      </c>
    </row>
    <row r="1913" spans="2:13" x14ac:dyDescent="0.2">
      <c r="C1913" t="b">
        <v>0</v>
      </c>
      <c r="D1913">
        <v>1240.0999999999999</v>
      </c>
      <c r="E1913" t="s">
        <v>30</v>
      </c>
    </row>
    <row r="1914" spans="2:13" x14ac:dyDescent="0.2">
      <c r="C1914" t="b">
        <v>0</v>
      </c>
      <c r="D1914">
        <v>1200.0899999999999</v>
      </c>
      <c r="E1914" t="s">
        <v>30</v>
      </c>
    </row>
    <row r="1915" spans="2:13" x14ac:dyDescent="0.2">
      <c r="B1915" t="s">
        <v>11</v>
      </c>
    </row>
    <row r="1916" spans="2:13" x14ac:dyDescent="0.2">
      <c r="B1916" t="s">
        <v>12</v>
      </c>
      <c r="C1916" t="s">
        <v>13</v>
      </c>
      <c r="D1916" t="s">
        <v>14</v>
      </c>
      <c r="E1916" t="s">
        <v>15</v>
      </c>
      <c r="F1916" t="s">
        <v>16</v>
      </c>
      <c r="G1916" t="s">
        <v>17</v>
      </c>
      <c r="H1916" t="s">
        <v>18</v>
      </c>
      <c r="I1916" t="s">
        <v>19</v>
      </c>
      <c r="J1916" t="s">
        <v>20</v>
      </c>
      <c r="K1916" t="s">
        <v>21</v>
      </c>
      <c r="L1916" t="s">
        <v>22</v>
      </c>
      <c r="M1916" t="s">
        <v>23</v>
      </c>
    </row>
    <row r="1917" spans="2:13" x14ac:dyDescent="0.2">
      <c r="B1917" t="s">
        <v>32</v>
      </c>
      <c r="C1917">
        <v>72</v>
      </c>
      <c r="E1917" t="s">
        <v>25</v>
      </c>
      <c r="F1917">
        <v>1044.3599999999999</v>
      </c>
      <c r="G1917">
        <v>6.8</v>
      </c>
      <c r="K1917">
        <v>0.1</v>
      </c>
      <c r="L1917">
        <v>7</v>
      </c>
      <c r="M1917">
        <v>140</v>
      </c>
    </row>
    <row r="1918" spans="2:13" x14ac:dyDescent="0.2">
      <c r="C1918" t="s">
        <v>27</v>
      </c>
    </row>
    <row r="1919" spans="2:13" x14ac:dyDescent="0.2">
      <c r="C1919" t="s">
        <v>28</v>
      </c>
      <c r="D1919" t="s">
        <v>16</v>
      </c>
      <c r="E1919" t="s">
        <v>29</v>
      </c>
      <c r="F1919" t="s">
        <v>18</v>
      </c>
    </row>
    <row r="1920" spans="2:13" x14ac:dyDescent="0.2">
      <c r="C1920" t="b">
        <v>0</v>
      </c>
      <c r="D1920">
        <v>1140.08</v>
      </c>
      <c r="E1920" t="s">
        <v>30</v>
      </c>
    </row>
    <row r="1921" spans="2:13" x14ac:dyDescent="0.2">
      <c r="C1921" t="b">
        <v>0</v>
      </c>
      <c r="D1921">
        <v>1100.07</v>
      </c>
      <c r="E1921" t="s">
        <v>30</v>
      </c>
    </row>
    <row r="1922" spans="2:13" x14ac:dyDescent="0.2">
      <c r="C1922" t="b">
        <v>0</v>
      </c>
      <c r="D1922">
        <v>1050.08</v>
      </c>
      <c r="E1922" t="s">
        <v>30</v>
      </c>
    </row>
    <row r="1923" spans="2:13" x14ac:dyDescent="0.2">
      <c r="C1923" t="b">
        <v>0</v>
      </c>
      <c r="D1923">
        <v>1040.0899999999999</v>
      </c>
      <c r="E1923" t="s">
        <v>30</v>
      </c>
    </row>
    <row r="1924" spans="2:13" x14ac:dyDescent="0.2">
      <c r="C1924" t="b">
        <v>0</v>
      </c>
      <c r="D1924">
        <v>1030.08</v>
      </c>
      <c r="E1924" t="s">
        <v>30</v>
      </c>
    </row>
    <row r="1925" spans="2:13" x14ac:dyDescent="0.2">
      <c r="C1925" t="b">
        <v>0</v>
      </c>
      <c r="D1925">
        <v>910.07</v>
      </c>
      <c r="E1925" t="s">
        <v>30</v>
      </c>
    </row>
    <row r="1926" spans="2:13" x14ac:dyDescent="0.2">
      <c r="C1926" t="b">
        <v>0</v>
      </c>
      <c r="D1926">
        <v>1040.08</v>
      </c>
      <c r="E1926" t="s">
        <v>30</v>
      </c>
    </row>
    <row r="1927" spans="2:13" x14ac:dyDescent="0.2">
      <c r="B1927" t="s">
        <v>11</v>
      </c>
    </row>
    <row r="1928" spans="2:13" x14ac:dyDescent="0.2">
      <c r="B1928" t="s">
        <v>12</v>
      </c>
      <c r="C1928" t="s">
        <v>13</v>
      </c>
      <c r="D1928" t="s">
        <v>14</v>
      </c>
      <c r="E1928" t="s">
        <v>15</v>
      </c>
      <c r="F1928" t="s">
        <v>16</v>
      </c>
      <c r="G1928" t="s">
        <v>17</v>
      </c>
      <c r="H1928" t="s">
        <v>18</v>
      </c>
      <c r="I1928" t="s">
        <v>19</v>
      </c>
      <c r="J1928" t="s">
        <v>20</v>
      </c>
      <c r="K1928" t="s">
        <v>21</v>
      </c>
      <c r="L1928" t="s">
        <v>22</v>
      </c>
      <c r="M1928" t="s">
        <v>23</v>
      </c>
    </row>
    <row r="1929" spans="2:13" x14ac:dyDescent="0.2">
      <c r="B1929" t="s">
        <v>33</v>
      </c>
      <c r="C1929">
        <v>89</v>
      </c>
      <c r="E1929" t="s">
        <v>25</v>
      </c>
      <c r="F1929">
        <v>5737.13</v>
      </c>
      <c r="G1929">
        <v>3.5</v>
      </c>
      <c r="K1929">
        <v>0.1</v>
      </c>
      <c r="L1929">
        <v>7</v>
      </c>
      <c r="M1929">
        <v>145.4</v>
      </c>
    </row>
    <row r="1930" spans="2:13" x14ac:dyDescent="0.2">
      <c r="C1930" t="s">
        <v>27</v>
      </c>
    </row>
    <row r="1931" spans="2:13" x14ac:dyDescent="0.2">
      <c r="C1931" t="s">
        <v>28</v>
      </c>
      <c r="D1931" t="s">
        <v>16</v>
      </c>
      <c r="E1931" t="s">
        <v>29</v>
      </c>
      <c r="F1931" t="s">
        <v>18</v>
      </c>
    </row>
    <row r="1932" spans="2:13" x14ac:dyDescent="0.2">
      <c r="C1932" t="b">
        <v>0</v>
      </c>
      <c r="D1932">
        <v>6081.51</v>
      </c>
      <c r="E1932" t="s">
        <v>30</v>
      </c>
    </row>
    <row r="1933" spans="2:13" x14ac:dyDescent="0.2">
      <c r="C1933" t="b">
        <v>0</v>
      </c>
      <c r="D1933">
        <v>5811.5</v>
      </c>
      <c r="E1933" t="s">
        <v>30</v>
      </c>
    </row>
    <row r="1934" spans="2:13" x14ac:dyDescent="0.2">
      <c r="C1934" t="b">
        <v>0</v>
      </c>
      <c r="D1934">
        <v>5571.38</v>
      </c>
      <c r="E1934" t="s">
        <v>30</v>
      </c>
    </row>
    <row r="1935" spans="2:13" x14ac:dyDescent="0.2">
      <c r="C1935" t="b">
        <v>0</v>
      </c>
      <c r="D1935">
        <v>5791.43</v>
      </c>
      <c r="E1935" t="s">
        <v>30</v>
      </c>
    </row>
    <row r="1936" spans="2:13" x14ac:dyDescent="0.2">
      <c r="C1936" t="b">
        <v>0</v>
      </c>
      <c r="D1936">
        <v>5531.33</v>
      </c>
      <c r="E1936" t="s">
        <v>30</v>
      </c>
    </row>
    <row r="1937" spans="1:13" x14ac:dyDescent="0.2">
      <c r="C1937" t="b">
        <v>0</v>
      </c>
      <c r="D1937">
        <v>5541.36</v>
      </c>
      <c r="E1937" t="s">
        <v>30</v>
      </c>
    </row>
    <row r="1938" spans="1:13" x14ac:dyDescent="0.2">
      <c r="C1938" t="b">
        <v>0</v>
      </c>
      <c r="D1938">
        <v>5831.42</v>
      </c>
      <c r="E1938" t="s">
        <v>30</v>
      </c>
    </row>
    <row r="1939" spans="1:13" x14ac:dyDescent="0.2">
      <c r="A1939" t="s">
        <v>0</v>
      </c>
    </row>
    <row r="1940" spans="1:13" x14ac:dyDescent="0.2"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6</v>
      </c>
    </row>
    <row r="1941" spans="1:13" x14ac:dyDescent="0.2">
      <c r="B1941" t="b">
        <v>0</v>
      </c>
      <c r="C1941" t="s">
        <v>152</v>
      </c>
      <c r="D1941" t="s">
        <v>153</v>
      </c>
      <c r="E1941" t="s">
        <v>9</v>
      </c>
      <c r="G1941" t="s">
        <v>146</v>
      </c>
    </row>
    <row r="1942" spans="1:13" x14ac:dyDescent="0.2">
      <c r="B1942" t="s">
        <v>11</v>
      </c>
    </row>
    <row r="1943" spans="1:13" x14ac:dyDescent="0.2">
      <c r="B1943" t="s">
        <v>12</v>
      </c>
      <c r="C1943" t="s">
        <v>13</v>
      </c>
      <c r="D1943" t="s">
        <v>14</v>
      </c>
      <c r="E1943" t="s">
        <v>15</v>
      </c>
      <c r="F1943" t="s">
        <v>16</v>
      </c>
      <c r="G1943" t="s">
        <v>17</v>
      </c>
      <c r="H1943" t="s">
        <v>18</v>
      </c>
      <c r="I1943" t="s">
        <v>19</v>
      </c>
      <c r="J1943" t="s">
        <v>20</v>
      </c>
      <c r="K1943" t="s">
        <v>21</v>
      </c>
      <c r="L1943" t="s">
        <v>22</v>
      </c>
      <c r="M1943" t="s">
        <v>23</v>
      </c>
    </row>
    <row r="1944" spans="1:13" x14ac:dyDescent="0.2">
      <c r="B1944" t="s">
        <v>24</v>
      </c>
      <c r="C1944">
        <v>59</v>
      </c>
      <c r="E1944" t="s">
        <v>25</v>
      </c>
      <c r="F1944">
        <v>132.86000000000001</v>
      </c>
      <c r="G1944">
        <v>14.9</v>
      </c>
      <c r="H1944">
        <v>0</v>
      </c>
      <c r="I1944" t="s">
        <v>26</v>
      </c>
      <c r="J1944">
        <v>25.6</v>
      </c>
      <c r="K1944">
        <v>0.1</v>
      </c>
      <c r="L1944">
        <v>7</v>
      </c>
    </row>
    <row r="1945" spans="1:13" x14ac:dyDescent="0.2">
      <c r="C1945" t="s">
        <v>27</v>
      </c>
    </row>
    <row r="1946" spans="1:13" x14ac:dyDescent="0.2">
      <c r="C1946" t="s">
        <v>28</v>
      </c>
      <c r="D1946" t="s">
        <v>16</v>
      </c>
      <c r="E1946" t="s">
        <v>29</v>
      </c>
      <c r="F1946" t="s">
        <v>18</v>
      </c>
    </row>
    <row r="1947" spans="1:13" x14ac:dyDescent="0.2">
      <c r="C1947" t="b">
        <v>0</v>
      </c>
      <c r="D1947">
        <v>120</v>
      </c>
      <c r="E1947" t="s">
        <v>30</v>
      </c>
      <c r="F1947">
        <v>0</v>
      </c>
    </row>
    <row r="1948" spans="1:13" x14ac:dyDescent="0.2">
      <c r="C1948" t="b">
        <v>0</v>
      </c>
      <c r="D1948">
        <v>120.01</v>
      </c>
      <c r="E1948" t="s">
        <v>30</v>
      </c>
      <c r="F1948">
        <v>0</v>
      </c>
    </row>
    <row r="1949" spans="1:13" x14ac:dyDescent="0.2">
      <c r="C1949" t="b">
        <v>0</v>
      </c>
      <c r="D1949">
        <v>110</v>
      </c>
      <c r="E1949" t="s">
        <v>30</v>
      </c>
      <c r="F1949">
        <v>0</v>
      </c>
    </row>
    <row r="1950" spans="1:13" x14ac:dyDescent="0.2">
      <c r="C1950" t="b">
        <v>0</v>
      </c>
      <c r="D1950">
        <v>140</v>
      </c>
      <c r="E1950" t="s">
        <v>30</v>
      </c>
      <c r="F1950">
        <v>0</v>
      </c>
    </row>
    <row r="1951" spans="1:13" x14ac:dyDescent="0.2">
      <c r="C1951" t="b">
        <v>0</v>
      </c>
      <c r="D1951">
        <v>170.01</v>
      </c>
      <c r="E1951" t="s">
        <v>30</v>
      </c>
      <c r="F1951">
        <v>0</v>
      </c>
    </row>
    <row r="1952" spans="1:13" x14ac:dyDescent="0.2">
      <c r="C1952" t="b">
        <v>0</v>
      </c>
      <c r="D1952">
        <v>130.01</v>
      </c>
      <c r="E1952" t="s">
        <v>30</v>
      </c>
      <c r="F1952">
        <v>0</v>
      </c>
    </row>
    <row r="1953" spans="2:13" x14ac:dyDescent="0.2">
      <c r="C1953" t="b">
        <v>0</v>
      </c>
      <c r="D1953">
        <v>140.01</v>
      </c>
      <c r="E1953" t="s">
        <v>30</v>
      </c>
      <c r="F1953">
        <v>0</v>
      </c>
    </row>
    <row r="1954" spans="2:13" x14ac:dyDescent="0.2">
      <c r="B1954" t="s">
        <v>11</v>
      </c>
    </row>
    <row r="1955" spans="2:13" x14ac:dyDescent="0.2">
      <c r="B1955" t="s">
        <v>12</v>
      </c>
      <c r="C1955" t="s">
        <v>13</v>
      </c>
      <c r="D1955" t="s">
        <v>14</v>
      </c>
      <c r="E1955" t="s">
        <v>15</v>
      </c>
      <c r="F1955" t="s">
        <v>16</v>
      </c>
      <c r="G1955" t="s">
        <v>17</v>
      </c>
      <c r="H1955" t="s">
        <v>18</v>
      </c>
      <c r="I1955" t="s">
        <v>19</v>
      </c>
      <c r="J1955" t="s">
        <v>20</v>
      </c>
      <c r="K1955" t="s">
        <v>21</v>
      </c>
      <c r="L1955" t="s">
        <v>22</v>
      </c>
      <c r="M1955" t="s">
        <v>23</v>
      </c>
    </row>
    <row r="1956" spans="2:13" x14ac:dyDescent="0.2">
      <c r="B1956" t="s">
        <v>31</v>
      </c>
      <c r="C1956">
        <v>45</v>
      </c>
      <c r="E1956" t="s">
        <v>25</v>
      </c>
      <c r="F1956">
        <v>897.2</v>
      </c>
      <c r="G1956">
        <v>7.2</v>
      </c>
      <c r="K1956">
        <v>0.1</v>
      </c>
      <c r="L1956">
        <v>7</v>
      </c>
      <c r="M1956">
        <v>86.9</v>
      </c>
    </row>
    <row r="1957" spans="2:13" x14ac:dyDescent="0.2">
      <c r="C1957" t="s">
        <v>27</v>
      </c>
    </row>
    <row r="1958" spans="2:13" x14ac:dyDescent="0.2">
      <c r="C1958" t="s">
        <v>28</v>
      </c>
      <c r="D1958" t="s">
        <v>16</v>
      </c>
      <c r="E1958" t="s">
        <v>29</v>
      </c>
      <c r="F1958" t="s">
        <v>18</v>
      </c>
    </row>
    <row r="1959" spans="2:13" x14ac:dyDescent="0.2">
      <c r="C1959" t="b">
        <v>0</v>
      </c>
      <c r="D1959">
        <v>810.05</v>
      </c>
      <c r="E1959" t="s">
        <v>30</v>
      </c>
    </row>
    <row r="1960" spans="2:13" x14ac:dyDescent="0.2">
      <c r="C1960" t="b">
        <v>0</v>
      </c>
      <c r="D1960">
        <v>910.06</v>
      </c>
      <c r="E1960" t="s">
        <v>30</v>
      </c>
    </row>
    <row r="1961" spans="2:13" x14ac:dyDescent="0.2">
      <c r="C1961" t="b">
        <v>0</v>
      </c>
      <c r="D1961">
        <v>890.06</v>
      </c>
      <c r="E1961" t="s">
        <v>30</v>
      </c>
    </row>
    <row r="1962" spans="2:13" x14ac:dyDescent="0.2">
      <c r="C1962" t="b">
        <v>0</v>
      </c>
      <c r="D1962">
        <v>820.05</v>
      </c>
      <c r="E1962" t="s">
        <v>30</v>
      </c>
    </row>
    <row r="1963" spans="2:13" x14ac:dyDescent="0.2">
      <c r="C1963" t="b">
        <v>0</v>
      </c>
      <c r="D1963">
        <v>980.07</v>
      </c>
      <c r="E1963" t="s">
        <v>30</v>
      </c>
    </row>
    <row r="1964" spans="2:13" x14ac:dyDescent="0.2">
      <c r="C1964" t="b">
        <v>0</v>
      </c>
      <c r="D1964">
        <v>910.06</v>
      </c>
      <c r="E1964" t="s">
        <v>30</v>
      </c>
    </row>
    <row r="1965" spans="2:13" x14ac:dyDescent="0.2">
      <c r="C1965" t="b">
        <v>0</v>
      </c>
      <c r="D1965">
        <v>960.06</v>
      </c>
      <c r="E1965" t="s">
        <v>30</v>
      </c>
    </row>
    <row r="1966" spans="2:13" x14ac:dyDescent="0.2">
      <c r="B1966" t="s">
        <v>11</v>
      </c>
    </row>
    <row r="1967" spans="2:13" x14ac:dyDescent="0.2">
      <c r="B1967" t="s">
        <v>12</v>
      </c>
      <c r="C1967" t="s">
        <v>13</v>
      </c>
      <c r="D1967" t="s">
        <v>14</v>
      </c>
      <c r="E1967" t="s">
        <v>15</v>
      </c>
      <c r="F1967" t="s">
        <v>16</v>
      </c>
      <c r="G1967" t="s">
        <v>17</v>
      </c>
      <c r="H1967" t="s">
        <v>18</v>
      </c>
      <c r="I1967" t="s">
        <v>19</v>
      </c>
      <c r="J1967" t="s">
        <v>20</v>
      </c>
      <c r="K1967" t="s">
        <v>21</v>
      </c>
      <c r="L1967" t="s">
        <v>22</v>
      </c>
      <c r="M1967" t="s">
        <v>23</v>
      </c>
    </row>
    <row r="1968" spans="2:13" x14ac:dyDescent="0.2">
      <c r="B1968" t="s">
        <v>32</v>
      </c>
      <c r="C1968">
        <v>72</v>
      </c>
      <c r="E1968" t="s">
        <v>25</v>
      </c>
      <c r="F1968">
        <v>705.76</v>
      </c>
      <c r="G1968">
        <v>14.1</v>
      </c>
      <c r="K1968">
        <v>0.1</v>
      </c>
      <c r="L1968">
        <v>7</v>
      </c>
      <c r="M1968">
        <v>94.6</v>
      </c>
    </row>
    <row r="1969" spans="2:13" x14ac:dyDescent="0.2">
      <c r="C1969" t="s">
        <v>27</v>
      </c>
    </row>
    <row r="1970" spans="2:13" x14ac:dyDescent="0.2">
      <c r="C1970" t="s">
        <v>28</v>
      </c>
      <c r="D1970" t="s">
        <v>16</v>
      </c>
      <c r="E1970" t="s">
        <v>29</v>
      </c>
      <c r="F1970" t="s">
        <v>18</v>
      </c>
    </row>
    <row r="1971" spans="2:13" x14ac:dyDescent="0.2">
      <c r="C1971" t="b">
        <v>0</v>
      </c>
      <c r="D1971">
        <v>770.05</v>
      </c>
      <c r="E1971" t="s">
        <v>30</v>
      </c>
    </row>
    <row r="1972" spans="2:13" x14ac:dyDescent="0.2">
      <c r="C1972" t="b">
        <v>0</v>
      </c>
      <c r="D1972">
        <v>640.04</v>
      </c>
      <c r="E1972" t="s">
        <v>30</v>
      </c>
    </row>
    <row r="1973" spans="2:13" x14ac:dyDescent="0.2">
      <c r="C1973" t="b">
        <v>0</v>
      </c>
      <c r="D1973">
        <v>600.04</v>
      </c>
      <c r="E1973" t="s">
        <v>30</v>
      </c>
    </row>
    <row r="1974" spans="2:13" x14ac:dyDescent="0.2">
      <c r="C1974" t="b">
        <v>0</v>
      </c>
      <c r="D1974">
        <v>720.04</v>
      </c>
      <c r="E1974" t="s">
        <v>30</v>
      </c>
    </row>
    <row r="1975" spans="2:13" x14ac:dyDescent="0.2">
      <c r="C1975" t="b">
        <v>0</v>
      </c>
      <c r="D1975">
        <v>580.03</v>
      </c>
      <c r="E1975" t="s">
        <v>30</v>
      </c>
    </row>
    <row r="1976" spans="2:13" x14ac:dyDescent="0.2">
      <c r="C1976" t="b">
        <v>0</v>
      </c>
      <c r="D1976">
        <v>810.06</v>
      </c>
      <c r="E1976" t="s">
        <v>30</v>
      </c>
    </row>
    <row r="1977" spans="2:13" x14ac:dyDescent="0.2">
      <c r="C1977" t="b">
        <v>0</v>
      </c>
      <c r="D1977">
        <v>820.06</v>
      </c>
      <c r="E1977" t="s">
        <v>30</v>
      </c>
    </row>
    <row r="1978" spans="2:13" x14ac:dyDescent="0.2">
      <c r="B1978" t="s">
        <v>11</v>
      </c>
    </row>
    <row r="1979" spans="2:13" x14ac:dyDescent="0.2">
      <c r="B1979" t="s">
        <v>12</v>
      </c>
      <c r="C1979" t="s">
        <v>13</v>
      </c>
      <c r="D1979" t="s">
        <v>14</v>
      </c>
      <c r="E1979" t="s">
        <v>15</v>
      </c>
      <c r="F1979" t="s">
        <v>16</v>
      </c>
      <c r="G1979" t="s">
        <v>17</v>
      </c>
      <c r="H1979" t="s">
        <v>18</v>
      </c>
      <c r="I1979" t="s">
        <v>19</v>
      </c>
      <c r="J1979" t="s">
        <v>20</v>
      </c>
      <c r="K1979" t="s">
        <v>21</v>
      </c>
      <c r="L1979" t="s">
        <v>22</v>
      </c>
      <c r="M1979" t="s">
        <v>23</v>
      </c>
    </row>
    <row r="1980" spans="2:13" x14ac:dyDescent="0.2">
      <c r="B1980" t="s">
        <v>33</v>
      </c>
      <c r="C1980">
        <v>89</v>
      </c>
      <c r="E1980" t="s">
        <v>25</v>
      </c>
      <c r="F1980">
        <v>3789.23</v>
      </c>
      <c r="G1980">
        <v>6.6</v>
      </c>
      <c r="K1980">
        <v>0.1</v>
      </c>
      <c r="L1980">
        <v>7</v>
      </c>
      <c r="M1980">
        <v>96.1</v>
      </c>
    </row>
    <row r="1981" spans="2:13" x14ac:dyDescent="0.2">
      <c r="C1981" t="s">
        <v>27</v>
      </c>
    </row>
    <row r="1982" spans="2:13" x14ac:dyDescent="0.2">
      <c r="C1982" t="s">
        <v>28</v>
      </c>
      <c r="D1982" t="s">
        <v>16</v>
      </c>
      <c r="E1982" t="s">
        <v>29</v>
      </c>
      <c r="F1982" t="s">
        <v>18</v>
      </c>
    </row>
    <row r="1983" spans="2:13" x14ac:dyDescent="0.2">
      <c r="C1983" t="b">
        <v>0</v>
      </c>
      <c r="D1983">
        <v>3440.56</v>
      </c>
      <c r="E1983" t="s">
        <v>30</v>
      </c>
    </row>
    <row r="1984" spans="2:13" x14ac:dyDescent="0.2">
      <c r="C1984" t="b">
        <v>0</v>
      </c>
      <c r="D1984">
        <v>3920.67</v>
      </c>
      <c r="E1984" t="s">
        <v>30</v>
      </c>
    </row>
    <row r="1985" spans="1:13" x14ac:dyDescent="0.2">
      <c r="C1985" t="b">
        <v>0</v>
      </c>
      <c r="D1985">
        <v>3620.59</v>
      </c>
      <c r="E1985" t="s">
        <v>30</v>
      </c>
    </row>
    <row r="1986" spans="1:13" x14ac:dyDescent="0.2">
      <c r="C1986" t="b">
        <v>0</v>
      </c>
      <c r="D1986">
        <v>3620.6</v>
      </c>
      <c r="E1986" t="s">
        <v>30</v>
      </c>
    </row>
    <row r="1987" spans="1:13" x14ac:dyDescent="0.2">
      <c r="C1987" t="b">
        <v>0</v>
      </c>
      <c r="D1987">
        <v>3740.65</v>
      </c>
      <c r="E1987" t="s">
        <v>30</v>
      </c>
    </row>
    <row r="1988" spans="1:13" x14ac:dyDescent="0.2">
      <c r="C1988" t="b">
        <v>0</v>
      </c>
      <c r="D1988">
        <v>4070.74</v>
      </c>
      <c r="E1988" t="s">
        <v>30</v>
      </c>
    </row>
    <row r="1989" spans="1:13" x14ac:dyDescent="0.2">
      <c r="C1989" t="b">
        <v>0</v>
      </c>
      <c r="D1989">
        <v>4110.78</v>
      </c>
      <c r="E1989" t="s">
        <v>30</v>
      </c>
    </row>
    <row r="1990" spans="1:13" x14ac:dyDescent="0.2">
      <c r="A1990" t="s">
        <v>0</v>
      </c>
    </row>
    <row r="1991" spans="1:13" x14ac:dyDescent="0.2"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</row>
    <row r="1992" spans="1:13" x14ac:dyDescent="0.2">
      <c r="B1992" t="b">
        <v>0</v>
      </c>
      <c r="C1992" t="s">
        <v>154</v>
      </c>
      <c r="D1992" t="s">
        <v>155</v>
      </c>
      <c r="E1992" t="s">
        <v>0</v>
      </c>
      <c r="G1992" t="s">
        <v>156</v>
      </c>
    </row>
    <row r="1993" spans="1:13" x14ac:dyDescent="0.2">
      <c r="B1993" t="s">
        <v>11</v>
      </c>
    </row>
    <row r="1994" spans="1:13" x14ac:dyDescent="0.2">
      <c r="B1994" t="s">
        <v>12</v>
      </c>
      <c r="C1994" t="s">
        <v>13</v>
      </c>
      <c r="D1994" t="s">
        <v>14</v>
      </c>
      <c r="E1994" t="s">
        <v>15</v>
      </c>
      <c r="F1994" t="s">
        <v>16</v>
      </c>
      <c r="G1994" t="s">
        <v>17</v>
      </c>
      <c r="H1994" t="s">
        <v>18</v>
      </c>
      <c r="I1994" t="s">
        <v>19</v>
      </c>
      <c r="J1994" t="s">
        <v>20</v>
      </c>
      <c r="K1994" t="s">
        <v>21</v>
      </c>
      <c r="L1994" t="s">
        <v>22</v>
      </c>
      <c r="M1994" t="s">
        <v>23</v>
      </c>
    </row>
    <row r="1995" spans="1:13" x14ac:dyDescent="0.2">
      <c r="B1995" t="s">
        <v>24</v>
      </c>
      <c r="C1995">
        <v>59</v>
      </c>
      <c r="E1995" t="s">
        <v>25</v>
      </c>
      <c r="F1995">
        <v>1003312.89</v>
      </c>
      <c r="G1995">
        <v>0.4</v>
      </c>
      <c r="H1995">
        <v>0.44600000000000001</v>
      </c>
      <c r="I1995" t="s">
        <v>26</v>
      </c>
      <c r="J1995">
        <v>0.4</v>
      </c>
      <c r="K1995">
        <v>0.1</v>
      </c>
      <c r="L1995">
        <v>7</v>
      </c>
    </row>
    <row r="1996" spans="1:13" x14ac:dyDescent="0.2">
      <c r="C1996" t="s">
        <v>27</v>
      </c>
    </row>
    <row r="1997" spans="1:13" x14ac:dyDescent="0.2">
      <c r="C1997" t="s">
        <v>28</v>
      </c>
      <c r="D1997" t="s">
        <v>16</v>
      </c>
      <c r="E1997" t="s">
        <v>29</v>
      </c>
      <c r="F1997" t="s">
        <v>18</v>
      </c>
    </row>
    <row r="1998" spans="1:13" x14ac:dyDescent="0.2">
      <c r="C1998" t="b">
        <v>0</v>
      </c>
      <c r="D1998">
        <v>1007372.72</v>
      </c>
      <c r="E1998" t="s">
        <v>30</v>
      </c>
      <c r="F1998">
        <v>0.44800000000000001</v>
      </c>
    </row>
    <row r="1999" spans="1:13" x14ac:dyDescent="0.2">
      <c r="C1999" t="b">
        <v>0</v>
      </c>
      <c r="D1999">
        <v>1001106.24</v>
      </c>
      <c r="E1999" t="s">
        <v>30</v>
      </c>
      <c r="F1999">
        <v>0.44500000000000001</v>
      </c>
    </row>
    <row r="2000" spans="1:13" x14ac:dyDescent="0.2">
      <c r="C2000" t="b">
        <v>0</v>
      </c>
      <c r="D2000">
        <v>1003376.94</v>
      </c>
      <c r="E2000" t="s">
        <v>30</v>
      </c>
      <c r="F2000">
        <v>0.44600000000000001</v>
      </c>
    </row>
    <row r="2001" spans="2:13" x14ac:dyDescent="0.2">
      <c r="C2001" t="b">
        <v>0</v>
      </c>
      <c r="D2001">
        <v>1009284.2</v>
      </c>
      <c r="E2001" t="s">
        <v>30</v>
      </c>
      <c r="F2001">
        <v>0.44900000000000001</v>
      </c>
    </row>
    <row r="2002" spans="2:13" x14ac:dyDescent="0.2">
      <c r="C2002" t="b">
        <v>0</v>
      </c>
      <c r="D2002">
        <v>1000626</v>
      </c>
      <c r="E2002" t="s">
        <v>30</v>
      </c>
      <c r="F2002">
        <v>0.44500000000000001</v>
      </c>
    </row>
    <row r="2003" spans="2:13" x14ac:dyDescent="0.2">
      <c r="C2003" t="b">
        <v>0</v>
      </c>
      <c r="D2003">
        <v>1005300.38</v>
      </c>
      <c r="E2003" t="s">
        <v>30</v>
      </c>
      <c r="F2003">
        <v>0.44700000000000001</v>
      </c>
    </row>
    <row r="2004" spans="2:13" x14ac:dyDescent="0.2">
      <c r="C2004" t="b">
        <v>0</v>
      </c>
      <c r="D2004">
        <v>996123.74</v>
      </c>
      <c r="E2004" t="s">
        <v>30</v>
      </c>
      <c r="F2004">
        <v>0.443</v>
      </c>
    </row>
    <row r="2005" spans="2:13" x14ac:dyDescent="0.2">
      <c r="B2005" t="s">
        <v>11</v>
      </c>
    </row>
    <row r="2006" spans="2:13" x14ac:dyDescent="0.2">
      <c r="B2006" t="s">
        <v>12</v>
      </c>
      <c r="C2006" t="s">
        <v>13</v>
      </c>
      <c r="D2006" t="s">
        <v>14</v>
      </c>
      <c r="E2006" t="s">
        <v>15</v>
      </c>
      <c r="F2006" t="s">
        <v>16</v>
      </c>
      <c r="G2006" t="s">
        <v>17</v>
      </c>
      <c r="H2006" t="s">
        <v>18</v>
      </c>
      <c r="I2006" t="s">
        <v>19</v>
      </c>
      <c r="J2006" t="s">
        <v>20</v>
      </c>
      <c r="K2006" t="s">
        <v>21</v>
      </c>
      <c r="L2006" t="s">
        <v>22</v>
      </c>
      <c r="M2006" t="s">
        <v>23</v>
      </c>
    </row>
    <row r="2007" spans="2:13" x14ac:dyDescent="0.2">
      <c r="B2007" t="s">
        <v>31</v>
      </c>
      <c r="C2007">
        <v>45</v>
      </c>
      <c r="E2007" t="s">
        <v>25</v>
      </c>
      <c r="F2007">
        <v>1060.08</v>
      </c>
      <c r="G2007">
        <v>10.9</v>
      </c>
      <c r="K2007">
        <v>0.1</v>
      </c>
      <c r="L2007">
        <v>7</v>
      </c>
      <c r="M2007">
        <v>102.6</v>
      </c>
    </row>
    <row r="2008" spans="2:13" x14ac:dyDescent="0.2">
      <c r="C2008" t="s">
        <v>27</v>
      </c>
    </row>
    <row r="2009" spans="2:13" x14ac:dyDescent="0.2">
      <c r="C2009" t="s">
        <v>28</v>
      </c>
      <c r="D2009" t="s">
        <v>16</v>
      </c>
      <c r="E2009" t="s">
        <v>29</v>
      </c>
      <c r="F2009" t="s">
        <v>18</v>
      </c>
    </row>
    <row r="2010" spans="2:13" x14ac:dyDescent="0.2">
      <c r="C2010" t="b">
        <v>0</v>
      </c>
      <c r="D2010">
        <v>960.07</v>
      </c>
      <c r="E2010" t="s">
        <v>30</v>
      </c>
    </row>
    <row r="2011" spans="2:13" x14ac:dyDescent="0.2">
      <c r="C2011" t="b">
        <v>0</v>
      </c>
      <c r="D2011">
        <v>870.06</v>
      </c>
      <c r="E2011" t="s">
        <v>30</v>
      </c>
    </row>
    <row r="2012" spans="2:13" x14ac:dyDescent="0.2">
      <c r="C2012" t="b">
        <v>0</v>
      </c>
      <c r="D2012">
        <v>1160.0899999999999</v>
      </c>
      <c r="E2012" t="s">
        <v>30</v>
      </c>
    </row>
    <row r="2013" spans="2:13" x14ac:dyDescent="0.2">
      <c r="C2013" t="b">
        <v>0</v>
      </c>
      <c r="D2013">
        <v>1140.0899999999999</v>
      </c>
      <c r="E2013" t="s">
        <v>30</v>
      </c>
    </row>
    <row r="2014" spans="2:13" x14ac:dyDescent="0.2">
      <c r="C2014" t="b">
        <v>0</v>
      </c>
      <c r="D2014">
        <v>1000.07</v>
      </c>
      <c r="E2014" t="s">
        <v>30</v>
      </c>
    </row>
    <row r="2015" spans="2:13" x14ac:dyDescent="0.2">
      <c r="C2015" t="b">
        <v>0</v>
      </c>
      <c r="D2015">
        <v>1140.0899999999999</v>
      </c>
      <c r="E2015" t="s">
        <v>30</v>
      </c>
    </row>
    <row r="2016" spans="2:13" x14ac:dyDescent="0.2">
      <c r="C2016" t="b">
        <v>0</v>
      </c>
      <c r="D2016">
        <v>1150.0899999999999</v>
      </c>
      <c r="E2016" t="s">
        <v>30</v>
      </c>
    </row>
    <row r="2017" spans="2:13" x14ac:dyDescent="0.2">
      <c r="B2017" t="s">
        <v>11</v>
      </c>
    </row>
    <row r="2018" spans="2:13" x14ac:dyDescent="0.2">
      <c r="B2018" t="s">
        <v>12</v>
      </c>
      <c r="C2018" t="s">
        <v>13</v>
      </c>
      <c r="D2018" t="s">
        <v>14</v>
      </c>
      <c r="E2018" t="s">
        <v>15</v>
      </c>
      <c r="F2018" t="s">
        <v>16</v>
      </c>
      <c r="G2018" t="s">
        <v>17</v>
      </c>
      <c r="H2018" t="s">
        <v>18</v>
      </c>
      <c r="I2018" t="s">
        <v>19</v>
      </c>
      <c r="J2018" t="s">
        <v>20</v>
      </c>
      <c r="K2018" t="s">
        <v>21</v>
      </c>
      <c r="L2018" t="s">
        <v>22</v>
      </c>
      <c r="M2018" t="s">
        <v>23</v>
      </c>
    </row>
    <row r="2019" spans="2:13" x14ac:dyDescent="0.2">
      <c r="B2019" t="s">
        <v>32</v>
      </c>
      <c r="C2019">
        <v>72</v>
      </c>
      <c r="E2019" t="s">
        <v>25</v>
      </c>
      <c r="F2019">
        <v>838.63</v>
      </c>
      <c r="G2019">
        <v>11.5</v>
      </c>
      <c r="K2019">
        <v>0.1</v>
      </c>
      <c r="L2019">
        <v>7</v>
      </c>
      <c r="M2019">
        <v>112.5</v>
      </c>
    </row>
    <row r="2020" spans="2:13" x14ac:dyDescent="0.2">
      <c r="C2020" t="s">
        <v>27</v>
      </c>
    </row>
    <row r="2021" spans="2:13" x14ac:dyDescent="0.2">
      <c r="C2021" t="s">
        <v>28</v>
      </c>
      <c r="D2021" t="s">
        <v>16</v>
      </c>
      <c r="E2021" t="s">
        <v>29</v>
      </c>
      <c r="F2021" t="s">
        <v>18</v>
      </c>
    </row>
    <row r="2022" spans="2:13" x14ac:dyDescent="0.2">
      <c r="C2022" t="b">
        <v>0</v>
      </c>
      <c r="D2022">
        <v>840.06</v>
      </c>
      <c r="E2022" t="s">
        <v>30</v>
      </c>
    </row>
    <row r="2023" spans="2:13" x14ac:dyDescent="0.2">
      <c r="C2023" t="b">
        <v>0</v>
      </c>
      <c r="D2023">
        <v>820.05</v>
      </c>
      <c r="E2023" t="s">
        <v>30</v>
      </c>
    </row>
    <row r="2024" spans="2:13" x14ac:dyDescent="0.2">
      <c r="C2024" t="b">
        <v>0</v>
      </c>
      <c r="D2024">
        <v>790.06</v>
      </c>
      <c r="E2024" t="s">
        <v>30</v>
      </c>
    </row>
    <row r="2025" spans="2:13" x14ac:dyDescent="0.2">
      <c r="C2025" t="b">
        <v>0</v>
      </c>
      <c r="D2025">
        <v>940.06</v>
      </c>
      <c r="E2025" t="s">
        <v>30</v>
      </c>
    </row>
    <row r="2026" spans="2:13" x14ac:dyDescent="0.2">
      <c r="C2026" t="b">
        <v>0</v>
      </c>
      <c r="D2026">
        <v>780.05</v>
      </c>
      <c r="E2026" t="s">
        <v>30</v>
      </c>
    </row>
    <row r="2027" spans="2:13" x14ac:dyDescent="0.2">
      <c r="C2027" t="b">
        <v>0</v>
      </c>
      <c r="D2027">
        <v>990.07</v>
      </c>
      <c r="E2027" t="s">
        <v>30</v>
      </c>
    </row>
    <row r="2028" spans="2:13" x14ac:dyDescent="0.2">
      <c r="C2028" t="b">
        <v>0</v>
      </c>
      <c r="D2028">
        <v>710.05</v>
      </c>
      <c r="E2028" t="s">
        <v>30</v>
      </c>
    </row>
    <row r="2029" spans="2:13" x14ac:dyDescent="0.2">
      <c r="B2029" t="s">
        <v>11</v>
      </c>
    </row>
    <row r="2030" spans="2:13" x14ac:dyDescent="0.2">
      <c r="B2030" t="s">
        <v>12</v>
      </c>
      <c r="C2030" t="s">
        <v>13</v>
      </c>
      <c r="D2030" t="s">
        <v>14</v>
      </c>
      <c r="E2030" t="s">
        <v>15</v>
      </c>
      <c r="F2030" t="s">
        <v>16</v>
      </c>
      <c r="G2030" t="s">
        <v>17</v>
      </c>
      <c r="H2030" t="s">
        <v>18</v>
      </c>
      <c r="I2030" t="s">
        <v>19</v>
      </c>
      <c r="J2030" t="s">
        <v>20</v>
      </c>
      <c r="K2030" t="s">
        <v>21</v>
      </c>
      <c r="L2030" t="s">
        <v>22</v>
      </c>
      <c r="M2030" t="s">
        <v>23</v>
      </c>
    </row>
    <row r="2031" spans="2:13" x14ac:dyDescent="0.2">
      <c r="B2031" t="s">
        <v>33</v>
      </c>
      <c r="C2031">
        <v>89</v>
      </c>
      <c r="E2031" t="s">
        <v>25</v>
      </c>
      <c r="F2031">
        <v>4176.51</v>
      </c>
      <c r="G2031">
        <v>7.4</v>
      </c>
      <c r="K2031">
        <v>0.1</v>
      </c>
      <c r="L2031">
        <v>7</v>
      </c>
      <c r="M2031">
        <v>105.9</v>
      </c>
    </row>
    <row r="2032" spans="2:13" x14ac:dyDescent="0.2">
      <c r="C2032" t="s">
        <v>27</v>
      </c>
    </row>
    <row r="2033" spans="1:13" x14ac:dyDescent="0.2">
      <c r="C2033" t="s">
        <v>28</v>
      </c>
      <c r="D2033" t="s">
        <v>16</v>
      </c>
      <c r="E2033" t="s">
        <v>29</v>
      </c>
      <c r="F2033" t="s">
        <v>18</v>
      </c>
    </row>
    <row r="2034" spans="1:13" x14ac:dyDescent="0.2">
      <c r="C2034" t="b">
        <v>0</v>
      </c>
      <c r="D2034">
        <v>3550.6</v>
      </c>
      <c r="E2034" t="s">
        <v>30</v>
      </c>
    </row>
    <row r="2035" spans="1:13" x14ac:dyDescent="0.2">
      <c r="C2035" t="b">
        <v>0</v>
      </c>
      <c r="D2035">
        <v>4100.76</v>
      </c>
      <c r="E2035" t="s">
        <v>30</v>
      </c>
    </row>
    <row r="2036" spans="1:13" x14ac:dyDescent="0.2">
      <c r="C2036" t="b">
        <v>0</v>
      </c>
      <c r="D2036">
        <v>4280.83</v>
      </c>
      <c r="E2036" t="s">
        <v>30</v>
      </c>
    </row>
    <row r="2037" spans="1:13" x14ac:dyDescent="0.2">
      <c r="C2037" t="b">
        <v>0</v>
      </c>
      <c r="D2037">
        <v>4100.71</v>
      </c>
      <c r="E2037" t="s">
        <v>30</v>
      </c>
    </row>
    <row r="2038" spans="1:13" x14ac:dyDescent="0.2">
      <c r="C2038" t="b">
        <v>0</v>
      </c>
      <c r="D2038">
        <v>4410.8999999999996</v>
      </c>
      <c r="E2038" t="s">
        <v>30</v>
      </c>
    </row>
    <row r="2039" spans="1:13" x14ac:dyDescent="0.2">
      <c r="C2039" t="b">
        <v>0</v>
      </c>
      <c r="D2039">
        <v>4350.87</v>
      </c>
      <c r="E2039" t="s">
        <v>30</v>
      </c>
    </row>
    <row r="2040" spans="1:13" x14ac:dyDescent="0.2">
      <c r="C2040" t="b">
        <v>0</v>
      </c>
      <c r="D2040">
        <v>4440.87</v>
      </c>
      <c r="E2040" t="s">
        <v>30</v>
      </c>
    </row>
    <row r="2041" spans="1:13" x14ac:dyDescent="0.2">
      <c r="A2041" t="s">
        <v>0</v>
      </c>
    </row>
    <row r="2042" spans="1:13" x14ac:dyDescent="0.2"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6</v>
      </c>
    </row>
    <row r="2043" spans="1:13" x14ac:dyDescent="0.2">
      <c r="A2043" t="s">
        <v>157</v>
      </c>
      <c r="B2043" t="b">
        <v>0</v>
      </c>
      <c r="C2043" t="s">
        <v>158</v>
      </c>
      <c r="D2043" t="s">
        <v>159</v>
      </c>
      <c r="E2043" t="s">
        <v>0</v>
      </c>
      <c r="G2043" t="s">
        <v>160</v>
      </c>
    </row>
    <row r="2044" spans="1:13" x14ac:dyDescent="0.2">
      <c r="B2044" t="s">
        <v>11</v>
      </c>
    </row>
    <row r="2045" spans="1:13" x14ac:dyDescent="0.2">
      <c r="B2045" t="s">
        <v>12</v>
      </c>
      <c r="C2045" t="s">
        <v>13</v>
      </c>
      <c r="D2045" t="s">
        <v>14</v>
      </c>
      <c r="E2045" t="s">
        <v>15</v>
      </c>
      <c r="F2045" t="s">
        <v>16</v>
      </c>
      <c r="G2045" t="s">
        <v>17</v>
      </c>
      <c r="H2045" t="s">
        <v>18</v>
      </c>
      <c r="I2045" t="s">
        <v>19</v>
      </c>
      <c r="J2045" t="s">
        <v>20</v>
      </c>
      <c r="K2045" t="s">
        <v>21</v>
      </c>
      <c r="L2045" t="s">
        <v>22</v>
      </c>
      <c r="M2045" t="s">
        <v>23</v>
      </c>
    </row>
    <row r="2046" spans="1:13" x14ac:dyDescent="0.2">
      <c r="B2046" t="s">
        <v>24</v>
      </c>
      <c r="C2046">
        <v>59</v>
      </c>
      <c r="E2046" t="s">
        <v>25</v>
      </c>
      <c r="F2046">
        <v>1131268.1299999999</v>
      </c>
      <c r="G2046">
        <v>0.9</v>
      </c>
      <c r="H2046">
        <v>0.503</v>
      </c>
      <c r="I2046" t="s">
        <v>26</v>
      </c>
      <c r="J2046">
        <v>0.9</v>
      </c>
      <c r="K2046">
        <v>0.1</v>
      </c>
      <c r="L2046">
        <v>7</v>
      </c>
    </row>
    <row r="2047" spans="1:13" x14ac:dyDescent="0.2">
      <c r="C2047" t="s">
        <v>27</v>
      </c>
    </row>
    <row r="2048" spans="1:13" x14ac:dyDescent="0.2">
      <c r="C2048" t="s">
        <v>28</v>
      </c>
      <c r="D2048" t="s">
        <v>16</v>
      </c>
      <c r="E2048" t="s">
        <v>29</v>
      </c>
      <c r="F2048" t="s">
        <v>18</v>
      </c>
    </row>
    <row r="2049" spans="2:13" x14ac:dyDescent="0.2">
      <c r="C2049" t="b">
        <v>0</v>
      </c>
      <c r="D2049">
        <v>1124551.31</v>
      </c>
      <c r="E2049" t="s">
        <v>30</v>
      </c>
      <c r="F2049">
        <v>0.5</v>
      </c>
    </row>
    <row r="2050" spans="2:13" x14ac:dyDescent="0.2">
      <c r="C2050" t="b">
        <v>0</v>
      </c>
      <c r="D2050">
        <v>1124300.06</v>
      </c>
      <c r="E2050" t="s">
        <v>30</v>
      </c>
      <c r="F2050">
        <v>0.5</v>
      </c>
    </row>
    <row r="2051" spans="2:13" x14ac:dyDescent="0.2">
      <c r="C2051" t="b">
        <v>0</v>
      </c>
      <c r="D2051">
        <v>1126957.8</v>
      </c>
      <c r="E2051" t="s">
        <v>30</v>
      </c>
      <c r="F2051">
        <v>0.501</v>
      </c>
    </row>
    <row r="2052" spans="2:13" x14ac:dyDescent="0.2">
      <c r="C2052" t="b">
        <v>0</v>
      </c>
      <c r="D2052">
        <v>1144657.0900000001</v>
      </c>
      <c r="E2052" t="s">
        <v>30</v>
      </c>
      <c r="F2052">
        <v>0.50900000000000001</v>
      </c>
    </row>
    <row r="2053" spans="2:13" x14ac:dyDescent="0.2">
      <c r="C2053" t="b">
        <v>0</v>
      </c>
      <c r="D2053">
        <v>1118100.1399999999</v>
      </c>
      <c r="E2053" t="s">
        <v>30</v>
      </c>
      <c r="F2053">
        <v>0.497</v>
      </c>
    </row>
    <row r="2054" spans="2:13" x14ac:dyDescent="0.2">
      <c r="C2054" t="b">
        <v>0</v>
      </c>
      <c r="D2054">
        <v>1141832.8700000001</v>
      </c>
      <c r="E2054" t="s">
        <v>30</v>
      </c>
      <c r="F2054">
        <v>0.50800000000000001</v>
      </c>
    </row>
    <row r="2055" spans="2:13" x14ac:dyDescent="0.2">
      <c r="C2055" t="b">
        <v>0</v>
      </c>
      <c r="D2055">
        <v>1138477.6399999999</v>
      </c>
      <c r="E2055" t="s">
        <v>30</v>
      </c>
      <c r="F2055">
        <v>0.50600000000000001</v>
      </c>
    </row>
    <row r="2056" spans="2:13" x14ac:dyDescent="0.2">
      <c r="B2056" t="s">
        <v>11</v>
      </c>
    </row>
    <row r="2057" spans="2:13" x14ac:dyDescent="0.2">
      <c r="B2057" t="s">
        <v>12</v>
      </c>
      <c r="C2057" t="s">
        <v>13</v>
      </c>
      <c r="D2057" t="s">
        <v>14</v>
      </c>
      <c r="E2057" t="s">
        <v>15</v>
      </c>
      <c r="F2057" t="s">
        <v>16</v>
      </c>
      <c r="G2057" t="s">
        <v>17</v>
      </c>
      <c r="H2057" t="s">
        <v>18</v>
      </c>
      <c r="I2057" t="s">
        <v>19</v>
      </c>
      <c r="J2057" t="s">
        <v>20</v>
      </c>
      <c r="K2057" t="s">
        <v>21</v>
      </c>
      <c r="L2057" t="s">
        <v>22</v>
      </c>
      <c r="M2057" t="s">
        <v>23</v>
      </c>
    </row>
    <row r="2058" spans="2:13" x14ac:dyDescent="0.2">
      <c r="B2058" t="s">
        <v>31</v>
      </c>
      <c r="C2058">
        <v>45</v>
      </c>
      <c r="E2058" t="s">
        <v>25</v>
      </c>
      <c r="F2058">
        <v>1287.24</v>
      </c>
      <c r="G2058">
        <v>8.8000000000000007</v>
      </c>
      <c r="K2058">
        <v>0.1</v>
      </c>
      <c r="L2058">
        <v>7</v>
      </c>
      <c r="M2058">
        <v>124.6</v>
      </c>
    </row>
    <row r="2059" spans="2:13" x14ac:dyDescent="0.2">
      <c r="C2059" t="s">
        <v>27</v>
      </c>
    </row>
    <row r="2060" spans="2:13" x14ac:dyDescent="0.2">
      <c r="C2060" t="s">
        <v>28</v>
      </c>
      <c r="D2060" t="s">
        <v>16</v>
      </c>
      <c r="E2060" t="s">
        <v>29</v>
      </c>
      <c r="F2060" t="s">
        <v>18</v>
      </c>
    </row>
    <row r="2061" spans="2:13" x14ac:dyDescent="0.2">
      <c r="C2061" t="b">
        <v>0</v>
      </c>
      <c r="D2061">
        <v>1280.1099999999999</v>
      </c>
      <c r="E2061" t="s">
        <v>30</v>
      </c>
    </row>
    <row r="2062" spans="2:13" x14ac:dyDescent="0.2">
      <c r="C2062" t="b">
        <v>0</v>
      </c>
      <c r="D2062">
        <v>1400.12</v>
      </c>
      <c r="E2062" t="s">
        <v>30</v>
      </c>
    </row>
    <row r="2063" spans="2:13" x14ac:dyDescent="0.2">
      <c r="C2063" t="b">
        <v>0</v>
      </c>
      <c r="D2063">
        <v>1360.11</v>
      </c>
      <c r="E2063" t="s">
        <v>30</v>
      </c>
    </row>
    <row r="2064" spans="2:13" x14ac:dyDescent="0.2">
      <c r="C2064" t="b">
        <v>0</v>
      </c>
      <c r="D2064">
        <v>1180.08</v>
      </c>
      <c r="E2064" t="s">
        <v>30</v>
      </c>
    </row>
    <row r="2065" spans="2:13" x14ac:dyDescent="0.2">
      <c r="C2065" t="b">
        <v>0</v>
      </c>
      <c r="D2065">
        <v>1090.08</v>
      </c>
      <c r="E2065" t="s">
        <v>30</v>
      </c>
    </row>
    <row r="2066" spans="2:13" x14ac:dyDescent="0.2">
      <c r="C2066" t="b">
        <v>0</v>
      </c>
      <c r="D2066">
        <v>1350.1</v>
      </c>
      <c r="E2066" t="s">
        <v>30</v>
      </c>
    </row>
    <row r="2067" spans="2:13" x14ac:dyDescent="0.2">
      <c r="C2067" t="b">
        <v>0</v>
      </c>
      <c r="D2067">
        <v>1350.1</v>
      </c>
      <c r="E2067" t="s">
        <v>30</v>
      </c>
    </row>
    <row r="2068" spans="2:13" x14ac:dyDescent="0.2">
      <c r="B2068" t="s">
        <v>11</v>
      </c>
    </row>
    <row r="2069" spans="2:13" x14ac:dyDescent="0.2">
      <c r="B2069" t="s">
        <v>12</v>
      </c>
      <c r="C2069" t="s">
        <v>13</v>
      </c>
      <c r="D2069" t="s">
        <v>14</v>
      </c>
      <c r="E2069" t="s">
        <v>15</v>
      </c>
      <c r="F2069" t="s">
        <v>16</v>
      </c>
      <c r="G2069" t="s">
        <v>17</v>
      </c>
      <c r="H2069" t="s">
        <v>18</v>
      </c>
      <c r="I2069" t="s">
        <v>19</v>
      </c>
      <c r="J2069" t="s">
        <v>20</v>
      </c>
      <c r="K2069" t="s">
        <v>21</v>
      </c>
      <c r="L2069" t="s">
        <v>22</v>
      </c>
      <c r="M2069" t="s">
        <v>23</v>
      </c>
    </row>
    <row r="2070" spans="2:13" x14ac:dyDescent="0.2">
      <c r="B2070" t="s">
        <v>32</v>
      </c>
      <c r="C2070">
        <v>72</v>
      </c>
      <c r="E2070" t="s">
        <v>25</v>
      </c>
      <c r="F2070">
        <v>828.63</v>
      </c>
      <c r="G2070">
        <v>12.3</v>
      </c>
      <c r="K2070">
        <v>0.1</v>
      </c>
      <c r="L2070">
        <v>7</v>
      </c>
      <c r="M2070">
        <v>111.1</v>
      </c>
    </row>
    <row r="2071" spans="2:13" x14ac:dyDescent="0.2">
      <c r="C2071" t="s">
        <v>27</v>
      </c>
    </row>
    <row r="2072" spans="2:13" x14ac:dyDescent="0.2">
      <c r="C2072" t="s">
        <v>28</v>
      </c>
      <c r="D2072" t="s">
        <v>16</v>
      </c>
      <c r="E2072" t="s">
        <v>29</v>
      </c>
      <c r="F2072" t="s">
        <v>18</v>
      </c>
    </row>
    <row r="2073" spans="2:13" x14ac:dyDescent="0.2">
      <c r="C2073" t="b">
        <v>0</v>
      </c>
      <c r="D2073">
        <v>700.04</v>
      </c>
      <c r="E2073" t="s">
        <v>30</v>
      </c>
    </row>
    <row r="2074" spans="2:13" x14ac:dyDescent="0.2">
      <c r="C2074" t="b">
        <v>0</v>
      </c>
      <c r="D2074">
        <v>790.05</v>
      </c>
      <c r="E2074" t="s">
        <v>30</v>
      </c>
    </row>
    <row r="2075" spans="2:13" x14ac:dyDescent="0.2">
      <c r="C2075" t="b">
        <v>0</v>
      </c>
      <c r="D2075">
        <v>760.04</v>
      </c>
      <c r="E2075" t="s">
        <v>30</v>
      </c>
    </row>
    <row r="2076" spans="2:13" x14ac:dyDescent="0.2">
      <c r="C2076" t="b">
        <v>0</v>
      </c>
      <c r="D2076">
        <v>940.06</v>
      </c>
      <c r="E2076" t="s">
        <v>30</v>
      </c>
    </row>
    <row r="2077" spans="2:13" x14ac:dyDescent="0.2">
      <c r="C2077" t="b">
        <v>0</v>
      </c>
      <c r="D2077">
        <v>820.06</v>
      </c>
      <c r="E2077" t="s">
        <v>30</v>
      </c>
    </row>
    <row r="2078" spans="2:13" x14ac:dyDescent="0.2">
      <c r="C2078" t="b">
        <v>0</v>
      </c>
      <c r="D2078">
        <v>800.06</v>
      </c>
      <c r="E2078" t="s">
        <v>30</v>
      </c>
    </row>
    <row r="2079" spans="2:13" x14ac:dyDescent="0.2">
      <c r="C2079" t="b">
        <v>0</v>
      </c>
      <c r="D2079">
        <v>990.07</v>
      </c>
      <c r="E2079" t="s">
        <v>30</v>
      </c>
    </row>
    <row r="2080" spans="2:13" x14ac:dyDescent="0.2">
      <c r="B2080" t="s">
        <v>11</v>
      </c>
    </row>
    <row r="2081" spans="1:13" x14ac:dyDescent="0.2">
      <c r="B2081" t="s">
        <v>12</v>
      </c>
      <c r="C2081" t="s">
        <v>13</v>
      </c>
      <c r="D2081" t="s">
        <v>14</v>
      </c>
      <c r="E2081" t="s">
        <v>15</v>
      </c>
      <c r="F2081" t="s">
        <v>16</v>
      </c>
      <c r="G2081" t="s">
        <v>17</v>
      </c>
      <c r="H2081" t="s">
        <v>18</v>
      </c>
      <c r="I2081" t="s">
        <v>19</v>
      </c>
      <c r="J2081" t="s">
        <v>20</v>
      </c>
      <c r="K2081" t="s">
        <v>21</v>
      </c>
      <c r="L2081" t="s">
        <v>22</v>
      </c>
      <c r="M2081" t="s">
        <v>23</v>
      </c>
    </row>
    <row r="2082" spans="1:13" x14ac:dyDescent="0.2">
      <c r="B2082" t="s">
        <v>33</v>
      </c>
      <c r="C2082">
        <v>89</v>
      </c>
      <c r="E2082" t="s">
        <v>25</v>
      </c>
      <c r="F2082">
        <v>4538.0600000000004</v>
      </c>
      <c r="G2082">
        <v>3.4</v>
      </c>
      <c r="K2082">
        <v>0.1</v>
      </c>
      <c r="L2082">
        <v>7</v>
      </c>
      <c r="M2082">
        <v>115</v>
      </c>
    </row>
    <row r="2083" spans="1:13" x14ac:dyDescent="0.2">
      <c r="C2083" t="s">
        <v>27</v>
      </c>
    </row>
    <row r="2084" spans="1:13" x14ac:dyDescent="0.2">
      <c r="C2084" t="s">
        <v>28</v>
      </c>
      <c r="D2084" t="s">
        <v>16</v>
      </c>
      <c r="E2084" t="s">
        <v>29</v>
      </c>
      <c r="F2084" t="s">
        <v>18</v>
      </c>
    </row>
    <row r="2085" spans="1:13" x14ac:dyDescent="0.2">
      <c r="C2085" t="b">
        <v>0</v>
      </c>
      <c r="D2085">
        <v>4380.8599999999997</v>
      </c>
      <c r="E2085" t="s">
        <v>30</v>
      </c>
    </row>
    <row r="2086" spans="1:13" x14ac:dyDescent="0.2">
      <c r="C2086" t="b">
        <v>0</v>
      </c>
      <c r="D2086">
        <v>4510.91</v>
      </c>
      <c r="E2086" t="s">
        <v>30</v>
      </c>
    </row>
    <row r="2087" spans="1:13" x14ac:dyDescent="0.2">
      <c r="C2087" t="b">
        <v>0</v>
      </c>
      <c r="D2087">
        <v>4460.8999999999996</v>
      </c>
      <c r="E2087" t="s">
        <v>30</v>
      </c>
    </row>
    <row r="2088" spans="1:13" x14ac:dyDescent="0.2">
      <c r="C2088" t="b">
        <v>0</v>
      </c>
      <c r="D2088">
        <v>4680.9399999999996</v>
      </c>
      <c r="E2088" t="s">
        <v>30</v>
      </c>
    </row>
    <row r="2089" spans="1:13" x14ac:dyDescent="0.2">
      <c r="C2089" t="b">
        <v>0</v>
      </c>
      <c r="D2089">
        <v>4811</v>
      </c>
      <c r="E2089" t="s">
        <v>30</v>
      </c>
    </row>
    <row r="2090" spans="1:13" x14ac:dyDescent="0.2">
      <c r="C2090" t="b">
        <v>0</v>
      </c>
      <c r="D2090">
        <v>4440.92</v>
      </c>
      <c r="E2090" t="s">
        <v>30</v>
      </c>
    </row>
    <row r="2091" spans="1:13" x14ac:dyDescent="0.2">
      <c r="C2091" t="b">
        <v>0</v>
      </c>
      <c r="D2091">
        <v>4480.8999999999996</v>
      </c>
      <c r="E2091" t="s">
        <v>30</v>
      </c>
    </row>
    <row r="2092" spans="1:13" x14ac:dyDescent="0.2">
      <c r="A2092" t="s">
        <v>0</v>
      </c>
    </row>
    <row r="2093" spans="1:13" x14ac:dyDescent="0.2"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t="s">
        <v>6</v>
      </c>
    </row>
    <row r="2094" spans="1:13" x14ac:dyDescent="0.2">
      <c r="B2094" t="b">
        <v>0</v>
      </c>
      <c r="C2094" t="s">
        <v>161</v>
      </c>
      <c r="D2094" t="s">
        <v>162</v>
      </c>
      <c r="E2094" t="s">
        <v>0</v>
      </c>
      <c r="G2094" t="s">
        <v>163</v>
      </c>
    </row>
    <row r="2095" spans="1:13" x14ac:dyDescent="0.2">
      <c r="B2095" t="s">
        <v>11</v>
      </c>
    </row>
    <row r="2096" spans="1:13" x14ac:dyDescent="0.2">
      <c r="B2096" t="s">
        <v>12</v>
      </c>
      <c r="C2096" t="s">
        <v>13</v>
      </c>
      <c r="D2096" t="s">
        <v>14</v>
      </c>
      <c r="E2096" t="s">
        <v>15</v>
      </c>
      <c r="F2096" t="s">
        <v>16</v>
      </c>
      <c r="G2096" t="s">
        <v>17</v>
      </c>
      <c r="H2096" t="s">
        <v>18</v>
      </c>
      <c r="I2096" t="s">
        <v>19</v>
      </c>
      <c r="J2096" t="s">
        <v>20</v>
      </c>
      <c r="K2096" t="s">
        <v>21</v>
      </c>
      <c r="L2096" t="s">
        <v>22</v>
      </c>
      <c r="M2096" t="s">
        <v>23</v>
      </c>
    </row>
    <row r="2097" spans="2:13" x14ac:dyDescent="0.2">
      <c r="B2097" t="s">
        <v>24</v>
      </c>
      <c r="C2097">
        <v>59</v>
      </c>
      <c r="E2097" t="s">
        <v>25</v>
      </c>
      <c r="F2097">
        <v>1053217.02</v>
      </c>
      <c r="G2097">
        <v>1</v>
      </c>
      <c r="H2097">
        <v>0.46800000000000003</v>
      </c>
      <c r="I2097" t="s">
        <v>26</v>
      </c>
      <c r="J2097">
        <v>1</v>
      </c>
      <c r="K2097">
        <v>0.1</v>
      </c>
      <c r="L2097">
        <v>7</v>
      </c>
    </row>
    <row r="2098" spans="2:13" x14ac:dyDescent="0.2">
      <c r="C2098" t="s">
        <v>27</v>
      </c>
    </row>
    <row r="2099" spans="2:13" x14ac:dyDescent="0.2">
      <c r="C2099" t="s">
        <v>28</v>
      </c>
      <c r="D2099" t="s">
        <v>16</v>
      </c>
      <c r="E2099" t="s">
        <v>29</v>
      </c>
      <c r="F2099" t="s">
        <v>18</v>
      </c>
    </row>
    <row r="2100" spans="2:13" x14ac:dyDescent="0.2">
      <c r="C2100" t="b">
        <v>0</v>
      </c>
      <c r="D2100">
        <v>1061849.05</v>
      </c>
      <c r="E2100" t="s">
        <v>30</v>
      </c>
      <c r="F2100">
        <v>0.47199999999999998</v>
      </c>
    </row>
    <row r="2101" spans="2:13" x14ac:dyDescent="0.2">
      <c r="C2101" t="b">
        <v>0</v>
      </c>
      <c r="D2101">
        <v>1069581.78</v>
      </c>
      <c r="E2101" t="s">
        <v>30</v>
      </c>
      <c r="F2101">
        <v>0.47599999999999998</v>
      </c>
    </row>
    <row r="2102" spans="2:13" x14ac:dyDescent="0.2">
      <c r="C2102" t="b">
        <v>0</v>
      </c>
      <c r="D2102">
        <v>1053388.73</v>
      </c>
      <c r="E2102" t="s">
        <v>30</v>
      </c>
      <c r="F2102">
        <v>0.46899999999999997</v>
      </c>
    </row>
    <row r="2103" spans="2:13" x14ac:dyDescent="0.2">
      <c r="C2103" t="b">
        <v>0</v>
      </c>
      <c r="D2103">
        <v>1052697.95</v>
      </c>
      <c r="E2103" t="s">
        <v>30</v>
      </c>
      <c r="F2103">
        <v>0.46800000000000003</v>
      </c>
    </row>
    <row r="2104" spans="2:13" x14ac:dyDescent="0.2">
      <c r="C2104" t="b">
        <v>0</v>
      </c>
      <c r="D2104">
        <v>1049419.75</v>
      </c>
      <c r="E2104" t="s">
        <v>30</v>
      </c>
      <c r="F2104">
        <v>0.46700000000000003</v>
      </c>
    </row>
    <row r="2105" spans="2:13" x14ac:dyDescent="0.2">
      <c r="C2105" t="b">
        <v>0</v>
      </c>
      <c r="D2105">
        <v>1038245.69</v>
      </c>
      <c r="E2105" t="s">
        <v>30</v>
      </c>
      <c r="F2105">
        <v>0.46200000000000002</v>
      </c>
    </row>
    <row r="2106" spans="2:13" x14ac:dyDescent="0.2">
      <c r="C2106" t="b">
        <v>0</v>
      </c>
      <c r="D2106">
        <v>1047336.16</v>
      </c>
      <c r="E2106" t="s">
        <v>30</v>
      </c>
      <c r="F2106">
        <v>0.46600000000000003</v>
      </c>
    </row>
    <row r="2107" spans="2:13" x14ac:dyDescent="0.2">
      <c r="B2107" t="s">
        <v>11</v>
      </c>
    </row>
    <row r="2108" spans="2:13" x14ac:dyDescent="0.2">
      <c r="B2108" t="s">
        <v>12</v>
      </c>
      <c r="C2108" t="s">
        <v>13</v>
      </c>
      <c r="D2108" t="s">
        <v>14</v>
      </c>
      <c r="E2108" t="s">
        <v>15</v>
      </c>
      <c r="F2108" t="s">
        <v>16</v>
      </c>
      <c r="G2108" t="s">
        <v>17</v>
      </c>
      <c r="H2108" t="s">
        <v>18</v>
      </c>
      <c r="I2108" t="s">
        <v>19</v>
      </c>
      <c r="J2108" t="s">
        <v>20</v>
      </c>
      <c r="K2108" t="s">
        <v>21</v>
      </c>
      <c r="L2108" t="s">
        <v>22</v>
      </c>
      <c r="M2108" t="s">
        <v>23</v>
      </c>
    </row>
    <row r="2109" spans="2:13" x14ac:dyDescent="0.2">
      <c r="B2109" t="s">
        <v>31</v>
      </c>
      <c r="C2109">
        <v>45</v>
      </c>
      <c r="E2109" t="s">
        <v>25</v>
      </c>
      <c r="F2109">
        <v>872.92</v>
      </c>
      <c r="G2109">
        <v>11.5</v>
      </c>
      <c r="K2109">
        <v>0.1</v>
      </c>
      <c r="L2109">
        <v>7</v>
      </c>
      <c r="M2109">
        <v>84.5</v>
      </c>
    </row>
    <row r="2110" spans="2:13" x14ac:dyDescent="0.2">
      <c r="C2110" t="s">
        <v>27</v>
      </c>
    </row>
    <row r="2111" spans="2:13" x14ac:dyDescent="0.2">
      <c r="C2111" t="s">
        <v>28</v>
      </c>
      <c r="D2111" t="s">
        <v>16</v>
      </c>
      <c r="E2111" t="s">
        <v>29</v>
      </c>
      <c r="F2111" t="s">
        <v>18</v>
      </c>
    </row>
    <row r="2112" spans="2:13" x14ac:dyDescent="0.2">
      <c r="C2112" t="b">
        <v>0</v>
      </c>
      <c r="D2112">
        <v>720.05</v>
      </c>
      <c r="E2112" t="s">
        <v>30</v>
      </c>
    </row>
    <row r="2113" spans="2:13" x14ac:dyDescent="0.2">
      <c r="C2113" t="b">
        <v>0</v>
      </c>
      <c r="D2113">
        <v>980.07</v>
      </c>
      <c r="E2113" t="s">
        <v>30</v>
      </c>
    </row>
    <row r="2114" spans="2:13" x14ac:dyDescent="0.2">
      <c r="C2114" t="b">
        <v>0</v>
      </c>
      <c r="D2114">
        <v>990.07</v>
      </c>
      <c r="E2114" t="s">
        <v>30</v>
      </c>
    </row>
    <row r="2115" spans="2:13" x14ac:dyDescent="0.2">
      <c r="C2115" t="b">
        <v>0</v>
      </c>
      <c r="D2115">
        <v>780.05</v>
      </c>
      <c r="E2115" t="s">
        <v>30</v>
      </c>
    </row>
    <row r="2116" spans="2:13" x14ac:dyDescent="0.2">
      <c r="C2116" t="b">
        <v>0</v>
      </c>
      <c r="D2116">
        <v>910.07</v>
      </c>
      <c r="E2116" t="s">
        <v>30</v>
      </c>
    </row>
    <row r="2117" spans="2:13" x14ac:dyDescent="0.2">
      <c r="C2117" t="b">
        <v>0</v>
      </c>
      <c r="D2117">
        <v>890.06</v>
      </c>
      <c r="E2117" t="s">
        <v>30</v>
      </c>
    </row>
    <row r="2118" spans="2:13" x14ac:dyDescent="0.2">
      <c r="C2118" t="b">
        <v>0</v>
      </c>
      <c r="D2118">
        <v>840.06</v>
      </c>
      <c r="E2118" t="s">
        <v>30</v>
      </c>
    </row>
    <row r="2119" spans="2:13" x14ac:dyDescent="0.2">
      <c r="B2119" t="s">
        <v>11</v>
      </c>
    </row>
    <row r="2120" spans="2:13" x14ac:dyDescent="0.2">
      <c r="B2120" t="s">
        <v>12</v>
      </c>
      <c r="C2120" t="s">
        <v>13</v>
      </c>
      <c r="D2120" t="s">
        <v>14</v>
      </c>
      <c r="E2120" t="s">
        <v>15</v>
      </c>
      <c r="F2120" t="s">
        <v>16</v>
      </c>
      <c r="G2120" t="s">
        <v>17</v>
      </c>
      <c r="H2120" t="s">
        <v>18</v>
      </c>
      <c r="I2120" t="s">
        <v>19</v>
      </c>
      <c r="J2120" t="s">
        <v>20</v>
      </c>
      <c r="K2120" t="s">
        <v>21</v>
      </c>
      <c r="L2120" t="s">
        <v>22</v>
      </c>
      <c r="M2120" t="s">
        <v>23</v>
      </c>
    </row>
    <row r="2121" spans="2:13" x14ac:dyDescent="0.2">
      <c r="B2121" t="s">
        <v>32</v>
      </c>
      <c r="C2121">
        <v>72</v>
      </c>
      <c r="E2121" t="s">
        <v>25</v>
      </c>
      <c r="F2121">
        <v>760.05</v>
      </c>
      <c r="G2121">
        <v>6.5</v>
      </c>
      <c r="K2121">
        <v>0.1</v>
      </c>
      <c r="L2121">
        <v>7</v>
      </c>
      <c r="M2121">
        <v>101.9</v>
      </c>
    </row>
    <row r="2122" spans="2:13" x14ac:dyDescent="0.2">
      <c r="C2122" t="s">
        <v>27</v>
      </c>
    </row>
    <row r="2123" spans="2:13" x14ac:dyDescent="0.2">
      <c r="C2123" t="s">
        <v>28</v>
      </c>
      <c r="D2123" t="s">
        <v>16</v>
      </c>
      <c r="E2123" t="s">
        <v>29</v>
      </c>
      <c r="F2123" t="s">
        <v>18</v>
      </c>
    </row>
    <row r="2124" spans="2:13" x14ac:dyDescent="0.2">
      <c r="C2124" t="b">
        <v>0</v>
      </c>
      <c r="D2124">
        <v>750.05</v>
      </c>
      <c r="E2124" t="s">
        <v>30</v>
      </c>
    </row>
    <row r="2125" spans="2:13" x14ac:dyDescent="0.2">
      <c r="C2125" t="b">
        <v>0</v>
      </c>
      <c r="D2125">
        <v>820.06</v>
      </c>
      <c r="E2125" t="s">
        <v>30</v>
      </c>
    </row>
    <row r="2126" spans="2:13" x14ac:dyDescent="0.2">
      <c r="C2126" t="b">
        <v>0</v>
      </c>
      <c r="D2126">
        <v>710.05</v>
      </c>
      <c r="E2126" t="s">
        <v>30</v>
      </c>
    </row>
    <row r="2127" spans="2:13" x14ac:dyDescent="0.2">
      <c r="C2127" t="b">
        <v>0</v>
      </c>
      <c r="D2127">
        <v>810.05</v>
      </c>
      <c r="E2127" t="s">
        <v>30</v>
      </c>
    </row>
    <row r="2128" spans="2:13" x14ac:dyDescent="0.2">
      <c r="C2128" t="b">
        <v>0</v>
      </c>
      <c r="D2128">
        <v>690.04</v>
      </c>
      <c r="E2128" t="s">
        <v>30</v>
      </c>
    </row>
    <row r="2129" spans="1:13" x14ac:dyDescent="0.2">
      <c r="C2129" t="b">
        <v>0</v>
      </c>
      <c r="D2129">
        <v>750.04</v>
      </c>
      <c r="E2129" t="s">
        <v>30</v>
      </c>
    </row>
    <row r="2130" spans="1:13" x14ac:dyDescent="0.2">
      <c r="C2130" t="b">
        <v>0</v>
      </c>
      <c r="D2130">
        <v>790.06</v>
      </c>
      <c r="E2130" t="s">
        <v>30</v>
      </c>
    </row>
    <row r="2131" spans="1:13" x14ac:dyDescent="0.2">
      <c r="B2131" t="s">
        <v>11</v>
      </c>
    </row>
    <row r="2132" spans="1:13" x14ac:dyDescent="0.2">
      <c r="B2132" t="s">
        <v>12</v>
      </c>
      <c r="C2132" t="s">
        <v>13</v>
      </c>
      <c r="D2132" t="s">
        <v>14</v>
      </c>
      <c r="E2132" t="s">
        <v>15</v>
      </c>
      <c r="F2132" t="s">
        <v>16</v>
      </c>
      <c r="G2132" t="s">
        <v>17</v>
      </c>
      <c r="H2132" t="s">
        <v>18</v>
      </c>
      <c r="I2132" t="s">
        <v>19</v>
      </c>
      <c r="J2132" t="s">
        <v>20</v>
      </c>
      <c r="K2132" t="s">
        <v>21</v>
      </c>
      <c r="L2132" t="s">
        <v>22</v>
      </c>
      <c r="M2132" t="s">
        <v>23</v>
      </c>
    </row>
    <row r="2133" spans="1:13" x14ac:dyDescent="0.2">
      <c r="B2133" t="s">
        <v>33</v>
      </c>
      <c r="C2133">
        <v>89</v>
      </c>
      <c r="E2133" t="s">
        <v>25</v>
      </c>
      <c r="F2133">
        <v>3439.13</v>
      </c>
      <c r="G2133">
        <v>8.3000000000000007</v>
      </c>
      <c r="K2133">
        <v>0.1</v>
      </c>
      <c r="L2133">
        <v>7</v>
      </c>
      <c r="M2133">
        <v>87.2</v>
      </c>
    </row>
    <row r="2134" spans="1:13" x14ac:dyDescent="0.2">
      <c r="C2134" t="s">
        <v>27</v>
      </c>
    </row>
    <row r="2135" spans="1:13" x14ac:dyDescent="0.2">
      <c r="C2135" t="s">
        <v>28</v>
      </c>
      <c r="D2135" t="s">
        <v>16</v>
      </c>
      <c r="E2135" t="s">
        <v>29</v>
      </c>
      <c r="F2135" t="s">
        <v>18</v>
      </c>
    </row>
    <row r="2136" spans="1:13" x14ac:dyDescent="0.2">
      <c r="C2136" t="b">
        <v>0</v>
      </c>
      <c r="D2136">
        <v>3410.54</v>
      </c>
      <c r="E2136" t="s">
        <v>30</v>
      </c>
    </row>
    <row r="2137" spans="1:13" x14ac:dyDescent="0.2">
      <c r="C2137" t="b">
        <v>0</v>
      </c>
      <c r="D2137">
        <v>3200.52</v>
      </c>
      <c r="E2137" t="s">
        <v>30</v>
      </c>
    </row>
    <row r="2138" spans="1:13" x14ac:dyDescent="0.2">
      <c r="C2138" t="b">
        <v>0</v>
      </c>
      <c r="D2138">
        <v>3520.57</v>
      </c>
      <c r="E2138" t="s">
        <v>30</v>
      </c>
    </row>
    <row r="2139" spans="1:13" x14ac:dyDescent="0.2">
      <c r="C2139" t="b">
        <v>0</v>
      </c>
      <c r="D2139">
        <v>3180.48</v>
      </c>
      <c r="E2139" t="s">
        <v>30</v>
      </c>
    </row>
    <row r="2140" spans="1:13" x14ac:dyDescent="0.2">
      <c r="C2140" t="b">
        <v>0</v>
      </c>
      <c r="D2140">
        <v>3150.48</v>
      </c>
      <c r="E2140" t="s">
        <v>30</v>
      </c>
    </row>
    <row r="2141" spans="1:13" x14ac:dyDescent="0.2">
      <c r="C2141" t="b">
        <v>0</v>
      </c>
      <c r="D2141">
        <v>3830.66</v>
      </c>
      <c r="E2141" t="s">
        <v>30</v>
      </c>
    </row>
    <row r="2142" spans="1:13" x14ac:dyDescent="0.2">
      <c r="C2142" t="b">
        <v>0</v>
      </c>
      <c r="D2142">
        <v>3780.66</v>
      </c>
      <c r="E2142" t="s">
        <v>30</v>
      </c>
    </row>
    <row r="2143" spans="1:13" x14ac:dyDescent="0.2">
      <c r="A2143" t="s">
        <v>0</v>
      </c>
    </row>
    <row r="2144" spans="1:13" x14ac:dyDescent="0.2"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6</v>
      </c>
    </row>
    <row r="2145" spans="1:13" x14ac:dyDescent="0.2">
      <c r="A2145" t="s">
        <v>164</v>
      </c>
      <c r="B2145" t="b">
        <v>0</v>
      </c>
      <c r="C2145" t="s">
        <v>165</v>
      </c>
      <c r="D2145" t="s">
        <v>166</v>
      </c>
      <c r="E2145" t="s">
        <v>0</v>
      </c>
      <c r="G2145" t="s">
        <v>167</v>
      </c>
    </row>
    <row r="2146" spans="1:13" x14ac:dyDescent="0.2">
      <c r="B2146" t="s">
        <v>11</v>
      </c>
    </row>
    <row r="2147" spans="1:13" x14ac:dyDescent="0.2">
      <c r="B2147" t="s">
        <v>12</v>
      </c>
      <c r="C2147" t="s">
        <v>13</v>
      </c>
      <c r="D2147" t="s">
        <v>14</v>
      </c>
      <c r="E2147" t="s">
        <v>15</v>
      </c>
      <c r="F2147" t="s">
        <v>16</v>
      </c>
      <c r="G2147" t="s">
        <v>17</v>
      </c>
      <c r="H2147" t="s">
        <v>18</v>
      </c>
      <c r="I2147" t="s">
        <v>19</v>
      </c>
      <c r="J2147" t="s">
        <v>20</v>
      </c>
      <c r="K2147" t="s">
        <v>21</v>
      </c>
      <c r="L2147" t="s">
        <v>22</v>
      </c>
      <c r="M2147" t="s">
        <v>23</v>
      </c>
    </row>
    <row r="2148" spans="1:13" x14ac:dyDescent="0.2">
      <c r="B2148" t="s">
        <v>24</v>
      </c>
      <c r="C2148">
        <v>59</v>
      </c>
      <c r="E2148" t="s">
        <v>25</v>
      </c>
      <c r="F2148">
        <v>1078157.02</v>
      </c>
      <c r="G2148">
        <v>1.1000000000000001</v>
      </c>
      <c r="H2148">
        <v>0.48</v>
      </c>
      <c r="I2148" t="s">
        <v>26</v>
      </c>
      <c r="J2148">
        <v>1.1000000000000001</v>
      </c>
      <c r="K2148">
        <v>0.1</v>
      </c>
      <c r="L2148">
        <v>7</v>
      </c>
    </row>
    <row r="2149" spans="1:13" x14ac:dyDescent="0.2">
      <c r="C2149" t="s">
        <v>27</v>
      </c>
    </row>
    <row r="2150" spans="1:13" x14ac:dyDescent="0.2">
      <c r="C2150" t="s">
        <v>28</v>
      </c>
      <c r="D2150" t="s">
        <v>16</v>
      </c>
      <c r="E2150" t="s">
        <v>29</v>
      </c>
      <c r="F2150" t="s">
        <v>18</v>
      </c>
    </row>
    <row r="2151" spans="1:13" x14ac:dyDescent="0.2">
      <c r="C2151" t="b">
        <v>0</v>
      </c>
      <c r="D2151">
        <v>1080042.95</v>
      </c>
      <c r="E2151" t="s">
        <v>30</v>
      </c>
      <c r="F2151">
        <v>0.48</v>
      </c>
    </row>
    <row r="2152" spans="1:13" x14ac:dyDescent="0.2">
      <c r="C2152" t="b">
        <v>0</v>
      </c>
      <c r="D2152">
        <v>1071442.02</v>
      </c>
      <c r="E2152" t="s">
        <v>30</v>
      </c>
      <c r="F2152">
        <v>0.47699999999999998</v>
      </c>
    </row>
    <row r="2153" spans="1:13" x14ac:dyDescent="0.2">
      <c r="C2153" t="b">
        <v>0</v>
      </c>
      <c r="D2153">
        <v>1080068.58</v>
      </c>
      <c r="E2153" t="s">
        <v>30</v>
      </c>
      <c r="F2153">
        <v>0.48</v>
      </c>
    </row>
    <row r="2154" spans="1:13" x14ac:dyDescent="0.2">
      <c r="C2154" t="b">
        <v>0</v>
      </c>
      <c r="D2154">
        <v>1095743.73</v>
      </c>
      <c r="E2154" t="s">
        <v>30</v>
      </c>
      <c r="F2154">
        <v>0.48699999999999999</v>
      </c>
    </row>
    <row r="2155" spans="1:13" x14ac:dyDescent="0.2">
      <c r="C2155" t="b">
        <v>0</v>
      </c>
      <c r="D2155">
        <v>1077248.1100000001</v>
      </c>
      <c r="E2155" t="s">
        <v>30</v>
      </c>
      <c r="F2155">
        <v>0.47899999999999998</v>
      </c>
    </row>
    <row r="2156" spans="1:13" x14ac:dyDescent="0.2">
      <c r="C2156" t="b">
        <v>0</v>
      </c>
      <c r="D2156">
        <v>1056959.67</v>
      </c>
      <c r="E2156" t="s">
        <v>30</v>
      </c>
      <c r="F2156">
        <v>0.47</v>
      </c>
    </row>
    <row r="2157" spans="1:13" x14ac:dyDescent="0.2">
      <c r="C2157" t="b">
        <v>0</v>
      </c>
      <c r="D2157">
        <v>1085594.05</v>
      </c>
      <c r="E2157" t="s">
        <v>30</v>
      </c>
      <c r="F2157">
        <v>0.48299999999999998</v>
      </c>
    </row>
    <row r="2158" spans="1:13" x14ac:dyDescent="0.2">
      <c r="B2158" t="s">
        <v>11</v>
      </c>
    </row>
    <row r="2159" spans="1:13" x14ac:dyDescent="0.2">
      <c r="B2159" t="s">
        <v>12</v>
      </c>
      <c r="C2159" t="s">
        <v>13</v>
      </c>
      <c r="D2159" t="s">
        <v>14</v>
      </c>
      <c r="E2159" t="s">
        <v>15</v>
      </c>
      <c r="F2159" t="s">
        <v>16</v>
      </c>
      <c r="G2159" t="s">
        <v>17</v>
      </c>
      <c r="H2159" t="s">
        <v>18</v>
      </c>
      <c r="I2159" t="s">
        <v>19</v>
      </c>
      <c r="J2159" t="s">
        <v>20</v>
      </c>
      <c r="K2159" t="s">
        <v>21</v>
      </c>
      <c r="L2159" t="s">
        <v>22</v>
      </c>
      <c r="M2159" t="s">
        <v>23</v>
      </c>
    </row>
    <row r="2160" spans="1:13" x14ac:dyDescent="0.2">
      <c r="B2160" t="s">
        <v>31</v>
      </c>
      <c r="C2160">
        <v>45</v>
      </c>
      <c r="E2160" t="s">
        <v>25</v>
      </c>
      <c r="F2160">
        <v>1341.54</v>
      </c>
      <c r="G2160">
        <v>7.2</v>
      </c>
      <c r="K2160">
        <v>0.1</v>
      </c>
      <c r="L2160">
        <v>7</v>
      </c>
      <c r="M2160">
        <v>129.9</v>
      </c>
    </row>
    <row r="2161" spans="2:13" x14ac:dyDescent="0.2">
      <c r="C2161" t="s">
        <v>27</v>
      </c>
    </row>
    <row r="2162" spans="2:13" x14ac:dyDescent="0.2">
      <c r="C2162" t="s">
        <v>28</v>
      </c>
      <c r="D2162" t="s">
        <v>16</v>
      </c>
      <c r="E2162" t="s">
        <v>29</v>
      </c>
      <c r="F2162" t="s">
        <v>18</v>
      </c>
    </row>
    <row r="2163" spans="2:13" x14ac:dyDescent="0.2">
      <c r="C2163" t="b">
        <v>0</v>
      </c>
      <c r="D2163">
        <v>1330.11</v>
      </c>
      <c r="E2163" t="s">
        <v>30</v>
      </c>
    </row>
    <row r="2164" spans="2:13" x14ac:dyDescent="0.2">
      <c r="C2164" t="b">
        <v>0</v>
      </c>
      <c r="D2164">
        <v>1190.0899999999999</v>
      </c>
      <c r="E2164" t="s">
        <v>30</v>
      </c>
    </row>
    <row r="2165" spans="2:13" x14ac:dyDescent="0.2">
      <c r="C2165" t="b">
        <v>0</v>
      </c>
      <c r="D2165">
        <v>1510.14</v>
      </c>
      <c r="E2165" t="s">
        <v>30</v>
      </c>
    </row>
    <row r="2166" spans="2:13" x14ac:dyDescent="0.2">
      <c r="C2166" t="b">
        <v>0</v>
      </c>
      <c r="D2166">
        <v>1280.1099999999999</v>
      </c>
      <c r="E2166" t="s">
        <v>30</v>
      </c>
    </row>
    <row r="2167" spans="2:13" x14ac:dyDescent="0.2">
      <c r="C2167" t="b">
        <v>0</v>
      </c>
      <c r="D2167">
        <v>1360.11</v>
      </c>
      <c r="E2167" t="s">
        <v>30</v>
      </c>
    </row>
    <row r="2168" spans="2:13" x14ac:dyDescent="0.2">
      <c r="C2168" t="b">
        <v>0</v>
      </c>
      <c r="D2168">
        <v>1350.11</v>
      </c>
      <c r="E2168" t="s">
        <v>30</v>
      </c>
    </row>
    <row r="2169" spans="2:13" x14ac:dyDescent="0.2">
      <c r="C2169" t="b">
        <v>0</v>
      </c>
      <c r="D2169">
        <v>1370.11</v>
      </c>
      <c r="E2169" t="s">
        <v>30</v>
      </c>
    </row>
    <row r="2170" spans="2:13" x14ac:dyDescent="0.2">
      <c r="B2170" t="s">
        <v>11</v>
      </c>
    </row>
    <row r="2171" spans="2:13" x14ac:dyDescent="0.2">
      <c r="B2171" t="s">
        <v>12</v>
      </c>
      <c r="C2171" t="s">
        <v>13</v>
      </c>
      <c r="D2171" t="s">
        <v>14</v>
      </c>
      <c r="E2171" t="s">
        <v>15</v>
      </c>
      <c r="F2171" t="s">
        <v>16</v>
      </c>
      <c r="G2171" t="s">
        <v>17</v>
      </c>
      <c r="H2171" t="s">
        <v>18</v>
      </c>
      <c r="I2171" t="s">
        <v>19</v>
      </c>
      <c r="J2171" t="s">
        <v>20</v>
      </c>
      <c r="K2171" t="s">
        <v>21</v>
      </c>
      <c r="L2171" t="s">
        <v>22</v>
      </c>
      <c r="M2171" t="s">
        <v>23</v>
      </c>
    </row>
    <row r="2172" spans="2:13" x14ac:dyDescent="0.2">
      <c r="B2172" t="s">
        <v>32</v>
      </c>
      <c r="C2172">
        <v>72</v>
      </c>
      <c r="E2172" t="s">
        <v>25</v>
      </c>
      <c r="F2172">
        <v>822.91</v>
      </c>
      <c r="G2172">
        <v>16.899999999999999</v>
      </c>
      <c r="K2172">
        <v>0.1</v>
      </c>
      <c r="L2172">
        <v>7</v>
      </c>
      <c r="M2172">
        <v>110.3</v>
      </c>
    </row>
    <row r="2173" spans="2:13" x14ac:dyDescent="0.2">
      <c r="C2173" t="s">
        <v>27</v>
      </c>
    </row>
    <row r="2174" spans="2:13" x14ac:dyDescent="0.2">
      <c r="C2174" t="s">
        <v>28</v>
      </c>
      <c r="D2174" t="s">
        <v>16</v>
      </c>
      <c r="E2174" t="s">
        <v>29</v>
      </c>
      <c r="F2174" t="s">
        <v>18</v>
      </c>
    </row>
    <row r="2175" spans="2:13" x14ac:dyDescent="0.2">
      <c r="C2175" t="b">
        <v>0</v>
      </c>
      <c r="D2175">
        <v>610.04</v>
      </c>
      <c r="E2175" t="s">
        <v>30</v>
      </c>
    </row>
    <row r="2176" spans="2:13" x14ac:dyDescent="0.2">
      <c r="C2176" t="b">
        <v>0</v>
      </c>
      <c r="D2176">
        <v>990.07</v>
      </c>
      <c r="E2176" t="s">
        <v>30</v>
      </c>
    </row>
    <row r="2177" spans="2:13" x14ac:dyDescent="0.2">
      <c r="C2177" t="b">
        <v>0</v>
      </c>
      <c r="D2177">
        <v>710.04</v>
      </c>
      <c r="E2177" t="s">
        <v>30</v>
      </c>
    </row>
    <row r="2178" spans="2:13" x14ac:dyDescent="0.2">
      <c r="C2178" t="b">
        <v>0</v>
      </c>
      <c r="D2178">
        <v>950.08</v>
      </c>
      <c r="E2178" t="s">
        <v>30</v>
      </c>
    </row>
    <row r="2179" spans="2:13" x14ac:dyDescent="0.2">
      <c r="C2179" t="b">
        <v>0</v>
      </c>
      <c r="D2179">
        <v>880.06</v>
      </c>
      <c r="E2179" t="s">
        <v>30</v>
      </c>
    </row>
    <row r="2180" spans="2:13" x14ac:dyDescent="0.2">
      <c r="C2180" t="b">
        <v>0</v>
      </c>
      <c r="D2180">
        <v>740.05</v>
      </c>
      <c r="E2180" t="s">
        <v>30</v>
      </c>
    </row>
    <row r="2181" spans="2:13" x14ac:dyDescent="0.2">
      <c r="C2181" t="b">
        <v>0</v>
      </c>
      <c r="D2181">
        <v>880.06</v>
      </c>
      <c r="E2181" t="s">
        <v>30</v>
      </c>
    </row>
    <row r="2182" spans="2:13" x14ac:dyDescent="0.2">
      <c r="B2182" t="s">
        <v>11</v>
      </c>
    </row>
    <row r="2183" spans="2:13" x14ac:dyDescent="0.2">
      <c r="B2183" t="s">
        <v>12</v>
      </c>
      <c r="C2183" t="s">
        <v>13</v>
      </c>
      <c r="D2183" t="s">
        <v>14</v>
      </c>
      <c r="E2183" t="s">
        <v>15</v>
      </c>
      <c r="F2183" t="s">
        <v>16</v>
      </c>
      <c r="G2183" t="s">
        <v>17</v>
      </c>
      <c r="H2183" t="s">
        <v>18</v>
      </c>
      <c r="I2183" t="s">
        <v>19</v>
      </c>
      <c r="J2183" t="s">
        <v>20</v>
      </c>
      <c r="K2183" t="s">
        <v>21</v>
      </c>
      <c r="L2183" t="s">
        <v>22</v>
      </c>
      <c r="M2183" t="s">
        <v>23</v>
      </c>
    </row>
    <row r="2184" spans="2:13" x14ac:dyDescent="0.2">
      <c r="B2184" t="s">
        <v>33</v>
      </c>
      <c r="C2184">
        <v>89</v>
      </c>
      <c r="E2184" t="s">
        <v>25</v>
      </c>
      <c r="F2184">
        <v>4303.68</v>
      </c>
      <c r="G2184">
        <v>3.5</v>
      </c>
      <c r="K2184">
        <v>0.1</v>
      </c>
      <c r="L2184">
        <v>7</v>
      </c>
      <c r="M2184">
        <v>109.1</v>
      </c>
    </row>
    <row r="2185" spans="2:13" x14ac:dyDescent="0.2">
      <c r="C2185" t="s">
        <v>27</v>
      </c>
    </row>
    <row r="2186" spans="2:13" x14ac:dyDescent="0.2">
      <c r="C2186" t="s">
        <v>28</v>
      </c>
      <c r="D2186" t="s">
        <v>16</v>
      </c>
      <c r="E2186" t="s">
        <v>29</v>
      </c>
      <c r="F2186" t="s">
        <v>18</v>
      </c>
    </row>
    <row r="2187" spans="2:13" x14ac:dyDescent="0.2">
      <c r="C2187" t="b">
        <v>0</v>
      </c>
      <c r="D2187">
        <v>4190.78</v>
      </c>
      <c r="E2187" t="s">
        <v>30</v>
      </c>
    </row>
    <row r="2188" spans="2:13" x14ac:dyDescent="0.2">
      <c r="C2188" t="b">
        <v>0</v>
      </c>
      <c r="D2188">
        <v>4140.7700000000004</v>
      </c>
      <c r="E2188" t="s">
        <v>30</v>
      </c>
    </row>
    <row r="2189" spans="2:13" x14ac:dyDescent="0.2">
      <c r="C2189" t="b">
        <v>0</v>
      </c>
      <c r="D2189">
        <v>4180.76</v>
      </c>
      <c r="E2189" t="s">
        <v>30</v>
      </c>
    </row>
    <row r="2190" spans="2:13" x14ac:dyDescent="0.2">
      <c r="C2190" t="b">
        <v>0</v>
      </c>
      <c r="D2190">
        <v>4460.92</v>
      </c>
      <c r="E2190" t="s">
        <v>30</v>
      </c>
    </row>
    <row r="2191" spans="2:13" x14ac:dyDescent="0.2">
      <c r="C2191" t="b">
        <v>0</v>
      </c>
      <c r="D2191">
        <v>4430.87</v>
      </c>
      <c r="E2191" t="s">
        <v>30</v>
      </c>
    </row>
    <row r="2192" spans="2:13" x14ac:dyDescent="0.2">
      <c r="C2192" t="b">
        <v>0</v>
      </c>
      <c r="D2192">
        <v>4490.8900000000003</v>
      </c>
      <c r="E2192" t="s">
        <v>30</v>
      </c>
    </row>
    <row r="2193" spans="1:13" x14ac:dyDescent="0.2">
      <c r="C2193" t="b">
        <v>0</v>
      </c>
      <c r="D2193">
        <v>4230.79</v>
      </c>
      <c r="E2193" t="s">
        <v>30</v>
      </c>
    </row>
    <row r="2194" spans="1:13" x14ac:dyDescent="0.2">
      <c r="A2194" t="s">
        <v>0</v>
      </c>
    </row>
    <row r="2195" spans="1:13" x14ac:dyDescent="0.2"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t="s">
        <v>6</v>
      </c>
    </row>
    <row r="2196" spans="1:13" x14ac:dyDescent="0.2">
      <c r="B2196" t="b">
        <v>0</v>
      </c>
      <c r="C2196" t="s">
        <v>168</v>
      </c>
      <c r="D2196" t="s">
        <v>169</v>
      </c>
      <c r="E2196" t="s">
        <v>0</v>
      </c>
      <c r="G2196" t="s">
        <v>170</v>
      </c>
    </row>
    <row r="2197" spans="1:13" x14ac:dyDescent="0.2">
      <c r="B2197" t="s">
        <v>11</v>
      </c>
    </row>
    <row r="2198" spans="1:13" x14ac:dyDescent="0.2">
      <c r="B2198" t="s">
        <v>12</v>
      </c>
      <c r="C2198" t="s">
        <v>13</v>
      </c>
      <c r="D2198" t="s">
        <v>14</v>
      </c>
      <c r="E2198" t="s">
        <v>15</v>
      </c>
      <c r="F2198" t="s">
        <v>16</v>
      </c>
      <c r="G2198" t="s">
        <v>17</v>
      </c>
      <c r="H2198" t="s">
        <v>18</v>
      </c>
      <c r="I2198" t="s">
        <v>19</v>
      </c>
      <c r="J2198" t="s">
        <v>20</v>
      </c>
      <c r="K2198" t="s">
        <v>21</v>
      </c>
      <c r="L2198" t="s">
        <v>22</v>
      </c>
      <c r="M2198" t="s">
        <v>23</v>
      </c>
    </row>
    <row r="2199" spans="1:13" x14ac:dyDescent="0.2">
      <c r="B2199" t="s">
        <v>24</v>
      </c>
      <c r="C2199">
        <v>59</v>
      </c>
      <c r="E2199" t="s">
        <v>25</v>
      </c>
      <c r="F2199">
        <v>1037757.96</v>
      </c>
      <c r="G2199">
        <v>0.8</v>
      </c>
      <c r="H2199">
        <v>0.46200000000000002</v>
      </c>
      <c r="I2199" t="s">
        <v>26</v>
      </c>
      <c r="J2199">
        <v>0.8</v>
      </c>
      <c r="K2199">
        <v>0.1</v>
      </c>
      <c r="L2199">
        <v>7</v>
      </c>
    </row>
    <row r="2200" spans="1:13" x14ac:dyDescent="0.2">
      <c r="C2200" t="s">
        <v>27</v>
      </c>
    </row>
    <row r="2201" spans="1:13" x14ac:dyDescent="0.2">
      <c r="C2201" t="s">
        <v>28</v>
      </c>
      <c r="D2201" t="s">
        <v>16</v>
      </c>
      <c r="E2201" t="s">
        <v>29</v>
      </c>
      <c r="F2201" t="s">
        <v>18</v>
      </c>
    </row>
    <row r="2202" spans="1:13" x14ac:dyDescent="0.2">
      <c r="C2202" t="b">
        <v>0</v>
      </c>
      <c r="D2202">
        <v>1030884.36</v>
      </c>
      <c r="E2202" t="s">
        <v>30</v>
      </c>
      <c r="F2202">
        <v>0.45900000000000002</v>
      </c>
    </row>
    <row r="2203" spans="1:13" x14ac:dyDescent="0.2">
      <c r="C2203" t="b">
        <v>0</v>
      </c>
      <c r="D2203">
        <v>1039432.8</v>
      </c>
      <c r="E2203" t="s">
        <v>30</v>
      </c>
      <c r="F2203">
        <v>0.46200000000000002</v>
      </c>
    </row>
    <row r="2204" spans="1:13" x14ac:dyDescent="0.2">
      <c r="C2204" t="b">
        <v>0</v>
      </c>
      <c r="D2204">
        <v>1027656.55</v>
      </c>
      <c r="E2204" t="s">
        <v>30</v>
      </c>
      <c r="F2204">
        <v>0.45700000000000002</v>
      </c>
    </row>
    <row r="2205" spans="1:13" x14ac:dyDescent="0.2">
      <c r="C2205" t="b">
        <v>0</v>
      </c>
      <c r="D2205">
        <v>1050670.3700000001</v>
      </c>
      <c r="E2205" t="s">
        <v>30</v>
      </c>
      <c r="F2205">
        <v>0.46700000000000003</v>
      </c>
    </row>
    <row r="2206" spans="1:13" x14ac:dyDescent="0.2">
      <c r="C2206" t="b">
        <v>0</v>
      </c>
      <c r="D2206">
        <v>1045036.94</v>
      </c>
      <c r="E2206" t="s">
        <v>30</v>
      </c>
      <c r="F2206">
        <v>0.46500000000000002</v>
      </c>
    </row>
    <row r="2207" spans="1:13" x14ac:dyDescent="0.2">
      <c r="C2207" t="b">
        <v>0</v>
      </c>
      <c r="D2207">
        <v>1039913.03</v>
      </c>
      <c r="E2207" t="s">
        <v>30</v>
      </c>
      <c r="F2207">
        <v>0.46300000000000002</v>
      </c>
    </row>
    <row r="2208" spans="1:13" x14ac:dyDescent="0.2">
      <c r="C2208" t="b">
        <v>0</v>
      </c>
      <c r="D2208">
        <v>1030711.7</v>
      </c>
      <c r="E2208" t="s">
        <v>30</v>
      </c>
      <c r="F2208">
        <v>0.45800000000000002</v>
      </c>
    </row>
    <row r="2209" spans="2:13" x14ac:dyDescent="0.2">
      <c r="B2209" t="s">
        <v>11</v>
      </c>
    </row>
    <row r="2210" spans="2:13" x14ac:dyDescent="0.2">
      <c r="B2210" t="s">
        <v>12</v>
      </c>
      <c r="C2210" t="s">
        <v>13</v>
      </c>
      <c r="D2210" t="s">
        <v>14</v>
      </c>
      <c r="E2210" t="s">
        <v>15</v>
      </c>
      <c r="F2210" t="s">
        <v>16</v>
      </c>
      <c r="G2210" t="s">
        <v>17</v>
      </c>
      <c r="H2210" t="s">
        <v>18</v>
      </c>
      <c r="I2210" t="s">
        <v>19</v>
      </c>
      <c r="J2210" t="s">
        <v>20</v>
      </c>
      <c r="K2210" t="s">
        <v>21</v>
      </c>
      <c r="L2210" t="s">
        <v>22</v>
      </c>
      <c r="M2210" t="s">
        <v>23</v>
      </c>
    </row>
    <row r="2211" spans="2:13" x14ac:dyDescent="0.2">
      <c r="B2211" t="s">
        <v>31</v>
      </c>
      <c r="C2211">
        <v>45</v>
      </c>
      <c r="E2211" t="s">
        <v>25</v>
      </c>
      <c r="F2211">
        <v>945.78</v>
      </c>
      <c r="G2211">
        <v>8.4</v>
      </c>
      <c r="K2211">
        <v>0.1</v>
      </c>
      <c r="L2211">
        <v>7</v>
      </c>
      <c r="M2211">
        <v>91.6</v>
      </c>
    </row>
    <row r="2212" spans="2:13" x14ac:dyDescent="0.2">
      <c r="C2212" t="s">
        <v>27</v>
      </c>
    </row>
    <row r="2213" spans="2:13" x14ac:dyDescent="0.2">
      <c r="C2213" t="s">
        <v>28</v>
      </c>
      <c r="D2213" t="s">
        <v>16</v>
      </c>
      <c r="E2213" t="s">
        <v>29</v>
      </c>
      <c r="F2213" t="s">
        <v>18</v>
      </c>
    </row>
    <row r="2214" spans="2:13" x14ac:dyDescent="0.2">
      <c r="C2214" t="b">
        <v>0</v>
      </c>
      <c r="D2214">
        <v>960.07</v>
      </c>
      <c r="E2214" t="s">
        <v>30</v>
      </c>
    </row>
    <row r="2215" spans="2:13" x14ac:dyDescent="0.2">
      <c r="C2215" t="b">
        <v>0</v>
      </c>
      <c r="D2215">
        <v>810.06</v>
      </c>
      <c r="E2215" t="s">
        <v>30</v>
      </c>
    </row>
    <row r="2216" spans="2:13" x14ac:dyDescent="0.2">
      <c r="C2216" t="b">
        <v>0</v>
      </c>
      <c r="D2216">
        <v>890.06</v>
      </c>
      <c r="E2216" t="s">
        <v>30</v>
      </c>
    </row>
    <row r="2217" spans="2:13" x14ac:dyDescent="0.2">
      <c r="C2217" t="b">
        <v>0</v>
      </c>
      <c r="D2217">
        <v>940.07</v>
      </c>
      <c r="E2217" t="s">
        <v>30</v>
      </c>
    </row>
    <row r="2218" spans="2:13" x14ac:dyDescent="0.2">
      <c r="C2218" t="b">
        <v>0</v>
      </c>
      <c r="D2218">
        <v>1050.07</v>
      </c>
      <c r="E2218" t="s">
        <v>30</v>
      </c>
    </row>
    <row r="2219" spans="2:13" x14ac:dyDescent="0.2">
      <c r="C2219" t="b">
        <v>0</v>
      </c>
      <c r="D2219">
        <v>1020.07</v>
      </c>
      <c r="E2219" t="s">
        <v>30</v>
      </c>
    </row>
    <row r="2220" spans="2:13" x14ac:dyDescent="0.2">
      <c r="C2220" t="b">
        <v>0</v>
      </c>
      <c r="D2220">
        <v>950.07</v>
      </c>
      <c r="E2220" t="s">
        <v>30</v>
      </c>
    </row>
    <row r="2221" spans="2:13" x14ac:dyDescent="0.2">
      <c r="B2221" t="s">
        <v>11</v>
      </c>
    </row>
    <row r="2222" spans="2:13" x14ac:dyDescent="0.2">
      <c r="B2222" t="s">
        <v>12</v>
      </c>
      <c r="C2222" t="s">
        <v>13</v>
      </c>
      <c r="D2222" t="s">
        <v>14</v>
      </c>
      <c r="E2222" t="s">
        <v>15</v>
      </c>
      <c r="F2222" t="s">
        <v>16</v>
      </c>
      <c r="G2222" t="s">
        <v>17</v>
      </c>
      <c r="H2222" t="s">
        <v>18</v>
      </c>
      <c r="I2222" t="s">
        <v>19</v>
      </c>
      <c r="J2222" t="s">
        <v>20</v>
      </c>
      <c r="K2222" t="s">
        <v>21</v>
      </c>
      <c r="L2222" t="s">
        <v>22</v>
      </c>
      <c r="M2222" t="s">
        <v>23</v>
      </c>
    </row>
    <row r="2223" spans="2:13" x14ac:dyDescent="0.2">
      <c r="B2223" t="s">
        <v>32</v>
      </c>
      <c r="C2223">
        <v>72</v>
      </c>
      <c r="E2223" t="s">
        <v>25</v>
      </c>
      <c r="F2223">
        <v>761.48</v>
      </c>
      <c r="G2223">
        <v>8.9</v>
      </c>
      <c r="K2223">
        <v>0.1</v>
      </c>
      <c r="L2223">
        <v>7</v>
      </c>
      <c r="M2223">
        <v>102.1</v>
      </c>
    </row>
    <row r="2224" spans="2:13" x14ac:dyDescent="0.2">
      <c r="C2224" t="s">
        <v>27</v>
      </c>
    </row>
    <row r="2225" spans="2:13" x14ac:dyDescent="0.2">
      <c r="C2225" t="s">
        <v>28</v>
      </c>
      <c r="D2225" t="s">
        <v>16</v>
      </c>
      <c r="E2225" t="s">
        <v>29</v>
      </c>
      <c r="F2225" t="s">
        <v>18</v>
      </c>
    </row>
    <row r="2226" spans="2:13" x14ac:dyDescent="0.2">
      <c r="C2226" t="b">
        <v>0</v>
      </c>
      <c r="D2226">
        <v>700.04</v>
      </c>
      <c r="E2226" t="s">
        <v>30</v>
      </c>
    </row>
    <row r="2227" spans="2:13" x14ac:dyDescent="0.2">
      <c r="C2227" t="b">
        <v>0</v>
      </c>
      <c r="D2227">
        <v>790.06</v>
      </c>
      <c r="E2227" t="s">
        <v>30</v>
      </c>
    </row>
    <row r="2228" spans="2:13" x14ac:dyDescent="0.2">
      <c r="C2228" t="b">
        <v>0</v>
      </c>
      <c r="D2228">
        <v>800.06</v>
      </c>
      <c r="E2228" t="s">
        <v>30</v>
      </c>
    </row>
    <row r="2229" spans="2:13" x14ac:dyDescent="0.2">
      <c r="C2229" t="b">
        <v>0</v>
      </c>
      <c r="D2229">
        <v>820.06</v>
      </c>
      <c r="E2229" t="s">
        <v>30</v>
      </c>
    </row>
    <row r="2230" spans="2:13" x14ac:dyDescent="0.2">
      <c r="C2230" t="b">
        <v>0</v>
      </c>
      <c r="D2230">
        <v>720.04</v>
      </c>
      <c r="E2230" t="s">
        <v>30</v>
      </c>
    </row>
    <row r="2231" spans="2:13" x14ac:dyDescent="0.2">
      <c r="C2231" t="b">
        <v>0</v>
      </c>
      <c r="D2231">
        <v>660.03</v>
      </c>
      <c r="E2231" t="s">
        <v>30</v>
      </c>
    </row>
    <row r="2232" spans="2:13" x14ac:dyDescent="0.2">
      <c r="C2232" t="b">
        <v>0</v>
      </c>
      <c r="D2232">
        <v>840.05</v>
      </c>
      <c r="E2232" t="s">
        <v>30</v>
      </c>
    </row>
    <row r="2233" spans="2:13" x14ac:dyDescent="0.2">
      <c r="B2233" t="s">
        <v>11</v>
      </c>
    </row>
    <row r="2234" spans="2:13" x14ac:dyDescent="0.2">
      <c r="B2234" t="s">
        <v>12</v>
      </c>
      <c r="C2234" t="s">
        <v>13</v>
      </c>
      <c r="D2234" t="s">
        <v>14</v>
      </c>
      <c r="E2234" t="s">
        <v>15</v>
      </c>
      <c r="F2234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21</v>
      </c>
      <c r="L2234" t="s">
        <v>22</v>
      </c>
      <c r="M2234" t="s">
        <v>23</v>
      </c>
    </row>
    <row r="2235" spans="2:13" x14ac:dyDescent="0.2">
      <c r="B2235" t="s">
        <v>33</v>
      </c>
      <c r="C2235">
        <v>89</v>
      </c>
      <c r="E2235" t="s">
        <v>25</v>
      </c>
      <c r="F2235">
        <v>4065.03</v>
      </c>
      <c r="G2235">
        <v>5.7</v>
      </c>
      <c r="K2235">
        <v>0.1</v>
      </c>
      <c r="L2235">
        <v>7</v>
      </c>
      <c r="M2235">
        <v>103</v>
      </c>
    </row>
    <row r="2236" spans="2:13" x14ac:dyDescent="0.2">
      <c r="C2236" t="s">
        <v>27</v>
      </c>
    </row>
    <row r="2237" spans="2:13" x14ac:dyDescent="0.2">
      <c r="C2237" t="s">
        <v>28</v>
      </c>
      <c r="D2237" t="s">
        <v>16</v>
      </c>
      <c r="E2237" t="s">
        <v>29</v>
      </c>
      <c r="F2237" t="s">
        <v>18</v>
      </c>
    </row>
    <row r="2238" spans="2:13" x14ac:dyDescent="0.2">
      <c r="C2238" t="b">
        <v>0</v>
      </c>
      <c r="D2238">
        <v>3790.65</v>
      </c>
      <c r="E2238" t="s">
        <v>30</v>
      </c>
    </row>
    <row r="2239" spans="2:13" x14ac:dyDescent="0.2">
      <c r="C2239" t="b">
        <v>0</v>
      </c>
      <c r="D2239">
        <v>4140.75</v>
      </c>
      <c r="E2239" t="s">
        <v>30</v>
      </c>
    </row>
    <row r="2240" spans="2:13" x14ac:dyDescent="0.2">
      <c r="C2240" t="b">
        <v>0</v>
      </c>
      <c r="D2240">
        <v>3730.63</v>
      </c>
      <c r="E2240" t="s">
        <v>30</v>
      </c>
    </row>
    <row r="2241" spans="1:13" x14ac:dyDescent="0.2">
      <c r="C2241" t="b">
        <v>0</v>
      </c>
      <c r="D2241">
        <v>4200.8100000000004</v>
      </c>
      <c r="E2241" t="s">
        <v>30</v>
      </c>
    </row>
    <row r="2242" spans="1:13" x14ac:dyDescent="0.2">
      <c r="C2242" t="b">
        <v>0</v>
      </c>
      <c r="D2242">
        <v>4340.8100000000004</v>
      </c>
      <c r="E2242" t="s">
        <v>30</v>
      </c>
    </row>
    <row r="2243" spans="1:13" x14ac:dyDescent="0.2">
      <c r="C2243" t="b">
        <v>0</v>
      </c>
      <c r="D2243">
        <v>4010.72</v>
      </c>
      <c r="E2243" t="s">
        <v>30</v>
      </c>
    </row>
    <row r="2244" spans="1:13" x14ac:dyDescent="0.2">
      <c r="C2244" t="b">
        <v>0</v>
      </c>
      <c r="D2244">
        <v>4240.8500000000004</v>
      </c>
      <c r="E2244" t="s">
        <v>30</v>
      </c>
    </row>
    <row r="2245" spans="1:13" x14ac:dyDescent="0.2">
      <c r="A2245" t="s">
        <v>0</v>
      </c>
    </row>
    <row r="2246" spans="1:13" x14ac:dyDescent="0.2"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6</v>
      </c>
    </row>
    <row r="2247" spans="1:13" x14ac:dyDescent="0.2">
      <c r="B2247" t="b">
        <v>0</v>
      </c>
      <c r="C2247" t="s">
        <v>171</v>
      </c>
      <c r="D2247" t="s">
        <v>172</v>
      </c>
      <c r="E2247" t="s">
        <v>0</v>
      </c>
      <c r="G2247" t="s">
        <v>173</v>
      </c>
    </row>
    <row r="2248" spans="1:13" x14ac:dyDescent="0.2">
      <c r="B2248" t="s">
        <v>11</v>
      </c>
    </row>
    <row r="2249" spans="1:13" x14ac:dyDescent="0.2">
      <c r="B2249" t="s">
        <v>12</v>
      </c>
      <c r="C2249" t="s">
        <v>13</v>
      </c>
      <c r="D2249" t="s">
        <v>14</v>
      </c>
      <c r="E2249" t="s">
        <v>15</v>
      </c>
      <c r="F2249" t="s">
        <v>16</v>
      </c>
      <c r="G2249" t="s">
        <v>17</v>
      </c>
      <c r="H2249" t="s">
        <v>18</v>
      </c>
      <c r="I2249" t="s">
        <v>19</v>
      </c>
      <c r="J2249" t="s">
        <v>20</v>
      </c>
      <c r="K2249" t="s">
        <v>21</v>
      </c>
      <c r="L2249" t="s">
        <v>22</v>
      </c>
      <c r="M2249" t="s">
        <v>23</v>
      </c>
    </row>
    <row r="2250" spans="1:13" x14ac:dyDescent="0.2">
      <c r="B2250" t="s">
        <v>24</v>
      </c>
      <c r="C2250">
        <v>59</v>
      </c>
      <c r="E2250" t="s">
        <v>25</v>
      </c>
      <c r="F2250">
        <v>1054590.45</v>
      </c>
      <c r="G2250">
        <v>0.9</v>
      </c>
      <c r="H2250">
        <v>0.46899999999999997</v>
      </c>
      <c r="I2250" t="s">
        <v>26</v>
      </c>
      <c r="J2250">
        <v>0.9</v>
      </c>
      <c r="K2250">
        <v>0.1</v>
      </c>
      <c r="L2250">
        <v>7</v>
      </c>
    </row>
    <row r="2251" spans="1:13" x14ac:dyDescent="0.2">
      <c r="C2251" t="s">
        <v>27</v>
      </c>
    </row>
    <row r="2252" spans="1:13" x14ac:dyDescent="0.2">
      <c r="C2252" t="s">
        <v>28</v>
      </c>
      <c r="D2252" t="s">
        <v>16</v>
      </c>
      <c r="E2252" t="s">
        <v>29</v>
      </c>
      <c r="F2252" t="s">
        <v>18</v>
      </c>
    </row>
    <row r="2253" spans="1:13" x14ac:dyDescent="0.2">
      <c r="C2253" t="b">
        <v>0</v>
      </c>
      <c r="D2253">
        <v>1048288.66</v>
      </c>
      <c r="E2253" t="s">
        <v>30</v>
      </c>
      <c r="F2253">
        <v>0.46600000000000003</v>
      </c>
    </row>
    <row r="2254" spans="1:13" x14ac:dyDescent="0.2">
      <c r="C2254" t="b">
        <v>0</v>
      </c>
      <c r="D2254">
        <v>1053712.8700000001</v>
      </c>
      <c r="E2254" t="s">
        <v>30</v>
      </c>
      <c r="F2254">
        <v>0.46899999999999997</v>
      </c>
    </row>
    <row r="2255" spans="1:13" x14ac:dyDescent="0.2">
      <c r="C2255" t="b">
        <v>0</v>
      </c>
      <c r="D2255">
        <v>1036718.97</v>
      </c>
      <c r="E2255" t="s">
        <v>30</v>
      </c>
      <c r="F2255">
        <v>0.46100000000000002</v>
      </c>
    </row>
    <row r="2256" spans="1:13" x14ac:dyDescent="0.2">
      <c r="C2256" t="b">
        <v>0</v>
      </c>
      <c r="D2256">
        <v>1059236.55</v>
      </c>
      <c r="E2256" t="s">
        <v>30</v>
      </c>
      <c r="F2256">
        <v>0.47099999999999997</v>
      </c>
    </row>
    <row r="2257" spans="2:13" x14ac:dyDescent="0.2">
      <c r="C2257" t="b">
        <v>0</v>
      </c>
      <c r="D2257">
        <v>1063183.1100000001</v>
      </c>
      <c r="E2257" t="s">
        <v>30</v>
      </c>
      <c r="F2257">
        <v>0.47299999999999998</v>
      </c>
    </row>
    <row r="2258" spans="2:13" x14ac:dyDescent="0.2">
      <c r="C2258" t="b">
        <v>0</v>
      </c>
      <c r="D2258">
        <v>1057978.81</v>
      </c>
      <c r="E2258" t="s">
        <v>30</v>
      </c>
      <c r="F2258">
        <v>0.47099999999999997</v>
      </c>
    </row>
    <row r="2259" spans="2:13" x14ac:dyDescent="0.2">
      <c r="C2259" t="b">
        <v>0</v>
      </c>
      <c r="D2259">
        <v>1063014.2</v>
      </c>
      <c r="E2259" t="s">
        <v>30</v>
      </c>
      <c r="F2259">
        <v>0.47299999999999998</v>
      </c>
    </row>
    <row r="2260" spans="2:13" x14ac:dyDescent="0.2">
      <c r="B2260" t="s">
        <v>11</v>
      </c>
    </row>
    <row r="2261" spans="2:13" x14ac:dyDescent="0.2">
      <c r="B2261" t="s">
        <v>12</v>
      </c>
      <c r="C2261" t="s">
        <v>13</v>
      </c>
      <c r="D2261" t="s">
        <v>14</v>
      </c>
      <c r="E2261" t="s">
        <v>15</v>
      </c>
      <c r="F2261" t="s">
        <v>16</v>
      </c>
      <c r="G2261" t="s">
        <v>17</v>
      </c>
      <c r="H2261" t="s">
        <v>18</v>
      </c>
      <c r="I2261" t="s">
        <v>19</v>
      </c>
      <c r="J2261" t="s">
        <v>20</v>
      </c>
      <c r="K2261" t="s">
        <v>21</v>
      </c>
      <c r="L2261" t="s">
        <v>22</v>
      </c>
      <c r="M2261" t="s">
        <v>23</v>
      </c>
    </row>
    <row r="2262" spans="2:13" x14ac:dyDescent="0.2">
      <c r="B2262" t="s">
        <v>31</v>
      </c>
      <c r="C2262">
        <v>45</v>
      </c>
      <c r="E2262" t="s">
        <v>25</v>
      </c>
      <c r="F2262">
        <v>1184.3800000000001</v>
      </c>
      <c r="G2262">
        <v>9.1</v>
      </c>
      <c r="K2262">
        <v>0.1</v>
      </c>
      <c r="L2262">
        <v>7</v>
      </c>
      <c r="M2262">
        <v>114.7</v>
      </c>
    </row>
    <row r="2263" spans="2:13" x14ac:dyDescent="0.2">
      <c r="C2263" t="s">
        <v>27</v>
      </c>
    </row>
    <row r="2264" spans="2:13" x14ac:dyDescent="0.2">
      <c r="C2264" t="s">
        <v>28</v>
      </c>
      <c r="D2264" t="s">
        <v>16</v>
      </c>
      <c r="E2264" t="s">
        <v>29</v>
      </c>
      <c r="F2264" t="s">
        <v>18</v>
      </c>
    </row>
    <row r="2265" spans="2:13" x14ac:dyDescent="0.2">
      <c r="C2265" t="b">
        <v>0</v>
      </c>
      <c r="D2265">
        <v>1320.12</v>
      </c>
      <c r="E2265" t="s">
        <v>30</v>
      </c>
    </row>
    <row r="2266" spans="2:13" x14ac:dyDescent="0.2">
      <c r="C2266" t="b">
        <v>0</v>
      </c>
      <c r="D2266">
        <v>1050.08</v>
      </c>
      <c r="E2266" t="s">
        <v>30</v>
      </c>
    </row>
    <row r="2267" spans="2:13" x14ac:dyDescent="0.2">
      <c r="C2267" t="b">
        <v>0</v>
      </c>
      <c r="D2267">
        <v>1150.0899999999999</v>
      </c>
      <c r="E2267" t="s">
        <v>30</v>
      </c>
    </row>
    <row r="2268" spans="2:13" x14ac:dyDescent="0.2">
      <c r="C2268" t="b">
        <v>0</v>
      </c>
      <c r="D2268">
        <v>1230.0999999999999</v>
      </c>
      <c r="E2268" t="s">
        <v>30</v>
      </c>
    </row>
    <row r="2269" spans="2:13" x14ac:dyDescent="0.2">
      <c r="C2269" t="b">
        <v>0</v>
      </c>
      <c r="D2269">
        <v>1230.0999999999999</v>
      </c>
      <c r="E2269" t="s">
        <v>30</v>
      </c>
    </row>
    <row r="2270" spans="2:13" x14ac:dyDescent="0.2">
      <c r="C2270" t="b">
        <v>0</v>
      </c>
      <c r="D2270">
        <v>1040.08</v>
      </c>
      <c r="E2270" t="s">
        <v>30</v>
      </c>
    </row>
    <row r="2271" spans="2:13" x14ac:dyDescent="0.2">
      <c r="C2271" t="b">
        <v>0</v>
      </c>
      <c r="D2271">
        <v>1270.0999999999999</v>
      </c>
      <c r="E2271" t="s">
        <v>30</v>
      </c>
    </row>
    <row r="2272" spans="2:13" x14ac:dyDescent="0.2">
      <c r="B2272" t="s">
        <v>11</v>
      </c>
    </row>
    <row r="2273" spans="2:13" x14ac:dyDescent="0.2">
      <c r="B2273" t="s">
        <v>12</v>
      </c>
      <c r="C2273" t="s">
        <v>13</v>
      </c>
      <c r="D2273" t="s">
        <v>14</v>
      </c>
      <c r="E2273" t="s">
        <v>15</v>
      </c>
      <c r="F2273" t="s">
        <v>16</v>
      </c>
      <c r="G2273" t="s">
        <v>17</v>
      </c>
      <c r="H2273" t="s">
        <v>18</v>
      </c>
      <c r="I2273" t="s">
        <v>19</v>
      </c>
      <c r="J2273" t="s">
        <v>20</v>
      </c>
      <c r="K2273" t="s">
        <v>21</v>
      </c>
      <c r="L2273" t="s">
        <v>22</v>
      </c>
      <c r="M2273" t="s">
        <v>23</v>
      </c>
    </row>
    <row r="2274" spans="2:13" x14ac:dyDescent="0.2">
      <c r="B2274" t="s">
        <v>32</v>
      </c>
      <c r="C2274">
        <v>72</v>
      </c>
      <c r="E2274" t="s">
        <v>25</v>
      </c>
      <c r="F2274">
        <v>701.47</v>
      </c>
      <c r="G2274">
        <v>8.6</v>
      </c>
      <c r="K2274">
        <v>0.1</v>
      </c>
      <c r="L2274">
        <v>7</v>
      </c>
      <c r="M2274">
        <v>94.1</v>
      </c>
    </row>
    <row r="2275" spans="2:13" x14ac:dyDescent="0.2">
      <c r="C2275" t="s">
        <v>27</v>
      </c>
    </row>
    <row r="2276" spans="2:13" x14ac:dyDescent="0.2">
      <c r="C2276" t="s">
        <v>28</v>
      </c>
      <c r="D2276" t="s">
        <v>16</v>
      </c>
      <c r="E2276" t="s">
        <v>29</v>
      </c>
      <c r="F2276" t="s">
        <v>18</v>
      </c>
    </row>
    <row r="2277" spans="2:13" x14ac:dyDescent="0.2">
      <c r="C2277" t="b">
        <v>0</v>
      </c>
      <c r="D2277">
        <v>620.04</v>
      </c>
      <c r="E2277" t="s">
        <v>30</v>
      </c>
    </row>
    <row r="2278" spans="2:13" x14ac:dyDescent="0.2">
      <c r="C2278" t="b">
        <v>0</v>
      </c>
      <c r="D2278">
        <v>660.04</v>
      </c>
      <c r="E2278" t="s">
        <v>30</v>
      </c>
    </row>
    <row r="2279" spans="2:13" x14ac:dyDescent="0.2">
      <c r="C2279" t="b">
        <v>0</v>
      </c>
      <c r="D2279">
        <v>710.04</v>
      </c>
      <c r="E2279" t="s">
        <v>30</v>
      </c>
    </row>
    <row r="2280" spans="2:13" x14ac:dyDescent="0.2">
      <c r="C2280" t="b">
        <v>0</v>
      </c>
      <c r="D2280">
        <v>710.05</v>
      </c>
      <c r="E2280" t="s">
        <v>30</v>
      </c>
    </row>
    <row r="2281" spans="2:13" x14ac:dyDescent="0.2">
      <c r="C2281" t="b">
        <v>0</v>
      </c>
      <c r="D2281">
        <v>810.04</v>
      </c>
      <c r="E2281" t="s">
        <v>30</v>
      </c>
    </row>
    <row r="2282" spans="2:13" x14ac:dyDescent="0.2">
      <c r="C2282" t="b">
        <v>0</v>
      </c>
      <c r="D2282">
        <v>730.04</v>
      </c>
      <c r="E2282" t="s">
        <v>30</v>
      </c>
    </row>
    <row r="2283" spans="2:13" x14ac:dyDescent="0.2">
      <c r="C2283" t="b">
        <v>0</v>
      </c>
      <c r="D2283">
        <v>670.04</v>
      </c>
      <c r="E2283" t="s">
        <v>30</v>
      </c>
    </row>
    <row r="2284" spans="2:13" x14ac:dyDescent="0.2">
      <c r="B2284" t="s">
        <v>11</v>
      </c>
    </row>
    <row r="2285" spans="2:13" x14ac:dyDescent="0.2">
      <c r="B2285" t="s">
        <v>12</v>
      </c>
      <c r="C2285" t="s">
        <v>13</v>
      </c>
      <c r="D2285" t="s">
        <v>14</v>
      </c>
      <c r="E2285" t="s">
        <v>15</v>
      </c>
      <c r="F2285" t="s">
        <v>16</v>
      </c>
      <c r="G2285" t="s">
        <v>17</v>
      </c>
      <c r="H2285" t="s">
        <v>18</v>
      </c>
      <c r="I2285" t="s">
        <v>19</v>
      </c>
      <c r="J2285" t="s">
        <v>20</v>
      </c>
      <c r="K2285" t="s">
        <v>21</v>
      </c>
      <c r="L2285" t="s">
        <v>22</v>
      </c>
      <c r="M2285" t="s">
        <v>23</v>
      </c>
    </row>
    <row r="2286" spans="2:13" x14ac:dyDescent="0.2">
      <c r="B2286" t="s">
        <v>33</v>
      </c>
      <c r="C2286">
        <v>89</v>
      </c>
      <c r="E2286" t="s">
        <v>25</v>
      </c>
      <c r="F2286">
        <v>3823.55</v>
      </c>
      <c r="G2286">
        <v>3.7</v>
      </c>
      <c r="K2286">
        <v>0.1</v>
      </c>
      <c r="L2286">
        <v>7</v>
      </c>
      <c r="M2286">
        <v>96.9</v>
      </c>
    </row>
    <row r="2287" spans="2:13" x14ac:dyDescent="0.2">
      <c r="C2287" t="s">
        <v>27</v>
      </c>
    </row>
    <row r="2288" spans="2:13" x14ac:dyDescent="0.2">
      <c r="C2288" t="s">
        <v>28</v>
      </c>
      <c r="D2288" t="s">
        <v>16</v>
      </c>
      <c r="E2288" t="s">
        <v>29</v>
      </c>
      <c r="F2288" t="s">
        <v>18</v>
      </c>
    </row>
    <row r="2289" spans="1:13" x14ac:dyDescent="0.2">
      <c r="C2289" t="b">
        <v>0</v>
      </c>
      <c r="D2289">
        <v>3740.64</v>
      </c>
      <c r="E2289" t="s">
        <v>30</v>
      </c>
    </row>
    <row r="2290" spans="1:13" x14ac:dyDescent="0.2">
      <c r="C2290" t="b">
        <v>0</v>
      </c>
      <c r="D2290">
        <v>3580.6</v>
      </c>
      <c r="E2290" t="s">
        <v>30</v>
      </c>
    </row>
    <row r="2291" spans="1:13" x14ac:dyDescent="0.2">
      <c r="C2291" t="b">
        <v>0</v>
      </c>
      <c r="D2291">
        <v>3940.75</v>
      </c>
      <c r="E2291" t="s">
        <v>30</v>
      </c>
    </row>
    <row r="2292" spans="1:13" x14ac:dyDescent="0.2">
      <c r="C2292" t="b">
        <v>0</v>
      </c>
      <c r="D2292">
        <v>3940.74</v>
      </c>
      <c r="E2292" t="s">
        <v>30</v>
      </c>
    </row>
    <row r="2293" spans="1:13" x14ac:dyDescent="0.2">
      <c r="C2293" t="b">
        <v>0</v>
      </c>
      <c r="D2293">
        <v>3900.73</v>
      </c>
      <c r="E2293" t="s">
        <v>30</v>
      </c>
    </row>
    <row r="2294" spans="1:13" x14ac:dyDescent="0.2">
      <c r="C2294" t="b">
        <v>0</v>
      </c>
      <c r="D2294">
        <v>3730.67</v>
      </c>
      <c r="E2294" t="s">
        <v>30</v>
      </c>
    </row>
    <row r="2295" spans="1:13" x14ac:dyDescent="0.2">
      <c r="C2295" t="b">
        <v>0</v>
      </c>
      <c r="D2295">
        <v>3930.7</v>
      </c>
      <c r="E2295" t="s">
        <v>30</v>
      </c>
    </row>
    <row r="2296" spans="1:13" x14ac:dyDescent="0.2">
      <c r="A2296" t="s">
        <v>0</v>
      </c>
    </row>
    <row r="2297" spans="1:13" x14ac:dyDescent="0.2"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t="s">
        <v>6</v>
      </c>
    </row>
    <row r="2298" spans="1:13" x14ac:dyDescent="0.2">
      <c r="B2298" t="b">
        <v>0</v>
      </c>
      <c r="C2298" t="s">
        <v>174</v>
      </c>
      <c r="D2298" t="s">
        <v>175</v>
      </c>
      <c r="E2298" t="s">
        <v>0</v>
      </c>
      <c r="G2298" t="s">
        <v>176</v>
      </c>
    </row>
    <row r="2299" spans="1:13" x14ac:dyDescent="0.2">
      <c r="B2299" t="s">
        <v>11</v>
      </c>
    </row>
    <row r="2300" spans="1:13" x14ac:dyDescent="0.2">
      <c r="B2300" t="s">
        <v>12</v>
      </c>
      <c r="C2300" t="s">
        <v>13</v>
      </c>
      <c r="D2300" t="s">
        <v>14</v>
      </c>
      <c r="E2300" t="s">
        <v>15</v>
      </c>
      <c r="F2300" t="s">
        <v>16</v>
      </c>
      <c r="G2300" t="s">
        <v>17</v>
      </c>
      <c r="H2300" t="s">
        <v>18</v>
      </c>
      <c r="I2300" t="s">
        <v>19</v>
      </c>
      <c r="J2300" t="s">
        <v>20</v>
      </c>
      <c r="K2300" t="s">
        <v>21</v>
      </c>
      <c r="L2300" t="s">
        <v>22</v>
      </c>
      <c r="M2300" t="s">
        <v>23</v>
      </c>
    </row>
    <row r="2301" spans="1:13" x14ac:dyDescent="0.2">
      <c r="B2301" t="s">
        <v>24</v>
      </c>
      <c r="C2301">
        <v>59</v>
      </c>
      <c r="E2301" t="s">
        <v>25</v>
      </c>
      <c r="F2301">
        <v>8419250.5899999999</v>
      </c>
      <c r="G2301">
        <v>1.1000000000000001</v>
      </c>
      <c r="H2301">
        <v>3.7450000000000001</v>
      </c>
      <c r="I2301" t="s">
        <v>26</v>
      </c>
      <c r="J2301">
        <v>1.1000000000000001</v>
      </c>
      <c r="K2301">
        <v>0.1</v>
      </c>
      <c r="L2301">
        <v>7</v>
      </c>
    </row>
    <row r="2302" spans="1:13" x14ac:dyDescent="0.2">
      <c r="C2302" t="s">
        <v>27</v>
      </c>
    </row>
    <row r="2303" spans="1:13" x14ac:dyDescent="0.2">
      <c r="C2303" t="s">
        <v>28</v>
      </c>
      <c r="D2303" t="s">
        <v>16</v>
      </c>
      <c r="E2303" t="s">
        <v>29</v>
      </c>
      <c r="F2303" t="s">
        <v>18</v>
      </c>
    </row>
    <row r="2304" spans="1:13" x14ac:dyDescent="0.2">
      <c r="C2304" t="b">
        <v>0</v>
      </c>
      <c r="D2304">
        <v>8482514.25</v>
      </c>
      <c r="E2304" t="s">
        <v>67</v>
      </c>
      <c r="F2304">
        <v>3.7730000000000001</v>
      </c>
    </row>
    <row r="2305" spans="2:13" x14ac:dyDescent="0.2">
      <c r="C2305" t="b">
        <v>0</v>
      </c>
      <c r="D2305">
        <v>8342518.6299999999</v>
      </c>
      <c r="E2305" t="s">
        <v>67</v>
      </c>
      <c r="F2305">
        <v>3.7109999999999999</v>
      </c>
    </row>
    <row r="2306" spans="2:13" x14ac:dyDescent="0.2">
      <c r="C2306" t="b">
        <v>0</v>
      </c>
      <c r="D2306">
        <v>8445608</v>
      </c>
      <c r="E2306" t="s">
        <v>67</v>
      </c>
      <c r="F2306">
        <v>3.7570000000000001</v>
      </c>
    </row>
    <row r="2307" spans="2:13" x14ac:dyDescent="0.2">
      <c r="C2307" t="b">
        <v>0</v>
      </c>
      <c r="D2307">
        <v>8453701.1199999992</v>
      </c>
      <c r="E2307" t="s">
        <v>67</v>
      </c>
      <c r="F2307">
        <v>3.76</v>
      </c>
    </row>
    <row r="2308" spans="2:13" x14ac:dyDescent="0.2">
      <c r="C2308" t="b">
        <v>0</v>
      </c>
      <c r="D2308">
        <v>8556013</v>
      </c>
      <c r="E2308" t="s">
        <v>67</v>
      </c>
      <c r="F2308">
        <v>3.806</v>
      </c>
    </row>
    <row r="2309" spans="2:13" x14ac:dyDescent="0.2">
      <c r="C2309" t="b">
        <v>0</v>
      </c>
      <c r="D2309">
        <v>8296681.1299999999</v>
      </c>
      <c r="E2309" t="s">
        <v>67</v>
      </c>
      <c r="F2309">
        <v>3.69</v>
      </c>
    </row>
    <row r="2310" spans="2:13" x14ac:dyDescent="0.2">
      <c r="C2310" t="b">
        <v>0</v>
      </c>
      <c r="D2310">
        <v>8357718</v>
      </c>
      <c r="E2310" t="s">
        <v>67</v>
      </c>
      <c r="F2310">
        <v>3.718</v>
      </c>
    </row>
    <row r="2311" spans="2:13" x14ac:dyDescent="0.2">
      <c r="B2311" t="s">
        <v>11</v>
      </c>
    </row>
    <row r="2312" spans="2:13" x14ac:dyDescent="0.2">
      <c r="B2312" t="s">
        <v>12</v>
      </c>
      <c r="C2312" t="s">
        <v>13</v>
      </c>
      <c r="D2312" t="s">
        <v>14</v>
      </c>
      <c r="E2312" t="s">
        <v>15</v>
      </c>
      <c r="F2312" t="s">
        <v>16</v>
      </c>
      <c r="G2312" t="s">
        <v>17</v>
      </c>
      <c r="H2312" t="s">
        <v>18</v>
      </c>
      <c r="I2312" t="s">
        <v>19</v>
      </c>
      <c r="J2312" t="s">
        <v>20</v>
      </c>
      <c r="K2312" t="s">
        <v>21</v>
      </c>
      <c r="L2312" t="s">
        <v>22</v>
      </c>
      <c r="M2312" t="s">
        <v>23</v>
      </c>
    </row>
    <row r="2313" spans="2:13" x14ac:dyDescent="0.2">
      <c r="B2313" t="s">
        <v>31</v>
      </c>
      <c r="C2313">
        <v>45</v>
      </c>
      <c r="E2313" t="s">
        <v>25</v>
      </c>
      <c r="F2313">
        <v>945.78</v>
      </c>
      <c r="G2313">
        <v>7.9</v>
      </c>
      <c r="K2313">
        <v>0.1</v>
      </c>
      <c r="L2313">
        <v>7</v>
      </c>
      <c r="M2313">
        <v>91.6</v>
      </c>
    </row>
    <row r="2314" spans="2:13" x14ac:dyDescent="0.2">
      <c r="C2314" t="s">
        <v>27</v>
      </c>
    </row>
    <row r="2315" spans="2:13" x14ac:dyDescent="0.2">
      <c r="C2315" t="s">
        <v>28</v>
      </c>
      <c r="D2315" t="s">
        <v>16</v>
      </c>
      <c r="E2315" t="s">
        <v>29</v>
      </c>
      <c r="F2315" t="s">
        <v>18</v>
      </c>
    </row>
    <row r="2316" spans="2:13" x14ac:dyDescent="0.2">
      <c r="C2316" t="b">
        <v>0</v>
      </c>
      <c r="D2316">
        <v>840.05</v>
      </c>
      <c r="E2316" t="s">
        <v>30</v>
      </c>
    </row>
    <row r="2317" spans="2:13" x14ac:dyDescent="0.2">
      <c r="C2317" t="b">
        <v>0</v>
      </c>
      <c r="D2317">
        <v>920.06</v>
      </c>
      <c r="E2317" t="s">
        <v>30</v>
      </c>
    </row>
    <row r="2318" spans="2:13" x14ac:dyDescent="0.2">
      <c r="C2318" t="b">
        <v>0</v>
      </c>
      <c r="D2318">
        <v>930.06</v>
      </c>
      <c r="E2318" t="s">
        <v>30</v>
      </c>
    </row>
    <row r="2319" spans="2:13" x14ac:dyDescent="0.2">
      <c r="C2319" t="b">
        <v>0</v>
      </c>
      <c r="D2319">
        <v>1050.07</v>
      </c>
      <c r="E2319" t="s">
        <v>30</v>
      </c>
    </row>
    <row r="2320" spans="2:13" x14ac:dyDescent="0.2">
      <c r="C2320" t="b">
        <v>0</v>
      </c>
      <c r="D2320">
        <v>930.07</v>
      </c>
      <c r="E2320" t="s">
        <v>30</v>
      </c>
    </row>
    <row r="2321" spans="2:13" x14ac:dyDescent="0.2">
      <c r="C2321" t="b">
        <v>0</v>
      </c>
      <c r="D2321">
        <v>910.06</v>
      </c>
      <c r="E2321" t="s">
        <v>30</v>
      </c>
    </row>
    <row r="2322" spans="2:13" x14ac:dyDescent="0.2">
      <c r="C2322" t="b">
        <v>0</v>
      </c>
      <c r="D2322">
        <v>1040.07</v>
      </c>
      <c r="E2322" t="s">
        <v>30</v>
      </c>
    </row>
    <row r="2323" spans="2:13" x14ac:dyDescent="0.2">
      <c r="B2323" t="s">
        <v>11</v>
      </c>
    </row>
    <row r="2324" spans="2:13" x14ac:dyDescent="0.2">
      <c r="B2324" t="s">
        <v>12</v>
      </c>
      <c r="C2324" t="s">
        <v>13</v>
      </c>
      <c r="D2324" t="s">
        <v>14</v>
      </c>
      <c r="E2324" t="s">
        <v>15</v>
      </c>
      <c r="F2324" t="s">
        <v>16</v>
      </c>
      <c r="G2324" t="s">
        <v>17</v>
      </c>
      <c r="H2324" t="s">
        <v>18</v>
      </c>
      <c r="I2324" t="s">
        <v>19</v>
      </c>
      <c r="J2324" t="s">
        <v>20</v>
      </c>
      <c r="K2324" t="s">
        <v>21</v>
      </c>
      <c r="L2324" t="s">
        <v>22</v>
      </c>
      <c r="M2324" t="s">
        <v>23</v>
      </c>
    </row>
    <row r="2325" spans="2:13" x14ac:dyDescent="0.2">
      <c r="B2325" t="s">
        <v>32</v>
      </c>
      <c r="C2325">
        <v>72</v>
      </c>
      <c r="E2325" t="s">
        <v>25</v>
      </c>
      <c r="F2325">
        <v>772.91</v>
      </c>
      <c r="G2325">
        <v>8.6999999999999993</v>
      </c>
      <c r="K2325">
        <v>0.1</v>
      </c>
      <c r="L2325">
        <v>7</v>
      </c>
      <c r="M2325">
        <v>103.6</v>
      </c>
    </row>
    <row r="2326" spans="2:13" x14ac:dyDescent="0.2">
      <c r="C2326" t="s">
        <v>27</v>
      </c>
    </row>
    <row r="2327" spans="2:13" x14ac:dyDescent="0.2">
      <c r="C2327" t="s">
        <v>28</v>
      </c>
      <c r="D2327" t="s">
        <v>16</v>
      </c>
      <c r="E2327" t="s">
        <v>29</v>
      </c>
      <c r="F2327" t="s">
        <v>18</v>
      </c>
    </row>
    <row r="2328" spans="2:13" x14ac:dyDescent="0.2">
      <c r="C2328" t="b">
        <v>0</v>
      </c>
      <c r="D2328">
        <v>830.06</v>
      </c>
      <c r="E2328" t="s">
        <v>30</v>
      </c>
    </row>
    <row r="2329" spans="2:13" x14ac:dyDescent="0.2">
      <c r="C2329" t="b">
        <v>0</v>
      </c>
      <c r="D2329">
        <v>710.04</v>
      </c>
      <c r="E2329" t="s">
        <v>30</v>
      </c>
    </row>
    <row r="2330" spans="2:13" x14ac:dyDescent="0.2">
      <c r="C2330" t="b">
        <v>0</v>
      </c>
      <c r="D2330">
        <v>810.05</v>
      </c>
      <c r="E2330" t="s">
        <v>30</v>
      </c>
    </row>
    <row r="2331" spans="2:13" x14ac:dyDescent="0.2">
      <c r="C2331" t="b">
        <v>0</v>
      </c>
      <c r="D2331">
        <v>680.05</v>
      </c>
      <c r="E2331" t="s">
        <v>30</v>
      </c>
    </row>
    <row r="2332" spans="2:13" x14ac:dyDescent="0.2">
      <c r="C2332" t="b">
        <v>0</v>
      </c>
      <c r="D2332">
        <v>720.05</v>
      </c>
      <c r="E2332" t="s">
        <v>30</v>
      </c>
    </row>
    <row r="2333" spans="2:13" x14ac:dyDescent="0.2">
      <c r="C2333" t="b">
        <v>0</v>
      </c>
      <c r="D2333">
        <v>850.07</v>
      </c>
      <c r="E2333" t="s">
        <v>30</v>
      </c>
    </row>
    <row r="2334" spans="2:13" x14ac:dyDescent="0.2">
      <c r="C2334" t="b">
        <v>0</v>
      </c>
      <c r="D2334">
        <v>810.05</v>
      </c>
      <c r="E2334" t="s">
        <v>30</v>
      </c>
    </row>
    <row r="2335" spans="2:13" x14ac:dyDescent="0.2">
      <c r="B2335" t="s">
        <v>11</v>
      </c>
    </row>
    <row r="2336" spans="2:13" x14ac:dyDescent="0.2">
      <c r="B2336" t="s">
        <v>12</v>
      </c>
      <c r="C2336" t="s">
        <v>13</v>
      </c>
      <c r="D2336" t="s">
        <v>14</v>
      </c>
      <c r="E2336" t="s">
        <v>15</v>
      </c>
      <c r="F2336" t="s">
        <v>16</v>
      </c>
      <c r="G2336" t="s">
        <v>17</v>
      </c>
      <c r="H2336" t="s">
        <v>18</v>
      </c>
      <c r="I2336" t="s">
        <v>19</v>
      </c>
      <c r="J2336" t="s">
        <v>20</v>
      </c>
      <c r="K2336" t="s">
        <v>21</v>
      </c>
      <c r="L2336" t="s">
        <v>22</v>
      </c>
      <c r="M2336" t="s">
        <v>23</v>
      </c>
    </row>
    <row r="2337" spans="1:13" x14ac:dyDescent="0.2">
      <c r="B2337" t="s">
        <v>33</v>
      </c>
      <c r="C2337">
        <v>89</v>
      </c>
      <c r="E2337" t="s">
        <v>25</v>
      </c>
      <c r="F2337">
        <v>3650.64</v>
      </c>
      <c r="G2337">
        <v>7.2</v>
      </c>
      <c r="K2337">
        <v>0.1</v>
      </c>
      <c r="L2337">
        <v>7</v>
      </c>
      <c r="M2337">
        <v>92.5</v>
      </c>
    </row>
    <row r="2338" spans="1:13" x14ac:dyDescent="0.2">
      <c r="C2338" t="s">
        <v>27</v>
      </c>
    </row>
    <row r="2339" spans="1:13" x14ac:dyDescent="0.2">
      <c r="C2339" t="s">
        <v>28</v>
      </c>
      <c r="D2339" t="s">
        <v>16</v>
      </c>
      <c r="E2339" t="s">
        <v>29</v>
      </c>
      <c r="F2339" t="s">
        <v>18</v>
      </c>
    </row>
    <row r="2340" spans="1:13" x14ac:dyDescent="0.2">
      <c r="C2340" t="b">
        <v>0</v>
      </c>
      <c r="D2340">
        <v>3260.49</v>
      </c>
      <c r="E2340" t="s">
        <v>30</v>
      </c>
    </row>
    <row r="2341" spans="1:13" x14ac:dyDescent="0.2">
      <c r="C2341" t="b">
        <v>0</v>
      </c>
      <c r="D2341">
        <v>3690.64</v>
      </c>
      <c r="E2341" t="s">
        <v>30</v>
      </c>
    </row>
    <row r="2342" spans="1:13" x14ac:dyDescent="0.2">
      <c r="C2342" t="b">
        <v>0</v>
      </c>
      <c r="D2342">
        <v>3480.58</v>
      </c>
      <c r="E2342" t="s">
        <v>30</v>
      </c>
    </row>
    <row r="2343" spans="1:13" x14ac:dyDescent="0.2">
      <c r="C2343" t="b">
        <v>0</v>
      </c>
      <c r="D2343">
        <v>3710.66</v>
      </c>
      <c r="E2343" t="s">
        <v>30</v>
      </c>
    </row>
    <row r="2344" spans="1:13" x14ac:dyDescent="0.2">
      <c r="C2344" t="b">
        <v>0</v>
      </c>
      <c r="D2344">
        <v>3510.58</v>
      </c>
      <c r="E2344" t="s">
        <v>30</v>
      </c>
    </row>
    <row r="2345" spans="1:13" x14ac:dyDescent="0.2">
      <c r="C2345" t="b">
        <v>0</v>
      </c>
      <c r="D2345">
        <v>3820.72</v>
      </c>
      <c r="E2345" t="s">
        <v>30</v>
      </c>
    </row>
    <row r="2346" spans="1:13" x14ac:dyDescent="0.2">
      <c r="C2346" t="b">
        <v>0</v>
      </c>
      <c r="D2346">
        <v>4080.8</v>
      </c>
      <c r="E2346" t="s">
        <v>30</v>
      </c>
    </row>
    <row r="2347" spans="1:13" x14ac:dyDescent="0.2">
      <c r="A2347" t="s">
        <v>0</v>
      </c>
    </row>
    <row r="2348" spans="1:13" x14ac:dyDescent="0.2"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t="s">
        <v>6</v>
      </c>
    </row>
    <row r="2349" spans="1:13" x14ac:dyDescent="0.2">
      <c r="B2349" t="b">
        <v>0</v>
      </c>
      <c r="C2349" t="s">
        <v>177</v>
      </c>
      <c r="D2349" t="s">
        <v>178</v>
      </c>
      <c r="E2349" t="s">
        <v>0</v>
      </c>
      <c r="G2349" t="s">
        <v>179</v>
      </c>
    </row>
    <row r="2350" spans="1:13" x14ac:dyDescent="0.2">
      <c r="B2350" t="s">
        <v>11</v>
      </c>
    </row>
    <row r="2351" spans="1:13" x14ac:dyDescent="0.2">
      <c r="B2351" t="s">
        <v>12</v>
      </c>
      <c r="C2351" t="s">
        <v>13</v>
      </c>
      <c r="D2351" t="s">
        <v>14</v>
      </c>
      <c r="E2351" t="s">
        <v>15</v>
      </c>
      <c r="F2351" t="s">
        <v>16</v>
      </c>
      <c r="G2351" t="s">
        <v>17</v>
      </c>
      <c r="H2351" t="s">
        <v>18</v>
      </c>
      <c r="I2351" t="s">
        <v>19</v>
      </c>
      <c r="J2351" t="s">
        <v>20</v>
      </c>
      <c r="K2351" t="s">
        <v>21</v>
      </c>
      <c r="L2351" t="s">
        <v>22</v>
      </c>
      <c r="M2351" t="s">
        <v>23</v>
      </c>
    </row>
    <row r="2352" spans="1:13" x14ac:dyDescent="0.2">
      <c r="B2352" t="s">
        <v>24</v>
      </c>
      <c r="C2352">
        <v>59</v>
      </c>
      <c r="E2352" t="s">
        <v>25</v>
      </c>
      <c r="F2352">
        <v>10091077.710000001</v>
      </c>
      <c r="G2352">
        <v>0.8</v>
      </c>
      <c r="H2352">
        <v>4.4889999999999999</v>
      </c>
      <c r="I2352" t="s">
        <v>26</v>
      </c>
      <c r="J2352">
        <v>0.8</v>
      </c>
      <c r="K2352">
        <v>0.1</v>
      </c>
      <c r="L2352">
        <v>7</v>
      </c>
    </row>
    <row r="2353" spans="2:13" x14ac:dyDescent="0.2">
      <c r="C2353" t="s">
        <v>27</v>
      </c>
    </row>
    <row r="2354" spans="2:13" x14ac:dyDescent="0.2">
      <c r="C2354" t="s">
        <v>28</v>
      </c>
      <c r="D2354" t="s">
        <v>16</v>
      </c>
      <c r="E2354" t="s">
        <v>29</v>
      </c>
      <c r="F2354" t="s">
        <v>18</v>
      </c>
    </row>
    <row r="2355" spans="2:13" x14ac:dyDescent="0.2">
      <c r="C2355" t="b">
        <v>0</v>
      </c>
      <c r="D2355">
        <v>10186383.6</v>
      </c>
      <c r="E2355" t="s">
        <v>67</v>
      </c>
      <c r="F2355">
        <v>4.5309999999999997</v>
      </c>
    </row>
    <row r="2356" spans="2:13" x14ac:dyDescent="0.2">
      <c r="C2356" t="b">
        <v>0</v>
      </c>
      <c r="D2356">
        <v>10071116.720000001</v>
      </c>
      <c r="E2356" t="s">
        <v>67</v>
      </c>
      <c r="F2356">
        <v>4.4800000000000004</v>
      </c>
    </row>
    <row r="2357" spans="2:13" x14ac:dyDescent="0.2">
      <c r="C2357" t="b">
        <v>0</v>
      </c>
      <c r="D2357">
        <v>10055767.98</v>
      </c>
      <c r="E2357" t="s">
        <v>67</v>
      </c>
      <c r="F2357">
        <v>4.4729999999999999</v>
      </c>
    </row>
    <row r="2358" spans="2:13" x14ac:dyDescent="0.2">
      <c r="C2358" t="b">
        <v>0</v>
      </c>
      <c r="D2358">
        <v>10109144.85</v>
      </c>
      <c r="E2358" t="s">
        <v>67</v>
      </c>
      <c r="F2358">
        <v>4.4969999999999999</v>
      </c>
    </row>
    <row r="2359" spans="2:13" x14ac:dyDescent="0.2">
      <c r="C2359" t="b">
        <v>0</v>
      </c>
      <c r="D2359">
        <v>10077071.1</v>
      </c>
      <c r="E2359" t="s">
        <v>67</v>
      </c>
      <c r="F2359">
        <v>4.4820000000000002</v>
      </c>
    </row>
    <row r="2360" spans="2:13" x14ac:dyDescent="0.2">
      <c r="C2360" t="b">
        <v>0</v>
      </c>
      <c r="D2360">
        <v>10184722.970000001</v>
      </c>
      <c r="E2360" t="s">
        <v>67</v>
      </c>
      <c r="F2360">
        <v>4.53</v>
      </c>
    </row>
    <row r="2361" spans="2:13" x14ac:dyDescent="0.2">
      <c r="C2361" t="b">
        <v>0</v>
      </c>
      <c r="D2361">
        <v>9953336.7300000004</v>
      </c>
      <c r="E2361" t="s">
        <v>67</v>
      </c>
      <c r="F2361">
        <v>4.4269999999999996</v>
      </c>
    </row>
    <row r="2362" spans="2:13" x14ac:dyDescent="0.2">
      <c r="B2362" t="s">
        <v>11</v>
      </c>
    </row>
    <row r="2363" spans="2:13" x14ac:dyDescent="0.2">
      <c r="B2363" t="s">
        <v>12</v>
      </c>
      <c r="C2363" t="s">
        <v>13</v>
      </c>
      <c r="D2363" t="s">
        <v>14</v>
      </c>
      <c r="E2363" t="s">
        <v>15</v>
      </c>
      <c r="F2363" t="s">
        <v>16</v>
      </c>
      <c r="G2363" t="s">
        <v>17</v>
      </c>
      <c r="H2363" t="s">
        <v>18</v>
      </c>
      <c r="I2363" t="s">
        <v>19</v>
      </c>
      <c r="J2363" t="s">
        <v>20</v>
      </c>
      <c r="K2363" t="s">
        <v>21</v>
      </c>
      <c r="L2363" t="s">
        <v>22</v>
      </c>
      <c r="M2363" t="s">
        <v>23</v>
      </c>
    </row>
    <row r="2364" spans="2:13" x14ac:dyDescent="0.2">
      <c r="B2364" t="s">
        <v>31</v>
      </c>
      <c r="C2364">
        <v>45</v>
      </c>
      <c r="E2364" t="s">
        <v>25</v>
      </c>
      <c r="F2364">
        <v>920.07</v>
      </c>
      <c r="G2364">
        <v>11.3</v>
      </c>
      <c r="K2364">
        <v>0.1</v>
      </c>
      <c r="L2364">
        <v>7</v>
      </c>
      <c r="M2364">
        <v>89.1</v>
      </c>
    </row>
    <row r="2365" spans="2:13" x14ac:dyDescent="0.2">
      <c r="C2365" t="s">
        <v>27</v>
      </c>
    </row>
    <row r="2366" spans="2:13" x14ac:dyDescent="0.2">
      <c r="C2366" t="s">
        <v>28</v>
      </c>
      <c r="D2366" t="s">
        <v>16</v>
      </c>
      <c r="E2366" t="s">
        <v>29</v>
      </c>
      <c r="F2366" t="s">
        <v>18</v>
      </c>
    </row>
    <row r="2367" spans="2:13" x14ac:dyDescent="0.2">
      <c r="C2367" t="b">
        <v>0</v>
      </c>
      <c r="D2367">
        <v>890.06</v>
      </c>
      <c r="E2367" t="s">
        <v>30</v>
      </c>
    </row>
    <row r="2368" spans="2:13" x14ac:dyDescent="0.2">
      <c r="C2368" t="b">
        <v>0</v>
      </c>
      <c r="D2368">
        <v>1070.08</v>
      </c>
      <c r="E2368" t="s">
        <v>30</v>
      </c>
    </row>
    <row r="2369" spans="2:13" x14ac:dyDescent="0.2">
      <c r="C2369" t="b">
        <v>0</v>
      </c>
      <c r="D2369">
        <v>760.05</v>
      </c>
      <c r="E2369" t="s">
        <v>30</v>
      </c>
    </row>
    <row r="2370" spans="2:13" x14ac:dyDescent="0.2">
      <c r="C2370" t="b">
        <v>0</v>
      </c>
      <c r="D2370">
        <v>880.06</v>
      </c>
      <c r="E2370" t="s">
        <v>30</v>
      </c>
    </row>
    <row r="2371" spans="2:13" x14ac:dyDescent="0.2">
      <c r="C2371" t="b">
        <v>0</v>
      </c>
      <c r="D2371">
        <v>930.07</v>
      </c>
      <c r="E2371" t="s">
        <v>30</v>
      </c>
    </row>
    <row r="2372" spans="2:13" x14ac:dyDescent="0.2">
      <c r="C2372" t="b">
        <v>0</v>
      </c>
      <c r="D2372">
        <v>880.06</v>
      </c>
      <c r="E2372" t="s">
        <v>30</v>
      </c>
    </row>
    <row r="2373" spans="2:13" x14ac:dyDescent="0.2">
      <c r="C2373" t="b">
        <v>0</v>
      </c>
      <c r="D2373">
        <v>1030.0899999999999</v>
      </c>
      <c r="E2373" t="s">
        <v>30</v>
      </c>
    </row>
    <row r="2374" spans="2:13" x14ac:dyDescent="0.2">
      <c r="B2374" t="s">
        <v>11</v>
      </c>
    </row>
    <row r="2375" spans="2:13" x14ac:dyDescent="0.2">
      <c r="B2375" t="s">
        <v>12</v>
      </c>
      <c r="C2375" t="s">
        <v>13</v>
      </c>
      <c r="D2375" t="s">
        <v>14</v>
      </c>
      <c r="E2375" t="s">
        <v>15</v>
      </c>
      <c r="F2375" t="s">
        <v>16</v>
      </c>
      <c r="G2375" t="s">
        <v>17</v>
      </c>
      <c r="H2375" t="s">
        <v>18</v>
      </c>
      <c r="I2375" t="s">
        <v>19</v>
      </c>
      <c r="J2375" t="s">
        <v>20</v>
      </c>
      <c r="K2375" t="s">
        <v>21</v>
      </c>
      <c r="L2375" t="s">
        <v>22</v>
      </c>
      <c r="M2375" t="s">
        <v>23</v>
      </c>
    </row>
    <row r="2376" spans="2:13" x14ac:dyDescent="0.2">
      <c r="B2376" t="s">
        <v>32</v>
      </c>
      <c r="C2376">
        <v>72</v>
      </c>
      <c r="E2376" t="s">
        <v>25</v>
      </c>
      <c r="F2376">
        <v>724.33</v>
      </c>
      <c r="G2376">
        <v>11</v>
      </c>
      <c r="K2376">
        <v>0.1</v>
      </c>
      <c r="L2376">
        <v>7</v>
      </c>
      <c r="M2376">
        <v>97.1</v>
      </c>
    </row>
    <row r="2377" spans="2:13" x14ac:dyDescent="0.2">
      <c r="C2377" t="s">
        <v>27</v>
      </c>
    </row>
    <row r="2378" spans="2:13" x14ac:dyDescent="0.2">
      <c r="C2378" t="s">
        <v>28</v>
      </c>
      <c r="D2378" t="s">
        <v>16</v>
      </c>
      <c r="E2378" t="s">
        <v>29</v>
      </c>
      <c r="F2378" t="s">
        <v>18</v>
      </c>
    </row>
    <row r="2379" spans="2:13" x14ac:dyDescent="0.2">
      <c r="C2379" t="b">
        <v>0</v>
      </c>
      <c r="D2379">
        <v>700.04</v>
      </c>
      <c r="E2379" t="s">
        <v>30</v>
      </c>
    </row>
    <row r="2380" spans="2:13" x14ac:dyDescent="0.2">
      <c r="C2380" t="b">
        <v>0</v>
      </c>
      <c r="D2380">
        <v>660.04</v>
      </c>
      <c r="E2380" t="s">
        <v>30</v>
      </c>
    </row>
    <row r="2381" spans="2:13" x14ac:dyDescent="0.2">
      <c r="C2381" t="b">
        <v>0</v>
      </c>
      <c r="D2381">
        <v>820.06</v>
      </c>
      <c r="E2381" t="s">
        <v>30</v>
      </c>
    </row>
    <row r="2382" spans="2:13" x14ac:dyDescent="0.2">
      <c r="C2382" t="b">
        <v>0</v>
      </c>
      <c r="D2382">
        <v>780.06</v>
      </c>
      <c r="E2382" t="s">
        <v>30</v>
      </c>
    </row>
    <row r="2383" spans="2:13" x14ac:dyDescent="0.2">
      <c r="C2383" t="b">
        <v>0</v>
      </c>
      <c r="D2383">
        <v>750.06</v>
      </c>
      <c r="E2383" t="s">
        <v>30</v>
      </c>
    </row>
    <row r="2384" spans="2:13" x14ac:dyDescent="0.2">
      <c r="C2384" t="b">
        <v>0</v>
      </c>
      <c r="D2384">
        <v>770.05</v>
      </c>
      <c r="E2384" t="s">
        <v>30</v>
      </c>
    </row>
    <row r="2385" spans="1:13" x14ac:dyDescent="0.2">
      <c r="C2385" t="b">
        <v>0</v>
      </c>
      <c r="D2385">
        <v>590.03</v>
      </c>
      <c r="E2385" t="s">
        <v>30</v>
      </c>
    </row>
    <row r="2386" spans="1:13" x14ac:dyDescent="0.2">
      <c r="B2386" t="s">
        <v>11</v>
      </c>
    </row>
    <row r="2387" spans="1:13" x14ac:dyDescent="0.2">
      <c r="B2387" t="s">
        <v>12</v>
      </c>
      <c r="C2387" t="s">
        <v>13</v>
      </c>
      <c r="D2387" t="s">
        <v>14</v>
      </c>
      <c r="E2387" t="s">
        <v>15</v>
      </c>
      <c r="F2387" t="s">
        <v>16</v>
      </c>
      <c r="G2387" t="s">
        <v>17</v>
      </c>
      <c r="H2387" t="s">
        <v>18</v>
      </c>
      <c r="I2387" t="s">
        <v>19</v>
      </c>
      <c r="J2387" t="s">
        <v>20</v>
      </c>
      <c r="K2387" t="s">
        <v>21</v>
      </c>
      <c r="L2387" t="s">
        <v>22</v>
      </c>
      <c r="M2387" t="s">
        <v>23</v>
      </c>
    </row>
    <row r="2388" spans="1:13" x14ac:dyDescent="0.2">
      <c r="B2388" t="s">
        <v>33</v>
      </c>
      <c r="C2388">
        <v>89</v>
      </c>
      <c r="E2388" t="s">
        <v>25</v>
      </c>
      <c r="F2388">
        <v>3499.14</v>
      </c>
      <c r="G2388">
        <v>7.4</v>
      </c>
      <c r="K2388">
        <v>0.1</v>
      </c>
      <c r="L2388">
        <v>7</v>
      </c>
      <c r="M2388">
        <v>88.7</v>
      </c>
    </row>
    <row r="2389" spans="1:13" x14ac:dyDescent="0.2">
      <c r="C2389" t="s">
        <v>27</v>
      </c>
    </row>
    <row r="2390" spans="1:13" x14ac:dyDescent="0.2">
      <c r="C2390" t="s">
        <v>28</v>
      </c>
      <c r="D2390" t="s">
        <v>16</v>
      </c>
      <c r="E2390" t="s">
        <v>29</v>
      </c>
      <c r="F2390" t="s">
        <v>18</v>
      </c>
    </row>
    <row r="2391" spans="1:13" x14ac:dyDescent="0.2">
      <c r="C2391" t="b">
        <v>0</v>
      </c>
      <c r="D2391">
        <v>3100.43</v>
      </c>
      <c r="E2391" t="s">
        <v>30</v>
      </c>
    </row>
    <row r="2392" spans="1:13" x14ac:dyDescent="0.2">
      <c r="C2392" t="b">
        <v>0</v>
      </c>
      <c r="D2392">
        <v>3660.62</v>
      </c>
      <c r="E2392" t="s">
        <v>30</v>
      </c>
    </row>
    <row r="2393" spans="1:13" x14ac:dyDescent="0.2">
      <c r="C2393" t="b">
        <v>0</v>
      </c>
      <c r="D2393">
        <v>3470.55</v>
      </c>
      <c r="E2393" t="s">
        <v>30</v>
      </c>
    </row>
    <row r="2394" spans="1:13" x14ac:dyDescent="0.2">
      <c r="C2394" t="b">
        <v>0</v>
      </c>
      <c r="D2394">
        <v>3630.62</v>
      </c>
      <c r="E2394" t="s">
        <v>30</v>
      </c>
    </row>
    <row r="2395" spans="1:13" x14ac:dyDescent="0.2">
      <c r="C2395" t="b">
        <v>0</v>
      </c>
      <c r="D2395">
        <v>3400.54</v>
      </c>
      <c r="E2395" t="s">
        <v>30</v>
      </c>
    </row>
    <row r="2396" spans="1:13" x14ac:dyDescent="0.2">
      <c r="C2396" t="b">
        <v>0</v>
      </c>
      <c r="D2396">
        <v>3900.68</v>
      </c>
      <c r="E2396" t="s">
        <v>30</v>
      </c>
    </row>
    <row r="2397" spans="1:13" x14ac:dyDescent="0.2">
      <c r="C2397" t="b">
        <v>0</v>
      </c>
      <c r="D2397">
        <v>3330.52</v>
      </c>
      <c r="E2397" t="s">
        <v>30</v>
      </c>
    </row>
    <row r="2398" spans="1:13" x14ac:dyDescent="0.2">
      <c r="A2398" t="s">
        <v>0</v>
      </c>
    </row>
    <row r="2399" spans="1:13" x14ac:dyDescent="0.2"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t="s">
        <v>6</v>
      </c>
    </row>
    <row r="2400" spans="1:13" x14ac:dyDescent="0.2">
      <c r="B2400" t="b">
        <v>0</v>
      </c>
      <c r="C2400" t="s">
        <v>180</v>
      </c>
      <c r="D2400" t="s">
        <v>181</v>
      </c>
      <c r="E2400" t="s">
        <v>0</v>
      </c>
      <c r="G2400" t="s">
        <v>182</v>
      </c>
    </row>
    <row r="2401" spans="2:13" x14ac:dyDescent="0.2">
      <c r="B2401" t="s">
        <v>11</v>
      </c>
    </row>
    <row r="2402" spans="2:13" x14ac:dyDescent="0.2">
      <c r="B2402" t="s">
        <v>12</v>
      </c>
      <c r="C2402" t="s">
        <v>13</v>
      </c>
      <c r="D2402" t="s">
        <v>14</v>
      </c>
      <c r="E2402" t="s">
        <v>15</v>
      </c>
      <c r="F2402" t="s">
        <v>16</v>
      </c>
      <c r="G2402" t="s">
        <v>17</v>
      </c>
      <c r="H2402" t="s">
        <v>18</v>
      </c>
      <c r="I2402" t="s">
        <v>19</v>
      </c>
      <c r="J2402" t="s">
        <v>20</v>
      </c>
      <c r="K2402" t="s">
        <v>21</v>
      </c>
      <c r="L2402" t="s">
        <v>22</v>
      </c>
      <c r="M2402" t="s">
        <v>23</v>
      </c>
    </row>
    <row r="2403" spans="2:13" x14ac:dyDescent="0.2">
      <c r="B2403" t="s">
        <v>24</v>
      </c>
      <c r="C2403">
        <v>59</v>
      </c>
      <c r="E2403" t="s">
        <v>25</v>
      </c>
      <c r="F2403">
        <v>8931799.5099999998</v>
      </c>
      <c r="G2403">
        <v>1.1000000000000001</v>
      </c>
      <c r="H2403">
        <v>3.9729999999999999</v>
      </c>
      <c r="I2403" t="s">
        <v>26</v>
      </c>
      <c r="J2403">
        <v>1.1000000000000001</v>
      </c>
      <c r="K2403">
        <v>0.1</v>
      </c>
      <c r="L2403">
        <v>7</v>
      </c>
    </row>
    <row r="2404" spans="2:13" x14ac:dyDescent="0.2">
      <c r="C2404" t="s">
        <v>27</v>
      </c>
    </row>
    <row r="2405" spans="2:13" x14ac:dyDescent="0.2">
      <c r="C2405" t="s">
        <v>28</v>
      </c>
      <c r="D2405" t="s">
        <v>16</v>
      </c>
      <c r="E2405" t="s">
        <v>29</v>
      </c>
      <c r="F2405" t="s">
        <v>18</v>
      </c>
    </row>
    <row r="2406" spans="2:13" x14ac:dyDescent="0.2">
      <c r="C2406" t="b">
        <v>0</v>
      </c>
      <c r="D2406">
        <v>8998215.4900000002</v>
      </c>
      <c r="E2406" t="s">
        <v>67</v>
      </c>
      <c r="F2406">
        <v>4.0019999999999998</v>
      </c>
    </row>
    <row r="2407" spans="2:13" x14ac:dyDescent="0.2">
      <c r="C2407" t="b">
        <v>0</v>
      </c>
      <c r="D2407">
        <v>9034358.6199999992</v>
      </c>
      <c r="E2407" t="s">
        <v>67</v>
      </c>
      <c r="F2407">
        <v>4.0190000000000001</v>
      </c>
    </row>
    <row r="2408" spans="2:13" x14ac:dyDescent="0.2">
      <c r="C2408" t="b">
        <v>0</v>
      </c>
      <c r="D2408">
        <v>9027492.3699999992</v>
      </c>
      <c r="E2408" t="s">
        <v>67</v>
      </c>
      <c r="F2408">
        <v>4.0149999999999997</v>
      </c>
    </row>
    <row r="2409" spans="2:13" x14ac:dyDescent="0.2">
      <c r="C2409" t="b">
        <v>0</v>
      </c>
      <c r="D2409">
        <v>8959723.6199999992</v>
      </c>
      <c r="E2409" t="s">
        <v>67</v>
      </c>
      <c r="F2409">
        <v>3.9849999999999999</v>
      </c>
    </row>
    <row r="2410" spans="2:13" x14ac:dyDescent="0.2">
      <c r="C2410" t="b">
        <v>0</v>
      </c>
      <c r="D2410">
        <v>8909173.6199999992</v>
      </c>
      <c r="E2410" t="s">
        <v>67</v>
      </c>
      <c r="F2410">
        <v>3.9630000000000001</v>
      </c>
    </row>
    <row r="2411" spans="2:13" x14ac:dyDescent="0.2">
      <c r="C2411" t="b">
        <v>0</v>
      </c>
      <c r="D2411">
        <v>8805246.1199999992</v>
      </c>
      <c r="E2411" t="s">
        <v>67</v>
      </c>
      <c r="F2411">
        <v>3.9169999999999998</v>
      </c>
    </row>
    <row r="2412" spans="2:13" x14ac:dyDescent="0.2">
      <c r="C2412" t="b">
        <v>0</v>
      </c>
      <c r="D2412">
        <v>8788386.7400000002</v>
      </c>
      <c r="E2412" t="s">
        <v>67</v>
      </c>
      <c r="F2412">
        <v>3.9089999999999998</v>
      </c>
    </row>
    <row r="2413" spans="2:13" x14ac:dyDescent="0.2">
      <c r="B2413" t="s">
        <v>11</v>
      </c>
    </row>
    <row r="2414" spans="2:13" x14ac:dyDescent="0.2">
      <c r="B2414" t="s">
        <v>12</v>
      </c>
      <c r="C2414" t="s">
        <v>13</v>
      </c>
      <c r="D2414" t="s">
        <v>14</v>
      </c>
      <c r="E2414" t="s">
        <v>15</v>
      </c>
      <c r="F2414" t="s">
        <v>16</v>
      </c>
      <c r="G2414" t="s">
        <v>17</v>
      </c>
      <c r="H2414" t="s">
        <v>18</v>
      </c>
      <c r="I2414" t="s">
        <v>19</v>
      </c>
      <c r="J2414" t="s">
        <v>20</v>
      </c>
      <c r="K2414" t="s">
        <v>21</v>
      </c>
      <c r="L2414" t="s">
        <v>22</v>
      </c>
      <c r="M2414" t="s">
        <v>23</v>
      </c>
    </row>
    <row r="2415" spans="2:13" x14ac:dyDescent="0.2">
      <c r="B2415" t="s">
        <v>31</v>
      </c>
      <c r="C2415">
        <v>45</v>
      </c>
      <c r="E2415" t="s">
        <v>25</v>
      </c>
      <c r="F2415">
        <v>878.63</v>
      </c>
      <c r="G2415">
        <v>11</v>
      </c>
      <c r="K2415">
        <v>0.1</v>
      </c>
      <c r="L2415">
        <v>7</v>
      </c>
      <c r="M2415">
        <v>85.1</v>
      </c>
    </row>
    <row r="2416" spans="2:13" x14ac:dyDescent="0.2">
      <c r="C2416" t="s">
        <v>27</v>
      </c>
    </row>
    <row r="2417" spans="2:13" x14ac:dyDescent="0.2">
      <c r="C2417" t="s">
        <v>28</v>
      </c>
      <c r="D2417" t="s">
        <v>16</v>
      </c>
      <c r="E2417" t="s">
        <v>29</v>
      </c>
      <c r="F2417" t="s">
        <v>18</v>
      </c>
    </row>
    <row r="2418" spans="2:13" x14ac:dyDescent="0.2">
      <c r="C2418" t="b">
        <v>0</v>
      </c>
      <c r="D2418">
        <v>860.06</v>
      </c>
      <c r="E2418" t="s">
        <v>30</v>
      </c>
    </row>
    <row r="2419" spans="2:13" x14ac:dyDescent="0.2">
      <c r="C2419" t="b">
        <v>0</v>
      </c>
      <c r="D2419">
        <v>790.04</v>
      </c>
      <c r="E2419" t="s">
        <v>30</v>
      </c>
    </row>
    <row r="2420" spans="2:13" x14ac:dyDescent="0.2">
      <c r="C2420" t="b">
        <v>0</v>
      </c>
      <c r="D2420">
        <v>730.04</v>
      </c>
      <c r="E2420" t="s">
        <v>30</v>
      </c>
    </row>
    <row r="2421" spans="2:13" x14ac:dyDescent="0.2">
      <c r="C2421" t="b">
        <v>0</v>
      </c>
      <c r="D2421">
        <v>940.06</v>
      </c>
      <c r="E2421" t="s">
        <v>30</v>
      </c>
    </row>
    <row r="2422" spans="2:13" x14ac:dyDescent="0.2">
      <c r="C2422" t="b">
        <v>0</v>
      </c>
      <c r="D2422">
        <v>950.07</v>
      </c>
      <c r="E2422" t="s">
        <v>30</v>
      </c>
    </row>
    <row r="2423" spans="2:13" x14ac:dyDescent="0.2">
      <c r="C2423" t="b">
        <v>0</v>
      </c>
      <c r="D2423">
        <v>870.06</v>
      </c>
      <c r="E2423" t="s">
        <v>30</v>
      </c>
    </row>
    <row r="2424" spans="2:13" x14ac:dyDescent="0.2">
      <c r="C2424" t="b">
        <v>0</v>
      </c>
      <c r="D2424">
        <v>1010.08</v>
      </c>
      <c r="E2424" t="s">
        <v>30</v>
      </c>
    </row>
    <row r="2425" spans="2:13" x14ac:dyDescent="0.2">
      <c r="B2425" t="s">
        <v>11</v>
      </c>
    </row>
    <row r="2426" spans="2:13" x14ac:dyDescent="0.2">
      <c r="B2426" t="s">
        <v>12</v>
      </c>
      <c r="C2426" t="s">
        <v>13</v>
      </c>
      <c r="D2426" t="s">
        <v>14</v>
      </c>
      <c r="E2426" t="s">
        <v>15</v>
      </c>
      <c r="F2426" t="s">
        <v>16</v>
      </c>
      <c r="G2426" t="s">
        <v>17</v>
      </c>
      <c r="H2426" t="s">
        <v>18</v>
      </c>
      <c r="I2426" t="s">
        <v>19</v>
      </c>
      <c r="J2426" t="s">
        <v>20</v>
      </c>
      <c r="K2426" t="s">
        <v>21</v>
      </c>
      <c r="L2426" t="s">
        <v>22</v>
      </c>
      <c r="M2426" t="s">
        <v>23</v>
      </c>
    </row>
    <row r="2427" spans="2:13" x14ac:dyDescent="0.2">
      <c r="B2427" t="s">
        <v>32</v>
      </c>
      <c r="C2427">
        <v>72</v>
      </c>
      <c r="E2427" t="s">
        <v>25</v>
      </c>
      <c r="F2427">
        <v>681.47</v>
      </c>
      <c r="G2427">
        <v>11.3</v>
      </c>
      <c r="K2427">
        <v>0.1</v>
      </c>
      <c r="L2427">
        <v>7</v>
      </c>
      <c r="M2427">
        <v>91.4</v>
      </c>
    </row>
    <row r="2428" spans="2:13" x14ac:dyDescent="0.2">
      <c r="C2428" t="s">
        <v>27</v>
      </c>
    </row>
    <row r="2429" spans="2:13" x14ac:dyDescent="0.2">
      <c r="C2429" t="s">
        <v>28</v>
      </c>
      <c r="D2429" t="s">
        <v>16</v>
      </c>
      <c r="E2429" t="s">
        <v>29</v>
      </c>
      <c r="F2429" t="s">
        <v>18</v>
      </c>
    </row>
    <row r="2430" spans="2:13" x14ac:dyDescent="0.2">
      <c r="C2430" t="b">
        <v>0</v>
      </c>
      <c r="D2430">
        <v>760.05</v>
      </c>
      <c r="E2430" t="s">
        <v>30</v>
      </c>
    </row>
    <row r="2431" spans="2:13" x14ac:dyDescent="0.2">
      <c r="C2431" t="b">
        <v>0</v>
      </c>
      <c r="D2431">
        <v>770.05</v>
      </c>
      <c r="E2431" t="s">
        <v>30</v>
      </c>
    </row>
    <row r="2432" spans="2:13" x14ac:dyDescent="0.2">
      <c r="C2432" t="b">
        <v>0</v>
      </c>
      <c r="D2432">
        <v>620.03</v>
      </c>
      <c r="E2432" t="s">
        <v>30</v>
      </c>
    </row>
    <row r="2433" spans="2:13" x14ac:dyDescent="0.2">
      <c r="C2433" t="b">
        <v>0</v>
      </c>
      <c r="D2433">
        <v>640.04</v>
      </c>
      <c r="E2433" t="s">
        <v>30</v>
      </c>
    </row>
    <row r="2434" spans="2:13" x14ac:dyDescent="0.2">
      <c r="C2434" t="b">
        <v>0</v>
      </c>
      <c r="D2434">
        <v>650.04</v>
      </c>
      <c r="E2434" t="s">
        <v>30</v>
      </c>
    </row>
    <row r="2435" spans="2:13" x14ac:dyDescent="0.2">
      <c r="C2435" t="b">
        <v>0</v>
      </c>
      <c r="D2435">
        <v>580.03</v>
      </c>
      <c r="E2435" t="s">
        <v>30</v>
      </c>
    </row>
    <row r="2436" spans="2:13" x14ac:dyDescent="0.2">
      <c r="C2436" t="b">
        <v>0</v>
      </c>
      <c r="D2436">
        <v>750.05</v>
      </c>
      <c r="E2436" t="s">
        <v>30</v>
      </c>
    </row>
    <row r="2437" spans="2:13" x14ac:dyDescent="0.2">
      <c r="B2437" t="s">
        <v>11</v>
      </c>
    </row>
    <row r="2438" spans="2:13" x14ac:dyDescent="0.2">
      <c r="B2438" t="s">
        <v>12</v>
      </c>
      <c r="C2438" t="s">
        <v>13</v>
      </c>
      <c r="D2438" t="s">
        <v>14</v>
      </c>
      <c r="E2438" t="s">
        <v>15</v>
      </c>
      <c r="F2438" t="s">
        <v>16</v>
      </c>
      <c r="G2438" t="s">
        <v>17</v>
      </c>
      <c r="H2438" t="s">
        <v>18</v>
      </c>
      <c r="I2438" t="s">
        <v>19</v>
      </c>
      <c r="J2438" t="s">
        <v>20</v>
      </c>
      <c r="K2438" t="s">
        <v>21</v>
      </c>
      <c r="L2438" t="s">
        <v>22</v>
      </c>
      <c r="M2438" t="s">
        <v>23</v>
      </c>
    </row>
    <row r="2439" spans="2:13" x14ac:dyDescent="0.2">
      <c r="B2439" t="s">
        <v>33</v>
      </c>
      <c r="C2439">
        <v>89</v>
      </c>
      <c r="E2439" t="s">
        <v>25</v>
      </c>
      <c r="F2439">
        <v>3407.68</v>
      </c>
      <c r="G2439">
        <v>3.6</v>
      </c>
      <c r="K2439">
        <v>0.1</v>
      </c>
      <c r="L2439">
        <v>7</v>
      </c>
      <c r="M2439">
        <v>86.4</v>
      </c>
    </row>
    <row r="2440" spans="2:13" x14ac:dyDescent="0.2">
      <c r="C2440" t="s">
        <v>27</v>
      </c>
    </row>
    <row r="2441" spans="2:13" x14ac:dyDescent="0.2">
      <c r="C2441" t="s">
        <v>28</v>
      </c>
      <c r="D2441" t="s">
        <v>16</v>
      </c>
      <c r="E2441" t="s">
        <v>29</v>
      </c>
      <c r="F2441" t="s">
        <v>18</v>
      </c>
    </row>
    <row r="2442" spans="2:13" x14ac:dyDescent="0.2">
      <c r="C2442" t="b">
        <v>0</v>
      </c>
      <c r="D2442">
        <v>3250.49</v>
      </c>
      <c r="E2442" t="s">
        <v>30</v>
      </c>
    </row>
    <row r="2443" spans="2:13" x14ac:dyDescent="0.2">
      <c r="C2443" t="b">
        <v>0</v>
      </c>
      <c r="D2443">
        <v>3320.53</v>
      </c>
      <c r="E2443" t="s">
        <v>30</v>
      </c>
    </row>
    <row r="2444" spans="2:13" x14ac:dyDescent="0.2">
      <c r="C2444" t="b">
        <v>0</v>
      </c>
      <c r="D2444">
        <v>3450.54</v>
      </c>
      <c r="E2444" t="s">
        <v>30</v>
      </c>
    </row>
    <row r="2445" spans="2:13" x14ac:dyDescent="0.2">
      <c r="C2445" t="b">
        <v>0</v>
      </c>
      <c r="D2445">
        <v>3460.56</v>
      </c>
      <c r="E2445" t="s">
        <v>30</v>
      </c>
    </row>
    <row r="2446" spans="2:13" x14ac:dyDescent="0.2">
      <c r="C2446" t="b">
        <v>0</v>
      </c>
      <c r="D2446">
        <v>3540.57</v>
      </c>
      <c r="E2446" t="s">
        <v>30</v>
      </c>
    </row>
    <row r="2447" spans="2:13" x14ac:dyDescent="0.2">
      <c r="C2447" t="b">
        <v>0</v>
      </c>
      <c r="D2447">
        <v>3280.52</v>
      </c>
      <c r="E2447" t="s">
        <v>30</v>
      </c>
    </row>
    <row r="2448" spans="2:13" x14ac:dyDescent="0.2">
      <c r="C2448" t="b">
        <v>0</v>
      </c>
      <c r="D2448">
        <v>3550.56</v>
      </c>
      <c r="E2448" t="s">
        <v>30</v>
      </c>
    </row>
    <row r="2449" spans="1:13" x14ac:dyDescent="0.2">
      <c r="A2449" t="s">
        <v>0</v>
      </c>
    </row>
    <row r="2450" spans="1:13" x14ac:dyDescent="0.2"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6</v>
      </c>
    </row>
    <row r="2451" spans="1:13" x14ac:dyDescent="0.2">
      <c r="B2451" t="b">
        <v>0</v>
      </c>
      <c r="C2451" t="s">
        <v>183</v>
      </c>
      <c r="D2451" t="s">
        <v>184</v>
      </c>
      <c r="E2451" t="s">
        <v>0</v>
      </c>
      <c r="G2451" t="s">
        <v>185</v>
      </c>
    </row>
    <row r="2452" spans="1:13" x14ac:dyDescent="0.2">
      <c r="B2452" t="s">
        <v>11</v>
      </c>
    </row>
    <row r="2453" spans="1:13" x14ac:dyDescent="0.2">
      <c r="B2453" t="s">
        <v>12</v>
      </c>
      <c r="C2453" t="s">
        <v>13</v>
      </c>
      <c r="D2453" t="s">
        <v>14</v>
      </c>
      <c r="E2453" t="s">
        <v>15</v>
      </c>
      <c r="F2453" t="s">
        <v>16</v>
      </c>
      <c r="G2453" t="s">
        <v>17</v>
      </c>
      <c r="H2453" t="s">
        <v>18</v>
      </c>
      <c r="I2453" t="s">
        <v>19</v>
      </c>
      <c r="J2453" t="s">
        <v>20</v>
      </c>
      <c r="K2453" t="s">
        <v>21</v>
      </c>
      <c r="L2453" t="s">
        <v>22</v>
      </c>
      <c r="M2453" t="s">
        <v>23</v>
      </c>
    </row>
    <row r="2454" spans="1:13" x14ac:dyDescent="0.2">
      <c r="B2454" t="s">
        <v>24</v>
      </c>
      <c r="C2454">
        <v>59</v>
      </c>
      <c r="E2454" t="s">
        <v>25</v>
      </c>
      <c r="F2454">
        <v>10577160.199999999</v>
      </c>
      <c r="G2454">
        <v>1</v>
      </c>
      <c r="H2454">
        <v>4.7050000000000001</v>
      </c>
      <c r="I2454" t="s">
        <v>26</v>
      </c>
      <c r="J2454">
        <v>1</v>
      </c>
      <c r="K2454">
        <v>0.1</v>
      </c>
      <c r="L2454">
        <v>7</v>
      </c>
    </row>
    <row r="2455" spans="1:13" x14ac:dyDescent="0.2">
      <c r="C2455" t="s">
        <v>27</v>
      </c>
    </row>
    <row r="2456" spans="1:13" x14ac:dyDescent="0.2">
      <c r="C2456" t="s">
        <v>28</v>
      </c>
      <c r="D2456" t="s">
        <v>16</v>
      </c>
      <c r="E2456" t="s">
        <v>29</v>
      </c>
      <c r="F2456" t="s">
        <v>18</v>
      </c>
    </row>
    <row r="2457" spans="1:13" x14ac:dyDescent="0.2">
      <c r="C2457" t="b">
        <v>0</v>
      </c>
      <c r="D2457">
        <v>10524344.84</v>
      </c>
      <c r="E2457" t="s">
        <v>67</v>
      </c>
      <c r="F2457">
        <v>4.681</v>
      </c>
    </row>
    <row r="2458" spans="1:13" x14ac:dyDescent="0.2">
      <c r="C2458" t="b">
        <v>0</v>
      </c>
      <c r="D2458">
        <v>10457877.34</v>
      </c>
      <c r="E2458" t="s">
        <v>67</v>
      </c>
      <c r="F2458">
        <v>4.6520000000000001</v>
      </c>
    </row>
    <row r="2459" spans="1:13" x14ac:dyDescent="0.2">
      <c r="C2459" t="b">
        <v>0</v>
      </c>
      <c r="D2459">
        <v>10560458.59</v>
      </c>
      <c r="E2459" t="s">
        <v>67</v>
      </c>
      <c r="F2459">
        <v>4.6970000000000001</v>
      </c>
    </row>
    <row r="2460" spans="1:13" x14ac:dyDescent="0.2">
      <c r="C2460" t="b">
        <v>0</v>
      </c>
      <c r="D2460">
        <v>10638998.59</v>
      </c>
      <c r="E2460" t="s">
        <v>67</v>
      </c>
      <c r="F2460">
        <v>4.7320000000000002</v>
      </c>
    </row>
    <row r="2461" spans="1:13" x14ac:dyDescent="0.2">
      <c r="C2461" t="b">
        <v>0</v>
      </c>
      <c r="D2461">
        <v>10573563.59</v>
      </c>
      <c r="E2461" t="s">
        <v>67</v>
      </c>
      <c r="F2461">
        <v>4.7030000000000003</v>
      </c>
    </row>
    <row r="2462" spans="1:13" x14ac:dyDescent="0.2">
      <c r="C2462" t="b">
        <v>0</v>
      </c>
      <c r="D2462">
        <v>10773728.59</v>
      </c>
      <c r="E2462" t="s">
        <v>67</v>
      </c>
      <c r="F2462">
        <v>4.7919999999999998</v>
      </c>
    </row>
    <row r="2463" spans="1:13" x14ac:dyDescent="0.2">
      <c r="C2463" t="b">
        <v>0</v>
      </c>
      <c r="D2463">
        <v>10511149.84</v>
      </c>
      <c r="E2463" t="s">
        <v>67</v>
      </c>
      <c r="F2463">
        <v>4.6749999999999998</v>
      </c>
    </row>
    <row r="2464" spans="1:13" x14ac:dyDescent="0.2">
      <c r="B2464" t="s">
        <v>11</v>
      </c>
    </row>
    <row r="2465" spans="2:13" x14ac:dyDescent="0.2">
      <c r="B2465" t="s">
        <v>12</v>
      </c>
      <c r="C2465" t="s">
        <v>13</v>
      </c>
      <c r="D2465" t="s">
        <v>14</v>
      </c>
      <c r="E2465" t="s">
        <v>15</v>
      </c>
      <c r="F2465" t="s">
        <v>16</v>
      </c>
      <c r="G2465" t="s">
        <v>17</v>
      </c>
      <c r="H2465" t="s">
        <v>18</v>
      </c>
      <c r="I2465" t="s">
        <v>19</v>
      </c>
      <c r="J2465" t="s">
        <v>20</v>
      </c>
      <c r="K2465" t="s">
        <v>21</v>
      </c>
      <c r="L2465" t="s">
        <v>22</v>
      </c>
      <c r="M2465" t="s">
        <v>23</v>
      </c>
    </row>
    <row r="2466" spans="2:13" x14ac:dyDescent="0.2">
      <c r="B2466" t="s">
        <v>31</v>
      </c>
      <c r="C2466">
        <v>45</v>
      </c>
      <c r="E2466" t="s">
        <v>25</v>
      </c>
      <c r="F2466">
        <v>984.35</v>
      </c>
      <c r="G2466">
        <v>7.3</v>
      </c>
      <c r="K2466">
        <v>0.1</v>
      </c>
      <c r="L2466">
        <v>7</v>
      </c>
      <c r="M2466">
        <v>95.3</v>
      </c>
    </row>
    <row r="2467" spans="2:13" x14ac:dyDescent="0.2">
      <c r="C2467" t="s">
        <v>27</v>
      </c>
    </row>
    <row r="2468" spans="2:13" x14ac:dyDescent="0.2">
      <c r="C2468" t="s">
        <v>28</v>
      </c>
      <c r="D2468" t="s">
        <v>16</v>
      </c>
      <c r="E2468" t="s">
        <v>29</v>
      </c>
      <c r="F2468" t="s">
        <v>18</v>
      </c>
    </row>
    <row r="2469" spans="2:13" x14ac:dyDescent="0.2">
      <c r="C2469" t="b">
        <v>0</v>
      </c>
      <c r="D2469">
        <v>980.07</v>
      </c>
      <c r="E2469" t="s">
        <v>30</v>
      </c>
    </row>
    <row r="2470" spans="2:13" x14ac:dyDescent="0.2">
      <c r="C2470" t="b">
        <v>0</v>
      </c>
      <c r="D2470">
        <v>910.06</v>
      </c>
      <c r="E2470" t="s">
        <v>30</v>
      </c>
    </row>
    <row r="2471" spans="2:13" x14ac:dyDescent="0.2">
      <c r="C2471" t="b">
        <v>0</v>
      </c>
      <c r="D2471">
        <v>990.07</v>
      </c>
      <c r="E2471" t="s">
        <v>30</v>
      </c>
    </row>
    <row r="2472" spans="2:13" x14ac:dyDescent="0.2">
      <c r="C2472" t="b">
        <v>0</v>
      </c>
      <c r="D2472">
        <v>1040.07</v>
      </c>
      <c r="E2472" t="s">
        <v>30</v>
      </c>
    </row>
    <row r="2473" spans="2:13" x14ac:dyDescent="0.2">
      <c r="C2473" t="b">
        <v>0</v>
      </c>
      <c r="D2473">
        <v>980.07</v>
      </c>
      <c r="E2473" t="s">
        <v>30</v>
      </c>
    </row>
    <row r="2474" spans="2:13" x14ac:dyDescent="0.2">
      <c r="C2474" t="b">
        <v>0</v>
      </c>
      <c r="D2474">
        <v>1100.07</v>
      </c>
      <c r="E2474" t="s">
        <v>30</v>
      </c>
    </row>
    <row r="2475" spans="2:13" x14ac:dyDescent="0.2">
      <c r="C2475" t="b">
        <v>0</v>
      </c>
      <c r="D2475">
        <v>890.06</v>
      </c>
      <c r="E2475" t="s">
        <v>30</v>
      </c>
    </row>
    <row r="2476" spans="2:13" x14ac:dyDescent="0.2">
      <c r="B2476" t="s">
        <v>11</v>
      </c>
    </row>
    <row r="2477" spans="2:13" x14ac:dyDescent="0.2">
      <c r="B2477" t="s">
        <v>12</v>
      </c>
      <c r="C2477" t="s">
        <v>13</v>
      </c>
      <c r="D2477" t="s">
        <v>14</v>
      </c>
      <c r="E2477" t="s">
        <v>15</v>
      </c>
      <c r="F2477" t="s">
        <v>16</v>
      </c>
      <c r="G2477" t="s">
        <v>17</v>
      </c>
      <c r="H2477" t="s">
        <v>18</v>
      </c>
      <c r="I2477" t="s">
        <v>19</v>
      </c>
      <c r="J2477" t="s">
        <v>20</v>
      </c>
      <c r="K2477" t="s">
        <v>21</v>
      </c>
      <c r="L2477" t="s">
        <v>22</v>
      </c>
      <c r="M2477" t="s">
        <v>23</v>
      </c>
    </row>
    <row r="2478" spans="2:13" x14ac:dyDescent="0.2">
      <c r="B2478" t="s">
        <v>32</v>
      </c>
      <c r="C2478">
        <v>72</v>
      </c>
      <c r="E2478" t="s">
        <v>25</v>
      </c>
      <c r="F2478">
        <v>721.47</v>
      </c>
      <c r="G2478">
        <v>11.7</v>
      </c>
      <c r="K2478">
        <v>0.1</v>
      </c>
      <c r="L2478">
        <v>7</v>
      </c>
      <c r="M2478">
        <v>96.7</v>
      </c>
    </row>
    <row r="2479" spans="2:13" x14ac:dyDescent="0.2">
      <c r="C2479" t="s">
        <v>27</v>
      </c>
    </row>
    <row r="2480" spans="2:13" x14ac:dyDescent="0.2">
      <c r="C2480" t="s">
        <v>28</v>
      </c>
      <c r="D2480" t="s">
        <v>16</v>
      </c>
      <c r="E2480" t="s">
        <v>29</v>
      </c>
      <c r="F2480" t="s">
        <v>18</v>
      </c>
    </row>
    <row r="2481" spans="2:13" x14ac:dyDescent="0.2">
      <c r="C2481" t="b">
        <v>0</v>
      </c>
      <c r="D2481">
        <v>650.04</v>
      </c>
      <c r="E2481" t="s">
        <v>30</v>
      </c>
    </row>
    <row r="2482" spans="2:13" x14ac:dyDescent="0.2">
      <c r="C2482" t="b">
        <v>0</v>
      </c>
      <c r="D2482">
        <v>700.04</v>
      </c>
      <c r="E2482" t="s">
        <v>30</v>
      </c>
    </row>
    <row r="2483" spans="2:13" x14ac:dyDescent="0.2">
      <c r="C2483" t="b">
        <v>0</v>
      </c>
      <c r="D2483">
        <v>630.03</v>
      </c>
      <c r="E2483" t="s">
        <v>30</v>
      </c>
    </row>
    <row r="2484" spans="2:13" x14ac:dyDescent="0.2">
      <c r="C2484" t="b">
        <v>0</v>
      </c>
      <c r="D2484">
        <v>880.07</v>
      </c>
      <c r="E2484" t="s">
        <v>30</v>
      </c>
    </row>
    <row r="2485" spans="2:13" x14ac:dyDescent="0.2">
      <c r="C2485" t="b">
        <v>0</v>
      </c>
      <c r="D2485">
        <v>710.04</v>
      </c>
      <c r="E2485" t="s">
        <v>30</v>
      </c>
    </row>
    <row r="2486" spans="2:13" x14ac:dyDescent="0.2">
      <c r="C2486" t="b">
        <v>0</v>
      </c>
      <c r="D2486">
        <v>700.05</v>
      </c>
      <c r="E2486" t="s">
        <v>30</v>
      </c>
    </row>
    <row r="2487" spans="2:13" x14ac:dyDescent="0.2">
      <c r="C2487" t="b">
        <v>0</v>
      </c>
      <c r="D2487">
        <v>780.05</v>
      </c>
      <c r="E2487" t="s">
        <v>30</v>
      </c>
    </row>
    <row r="2488" spans="2:13" x14ac:dyDescent="0.2">
      <c r="B2488" t="s">
        <v>11</v>
      </c>
    </row>
    <row r="2489" spans="2:13" x14ac:dyDescent="0.2">
      <c r="B2489" t="s">
        <v>12</v>
      </c>
      <c r="C2489" t="s">
        <v>13</v>
      </c>
      <c r="D2489" t="s">
        <v>14</v>
      </c>
      <c r="E2489" t="s">
        <v>15</v>
      </c>
      <c r="F2489" t="s">
        <v>16</v>
      </c>
      <c r="G2489" t="s">
        <v>17</v>
      </c>
      <c r="H2489" t="s">
        <v>18</v>
      </c>
      <c r="I2489" t="s">
        <v>19</v>
      </c>
      <c r="J2489" t="s">
        <v>20</v>
      </c>
      <c r="K2489" t="s">
        <v>21</v>
      </c>
      <c r="L2489" t="s">
        <v>22</v>
      </c>
      <c r="M2489" t="s">
        <v>23</v>
      </c>
    </row>
    <row r="2490" spans="2:13" x14ac:dyDescent="0.2">
      <c r="B2490" t="s">
        <v>33</v>
      </c>
      <c r="C2490">
        <v>89</v>
      </c>
      <c r="E2490" t="s">
        <v>25</v>
      </c>
      <c r="F2490">
        <v>3942.14</v>
      </c>
      <c r="G2490">
        <v>5.2</v>
      </c>
      <c r="K2490">
        <v>0.1</v>
      </c>
      <c r="L2490">
        <v>7</v>
      </c>
      <c r="M2490">
        <v>99.9</v>
      </c>
    </row>
    <row r="2491" spans="2:13" x14ac:dyDescent="0.2">
      <c r="C2491" t="s">
        <v>27</v>
      </c>
    </row>
    <row r="2492" spans="2:13" x14ac:dyDescent="0.2">
      <c r="C2492" t="s">
        <v>28</v>
      </c>
      <c r="D2492" t="s">
        <v>16</v>
      </c>
      <c r="E2492" t="s">
        <v>29</v>
      </c>
      <c r="F2492" t="s">
        <v>18</v>
      </c>
    </row>
    <row r="2493" spans="2:13" x14ac:dyDescent="0.2">
      <c r="C2493" t="b">
        <v>0</v>
      </c>
      <c r="D2493">
        <v>3820.66</v>
      </c>
      <c r="E2493" t="s">
        <v>30</v>
      </c>
    </row>
    <row r="2494" spans="2:13" x14ac:dyDescent="0.2">
      <c r="C2494" t="b">
        <v>0</v>
      </c>
      <c r="D2494">
        <v>3840.69</v>
      </c>
      <c r="E2494" t="s">
        <v>30</v>
      </c>
    </row>
    <row r="2495" spans="2:13" x14ac:dyDescent="0.2">
      <c r="C2495" t="b">
        <v>0</v>
      </c>
      <c r="D2495">
        <v>3700.62</v>
      </c>
      <c r="E2495" t="s">
        <v>30</v>
      </c>
    </row>
    <row r="2496" spans="2:13" x14ac:dyDescent="0.2">
      <c r="C2496" t="b">
        <v>0</v>
      </c>
      <c r="D2496">
        <v>4210.8</v>
      </c>
      <c r="E2496" t="s">
        <v>30</v>
      </c>
    </row>
    <row r="2497" spans="1:13" x14ac:dyDescent="0.2">
      <c r="C2497" t="b">
        <v>0</v>
      </c>
      <c r="D2497">
        <v>3840.68</v>
      </c>
      <c r="E2497" t="s">
        <v>30</v>
      </c>
    </row>
    <row r="2498" spans="1:13" x14ac:dyDescent="0.2">
      <c r="C2498" t="b">
        <v>0</v>
      </c>
      <c r="D2498">
        <v>4240.8</v>
      </c>
      <c r="E2498" t="s">
        <v>30</v>
      </c>
    </row>
    <row r="2499" spans="1:13" x14ac:dyDescent="0.2">
      <c r="C2499" t="b">
        <v>0</v>
      </c>
      <c r="D2499">
        <v>3940.7</v>
      </c>
      <c r="E2499" t="s">
        <v>30</v>
      </c>
    </row>
    <row r="2500" spans="1:13" x14ac:dyDescent="0.2">
      <c r="A2500" t="s">
        <v>0</v>
      </c>
    </row>
    <row r="2501" spans="1:13" x14ac:dyDescent="0.2"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t="s">
        <v>6</v>
      </c>
    </row>
    <row r="2502" spans="1:13" x14ac:dyDescent="0.2">
      <c r="B2502" t="b">
        <v>0</v>
      </c>
      <c r="C2502" t="s">
        <v>186</v>
      </c>
      <c r="D2502" t="s">
        <v>187</v>
      </c>
      <c r="E2502" t="s">
        <v>0</v>
      </c>
      <c r="G2502" t="s">
        <v>188</v>
      </c>
    </row>
    <row r="2503" spans="1:13" x14ac:dyDescent="0.2">
      <c r="B2503" t="s">
        <v>11</v>
      </c>
    </row>
    <row r="2504" spans="1:13" x14ac:dyDescent="0.2">
      <c r="B2504" t="s">
        <v>12</v>
      </c>
      <c r="C2504" t="s">
        <v>13</v>
      </c>
      <c r="D2504" t="s">
        <v>14</v>
      </c>
      <c r="E2504" t="s">
        <v>15</v>
      </c>
      <c r="F2504" t="s">
        <v>16</v>
      </c>
      <c r="G2504" t="s">
        <v>17</v>
      </c>
      <c r="H2504" t="s">
        <v>18</v>
      </c>
      <c r="I2504" t="s">
        <v>19</v>
      </c>
      <c r="J2504" t="s">
        <v>20</v>
      </c>
      <c r="K2504" t="s">
        <v>21</v>
      </c>
      <c r="L2504" t="s">
        <v>22</v>
      </c>
      <c r="M2504" t="s">
        <v>23</v>
      </c>
    </row>
    <row r="2505" spans="1:13" x14ac:dyDescent="0.2">
      <c r="B2505" t="s">
        <v>24</v>
      </c>
      <c r="C2505">
        <v>59</v>
      </c>
      <c r="E2505" t="s">
        <v>25</v>
      </c>
      <c r="F2505">
        <v>11415385.9</v>
      </c>
      <c r="G2505">
        <v>1.5</v>
      </c>
      <c r="H2505">
        <v>5.0780000000000003</v>
      </c>
      <c r="I2505" t="s">
        <v>26</v>
      </c>
      <c r="J2505">
        <v>1.5</v>
      </c>
      <c r="K2505">
        <v>0.1</v>
      </c>
      <c r="L2505">
        <v>7</v>
      </c>
    </row>
    <row r="2506" spans="1:13" x14ac:dyDescent="0.2">
      <c r="C2506" t="s">
        <v>27</v>
      </c>
    </row>
    <row r="2507" spans="1:13" x14ac:dyDescent="0.2">
      <c r="C2507" t="s">
        <v>28</v>
      </c>
      <c r="D2507" t="s">
        <v>16</v>
      </c>
      <c r="E2507" t="s">
        <v>29</v>
      </c>
      <c r="F2507" t="s">
        <v>18</v>
      </c>
    </row>
    <row r="2508" spans="1:13" x14ac:dyDescent="0.2">
      <c r="C2508" t="b">
        <v>0</v>
      </c>
      <c r="D2508">
        <v>11543271.08</v>
      </c>
      <c r="E2508" t="s">
        <v>67</v>
      </c>
      <c r="F2508">
        <v>5.1349999999999998</v>
      </c>
    </row>
    <row r="2509" spans="1:13" x14ac:dyDescent="0.2">
      <c r="C2509" t="b">
        <v>0</v>
      </c>
      <c r="D2509">
        <v>11650518.58</v>
      </c>
      <c r="E2509" t="s">
        <v>67</v>
      </c>
      <c r="F2509">
        <v>5.1820000000000004</v>
      </c>
    </row>
    <row r="2510" spans="1:13" x14ac:dyDescent="0.2">
      <c r="C2510" t="b">
        <v>0</v>
      </c>
      <c r="D2510">
        <v>11534503.58</v>
      </c>
      <c r="E2510" t="s">
        <v>67</v>
      </c>
      <c r="F2510">
        <v>5.1310000000000002</v>
      </c>
    </row>
    <row r="2511" spans="1:13" x14ac:dyDescent="0.2">
      <c r="C2511" t="b">
        <v>0</v>
      </c>
      <c r="D2511">
        <v>11362059.83</v>
      </c>
      <c r="E2511" t="s">
        <v>67</v>
      </c>
      <c r="F2511">
        <v>5.0540000000000003</v>
      </c>
    </row>
    <row r="2512" spans="1:13" x14ac:dyDescent="0.2">
      <c r="C2512" t="b">
        <v>0</v>
      </c>
      <c r="D2512">
        <v>11361536.08</v>
      </c>
      <c r="E2512" t="s">
        <v>67</v>
      </c>
      <c r="F2512">
        <v>5.0540000000000003</v>
      </c>
    </row>
    <row r="2513" spans="2:13" x14ac:dyDescent="0.2">
      <c r="C2513" t="b">
        <v>0</v>
      </c>
      <c r="D2513">
        <v>11330898.58</v>
      </c>
      <c r="E2513" t="s">
        <v>67</v>
      </c>
      <c r="F2513">
        <v>5.04</v>
      </c>
    </row>
    <row r="2514" spans="2:13" x14ac:dyDescent="0.2">
      <c r="C2514" t="b">
        <v>0</v>
      </c>
      <c r="D2514">
        <v>11124913.58</v>
      </c>
      <c r="E2514" t="s">
        <v>67</v>
      </c>
      <c r="F2514">
        <v>4.9480000000000004</v>
      </c>
    </row>
    <row r="2515" spans="2:13" x14ac:dyDescent="0.2">
      <c r="B2515" t="s">
        <v>11</v>
      </c>
    </row>
    <row r="2516" spans="2:13" x14ac:dyDescent="0.2">
      <c r="B2516" t="s">
        <v>12</v>
      </c>
      <c r="C2516" t="s">
        <v>13</v>
      </c>
      <c r="D2516" t="s">
        <v>14</v>
      </c>
      <c r="E2516" t="s">
        <v>15</v>
      </c>
      <c r="F2516" t="s">
        <v>16</v>
      </c>
      <c r="G2516" t="s">
        <v>17</v>
      </c>
      <c r="H2516" t="s">
        <v>18</v>
      </c>
      <c r="I2516" t="s">
        <v>19</v>
      </c>
      <c r="J2516" t="s">
        <v>20</v>
      </c>
      <c r="K2516" t="s">
        <v>21</v>
      </c>
      <c r="L2516" t="s">
        <v>22</v>
      </c>
      <c r="M2516" t="s">
        <v>23</v>
      </c>
    </row>
    <row r="2517" spans="2:13" x14ac:dyDescent="0.2">
      <c r="B2517" t="s">
        <v>31</v>
      </c>
      <c r="C2517">
        <v>45</v>
      </c>
      <c r="E2517" t="s">
        <v>25</v>
      </c>
      <c r="F2517">
        <v>847.2</v>
      </c>
      <c r="G2517">
        <v>8.1999999999999993</v>
      </c>
      <c r="K2517">
        <v>0.1</v>
      </c>
      <c r="L2517">
        <v>7</v>
      </c>
      <c r="M2517">
        <v>82</v>
      </c>
    </row>
    <row r="2518" spans="2:13" x14ac:dyDescent="0.2">
      <c r="C2518" t="s">
        <v>27</v>
      </c>
    </row>
    <row r="2519" spans="2:13" x14ac:dyDescent="0.2">
      <c r="C2519" t="s">
        <v>28</v>
      </c>
      <c r="D2519" t="s">
        <v>16</v>
      </c>
      <c r="E2519" t="s">
        <v>29</v>
      </c>
      <c r="F2519" t="s">
        <v>18</v>
      </c>
    </row>
    <row r="2520" spans="2:13" x14ac:dyDescent="0.2">
      <c r="C2520" t="b">
        <v>0</v>
      </c>
      <c r="D2520">
        <v>820.05</v>
      </c>
      <c r="E2520" t="s">
        <v>30</v>
      </c>
    </row>
    <row r="2521" spans="2:13" x14ac:dyDescent="0.2">
      <c r="C2521" t="b">
        <v>0</v>
      </c>
      <c r="D2521">
        <v>830.06</v>
      </c>
      <c r="E2521" t="s">
        <v>30</v>
      </c>
    </row>
    <row r="2522" spans="2:13" x14ac:dyDescent="0.2">
      <c r="C2522" t="b">
        <v>0</v>
      </c>
      <c r="D2522">
        <v>1000.07</v>
      </c>
      <c r="E2522" t="s">
        <v>30</v>
      </c>
    </row>
    <row r="2523" spans="2:13" x14ac:dyDescent="0.2">
      <c r="C2523" t="b">
        <v>0</v>
      </c>
      <c r="D2523">
        <v>820.06</v>
      </c>
      <c r="E2523" t="s">
        <v>30</v>
      </c>
    </row>
    <row r="2524" spans="2:13" x14ac:dyDescent="0.2">
      <c r="C2524" t="b">
        <v>0</v>
      </c>
      <c r="D2524">
        <v>840.05</v>
      </c>
      <c r="E2524" t="s">
        <v>30</v>
      </c>
    </row>
    <row r="2525" spans="2:13" x14ac:dyDescent="0.2">
      <c r="C2525" t="b">
        <v>0</v>
      </c>
      <c r="D2525">
        <v>830.05</v>
      </c>
      <c r="E2525" t="s">
        <v>30</v>
      </c>
    </row>
    <row r="2526" spans="2:13" x14ac:dyDescent="0.2">
      <c r="C2526" t="b">
        <v>0</v>
      </c>
      <c r="D2526">
        <v>790.05</v>
      </c>
      <c r="E2526" t="s">
        <v>30</v>
      </c>
    </row>
    <row r="2527" spans="2:13" x14ac:dyDescent="0.2">
      <c r="B2527" t="s">
        <v>11</v>
      </c>
    </row>
    <row r="2528" spans="2:13" x14ac:dyDescent="0.2">
      <c r="B2528" t="s">
        <v>12</v>
      </c>
      <c r="C2528" t="s">
        <v>13</v>
      </c>
      <c r="D2528" t="s">
        <v>14</v>
      </c>
      <c r="E2528" t="s">
        <v>15</v>
      </c>
      <c r="F2528" t="s">
        <v>16</v>
      </c>
      <c r="G2528" t="s">
        <v>17</v>
      </c>
      <c r="H2528" t="s">
        <v>18</v>
      </c>
      <c r="I2528" t="s">
        <v>19</v>
      </c>
      <c r="J2528" t="s">
        <v>20</v>
      </c>
      <c r="K2528" t="s">
        <v>21</v>
      </c>
      <c r="L2528" t="s">
        <v>22</v>
      </c>
      <c r="M2528" t="s">
        <v>23</v>
      </c>
    </row>
    <row r="2529" spans="2:13" x14ac:dyDescent="0.2">
      <c r="B2529" t="s">
        <v>32</v>
      </c>
      <c r="C2529">
        <v>72</v>
      </c>
      <c r="E2529" t="s">
        <v>25</v>
      </c>
      <c r="F2529">
        <v>768.62</v>
      </c>
      <c r="G2529">
        <v>12</v>
      </c>
      <c r="K2529">
        <v>0.1</v>
      </c>
      <c r="L2529">
        <v>7</v>
      </c>
      <c r="M2529">
        <v>103.1</v>
      </c>
    </row>
    <row r="2530" spans="2:13" x14ac:dyDescent="0.2">
      <c r="C2530" t="s">
        <v>27</v>
      </c>
    </row>
    <row r="2531" spans="2:13" x14ac:dyDescent="0.2">
      <c r="C2531" t="s">
        <v>28</v>
      </c>
      <c r="D2531" t="s">
        <v>16</v>
      </c>
      <c r="E2531" t="s">
        <v>29</v>
      </c>
      <c r="F2531" t="s">
        <v>18</v>
      </c>
    </row>
    <row r="2532" spans="2:13" x14ac:dyDescent="0.2">
      <c r="C2532" t="b">
        <v>0</v>
      </c>
      <c r="D2532">
        <v>730.04</v>
      </c>
      <c r="E2532" t="s">
        <v>30</v>
      </c>
    </row>
    <row r="2533" spans="2:13" x14ac:dyDescent="0.2">
      <c r="C2533" t="b">
        <v>0</v>
      </c>
      <c r="D2533">
        <v>870.06</v>
      </c>
      <c r="E2533" t="s">
        <v>30</v>
      </c>
    </row>
    <row r="2534" spans="2:13" x14ac:dyDescent="0.2">
      <c r="C2534" t="b">
        <v>0</v>
      </c>
      <c r="D2534">
        <v>810.05</v>
      </c>
      <c r="E2534" t="s">
        <v>30</v>
      </c>
    </row>
    <row r="2535" spans="2:13" x14ac:dyDescent="0.2">
      <c r="C2535" t="b">
        <v>0</v>
      </c>
      <c r="D2535">
        <v>660.04</v>
      </c>
      <c r="E2535" t="s">
        <v>30</v>
      </c>
    </row>
    <row r="2536" spans="2:13" x14ac:dyDescent="0.2">
      <c r="C2536" t="b">
        <v>0</v>
      </c>
      <c r="D2536">
        <v>720.04</v>
      </c>
      <c r="E2536" t="s">
        <v>30</v>
      </c>
    </row>
    <row r="2537" spans="2:13" x14ac:dyDescent="0.2">
      <c r="C2537" t="b">
        <v>0</v>
      </c>
      <c r="D2537">
        <v>690.04</v>
      </c>
      <c r="E2537" t="s">
        <v>30</v>
      </c>
    </row>
    <row r="2538" spans="2:13" x14ac:dyDescent="0.2">
      <c r="C2538" t="b">
        <v>0</v>
      </c>
      <c r="D2538">
        <v>900.06</v>
      </c>
      <c r="E2538" t="s">
        <v>30</v>
      </c>
    </row>
    <row r="2539" spans="2:13" x14ac:dyDescent="0.2">
      <c r="B2539" t="s">
        <v>11</v>
      </c>
    </row>
    <row r="2540" spans="2:13" x14ac:dyDescent="0.2">
      <c r="B2540" t="s">
        <v>12</v>
      </c>
      <c r="C2540" t="s">
        <v>13</v>
      </c>
      <c r="D2540" t="s">
        <v>14</v>
      </c>
      <c r="E2540" t="s">
        <v>15</v>
      </c>
      <c r="F2540" t="s">
        <v>16</v>
      </c>
      <c r="G2540" t="s">
        <v>17</v>
      </c>
      <c r="H2540" t="s">
        <v>18</v>
      </c>
      <c r="I2540" t="s">
        <v>19</v>
      </c>
      <c r="J2540" t="s">
        <v>20</v>
      </c>
      <c r="K2540" t="s">
        <v>21</v>
      </c>
      <c r="L2540" t="s">
        <v>22</v>
      </c>
      <c r="M2540" t="s">
        <v>23</v>
      </c>
    </row>
    <row r="2541" spans="2:13" x14ac:dyDescent="0.2">
      <c r="B2541" t="s">
        <v>33</v>
      </c>
      <c r="C2541">
        <v>89</v>
      </c>
      <c r="E2541" t="s">
        <v>25</v>
      </c>
      <c r="F2541">
        <v>3690.61</v>
      </c>
      <c r="G2541">
        <v>7.7</v>
      </c>
      <c r="K2541">
        <v>0.1</v>
      </c>
      <c r="L2541">
        <v>7</v>
      </c>
      <c r="M2541">
        <v>93.6</v>
      </c>
    </row>
    <row r="2542" spans="2:13" x14ac:dyDescent="0.2">
      <c r="C2542" t="s">
        <v>27</v>
      </c>
    </row>
    <row r="2543" spans="2:13" x14ac:dyDescent="0.2">
      <c r="C2543" t="s">
        <v>28</v>
      </c>
      <c r="D2543" t="s">
        <v>16</v>
      </c>
      <c r="E2543" t="s">
        <v>29</v>
      </c>
      <c r="F2543" t="s">
        <v>18</v>
      </c>
    </row>
    <row r="2544" spans="2:13" x14ac:dyDescent="0.2">
      <c r="C2544" t="b">
        <v>0</v>
      </c>
      <c r="D2544">
        <v>3130.48</v>
      </c>
      <c r="E2544" t="s">
        <v>30</v>
      </c>
    </row>
    <row r="2545" spans="1:13" x14ac:dyDescent="0.2">
      <c r="C2545" t="b">
        <v>0</v>
      </c>
      <c r="D2545">
        <v>3660.58</v>
      </c>
      <c r="E2545" t="s">
        <v>30</v>
      </c>
    </row>
    <row r="2546" spans="1:13" x14ac:dyDescent="0.2">
      <c r="C2546" t="b">
        <v>0</v>
      </c>
      <c r="D2546">
        <v>3780.65</v>
      </c>
      <c r="E2546" t="s">
        <v>30</v>
      </c>
    </row>
    <row r="2547" spans="1:13" x14ac:dyDescent="0.2">
      <c r="C2547" t="b">
        <v>0</v>
      </c>
      <c r="D2547">
        <v>3720.61</v>
      </c>
      <c r="E2547" t="s">
        <v>30</v>
      </c>
    </row>
    <row r="2548" spans="1:13" x14ac:dyDescent="0.2">
      <c r="C2548" t="b">
        <v>0</v>
      </c>
      <c r="D2548">
        <v>4090.72</v>
      </c>
      <c r="E2548" t="s">
        <v>30</v>
      </c>
    </row>
    <row r="2549" spans="1:13" x14ac:dyDescent="0.2">
      <c r="C2549" t="b">
        <v>0</v>
      </c>
      <c r="D2549">
        <v>3770.63</v>
      </c>
      <c r="E2549" t="s">
        <v>30</v>
      </c>
    </row>
    <row r="2550" spans="1:13" x14ac:dyDescent="0.2">
      <c r="C2550" t="b">
        <v>0</v>
      </c>
      <c r="D2550">
        <v>3680.61</v>
      </c>
      <c r="E2550" t="s">
        <v>30</v>
      </c>
    </row>
    <row r="2551" spans="1:13" x14ac:dyDescent="0.2">
      <c r="A2551" t="s">
        <v>0</v>
      </c>
    </row>
    <row r="2552" spans="1:13" x14ac:dyDescent="0.2"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t="s">
        <v>6</v>
      </c>
    </row>
    <row r="2553" spans="1:13" x14ac:dyDescent="0.2">
      <c r="B2553" t="b">
        <v>0</v>
      </c>
      <c r="C2553" t="s">
        <v>189</v>
      </c>
      <c r="D2553" t="s">
        <v>190</v>
      </c>
      <c r="E2553" t="s">
        <v>0</v>
      </c>
      <c r="G2553" t="s">
        <v>191</v>
      </c>
    </row>
    <row r="2554" spans="1:13" x14ac:dyDescent="0.2">
      <c r="B2554" t="s">
        <v>11</v>
      </c>
    </row>
    <row r="2555" spans="1:13" x14ac:dyDescent="0.2">
      <c r="B2555" t="s">
        <v>12</v>
      </c>
      <c r="C2555" t="s">
        <v>13</v>
      </c>
      <c r="D2555" t="s">
        <v>14</v>
      </c>
      <c r="E2555" t="s">
        <v>15</v>
      </c>
      <c r="F2555" t="s">
        <v>16</v>
      </c>
      <c r="G2555" t="s">
        <v>17</v>
      </c>
      <c r="H2555" t="s">
        <v>18</v>
      </c>
      <c r="I2555" t="s">
        <v>19</v>
      </c>
      <c r="J2555" t="s">
        <v>20</v>
      </c>
      <c r="K2555" t="s">
        <v>21</v>
      </c>
      <c r="L2555" t="s">
        <v>22</v>
      </c>
      <c r="M2555" t="s">
        <v>23</v>
      </c>
    </row>
    <row r="2556" spans="1:13" x14ac:dyDescent="0.2">
      <c r="B2556" t="s">
        <v>24</v>
      </c>
      <c r="C2556">
        <v>59</v>
      </c>
      <c r="E2556" t="s">
        <v>25</v>
      </c>
      <c r="F2556">
        <v>10756878.77</v>
      </c>
      <c r="G2556">
        <v>1.5</v>
      </c>
      <c r="H2556">
        <v>4.7850000000000001</v>
      </c>
      <c r="I2556" t="s">
        <v>26</v>
      </c>
      <c r="J2556">
        <v>1.5</v>
      </c>
      <c r="K2556">
        <v>0.1</v>
      </c>
      <c r="L2556">
        <v>7</v>
      </c>
    </row>
    <row r="2557" spans="1:13" x14ac:dyDescent="0.2">
      <c r="C2557" t="s">
        <v>27</v>
      </c>
    </row>
    <row r="2558" spans="1:13" x14ac:dyDescent="0.2">
      <c r="C2558" t="s">
        <v>28</v>
      </c>
      <c r="D2558" t="s">
        <v>16</v>
      </c>
      <c r="E2558" t="s">
        <v>29</v>
      </c>
      <c r="F2558" t="s">
        <v>18</v>
      </c>
    </row>
    <row r="2559" spans="1:13" x14ac:dyDescent="0.2">
      <c r="C2559" t="b">
        <v>0</v>
      </c>
      <c r="D2559">
        <v>11081559.83</v>
      </c>
      <c r="E2559" t="s">
        <v>67</v>
      </c>
      <c r="F2559">
        <v>4.9290000000000003</v>
      </c>
    </row>
    <row r="2560" spans="1:13" x14ac:dyDescent="0.2">
      <c r="C2560" t="b">
        <v>0</v>
      </c>
      <c r="D2560">
        <v>10647062.34</v>
      </c>
      <c r="E2560" t="s">
        <v>67</v>
      </c>
      <c r="F2560">
        <v>4.7359999999999998</v>
      </c>
    </row>
    <row r="2561" spans="2:13" x14ac:dyDescent="0.2">
      <c r="C2561" t="b">
        <v>0</v>
      </c>
      <c r="D2561">
        <v>10794178.59</v>
      </c>
      <c r="E2561" t="s">
        <v>67</v>
      </c>
      <c r="F2561">
        <v>4.8010000000000002</v>
      </c>
    </row>
    <row r="2562" spans="2:13" x14ac:dyDescent="0.2">
      <c r="C2562" t="b">
        <v>0</v>
      </c>
      <c r="D2562">
        <v>10623349.84</v>
      </c>
      <c r="E2562" t="s">
        <v>67</v>
      </c>
      <c r="F2562">
        <v>4.7249999999999996</v>
      </c>
    </row>
    <row r="2563" spans="2:13" x14ac:dyDescent="0.2">
      <c r="C2563" t="b">
        <v>0</v>
      </c>
      <c r="D2563">
        <v>10655977.34</v>
      </c>
      <c r="E2563" t="s">
        <v>67</v>
      </c>
      <c r="F2563">
        <v>4.74</v>
      </c>
    </row>
    <row r="2564" spans="2:13" x14ac:dyDescent="0.2">
      <c r="C2564" t="b">
        <v>0</v>
      </c>
      <c r="D2564">
        <v>10686406.09</v>
      </c>
      <c r="E2564" t="s">
        <v>67</v>
      </c>
      <c r="F2564">
        <v>4.7530000000000001</v>
      </c>
    </row>
    <row r="2565" spans="2:13" x14ac:dyDescent="0.2">
      <c r="C2565" t="b">
        <v>0</v>
      </c>
      <c r="D2565">
        <v>10809617.34</v>
      </c>
      <c r="E2565" t="s">
        <v>67</v>
      </c>
      <c r="F2565">
        <v>4.8079999999999998</v>
      </c>
    </row>
    <row r="2566" spans="2:13" x14ac:dyDescent="0.2">
      <c r="B2566" t="s">
        <v>11</v>
      </c>
    </row>
    <row r="2567" spans="2:13" x14ac:dyDescent="0.2">
      <c r="B2567" t="s">
        <v>12</v>
      </c>
      <c r="C2567" t="s">
        <v>13</v>
      </c>
      <c r="D2567" t="s">
        <v>14</v>
      </c>
      <c r="E2567" t="s">
        <v>15</v>
      </c>
      <c r="F2567" t="s">
        <v>16</v>
      </c>
      <c r="G2567" t="s">
        <v>17</v>
      </c>
      <c r="H2567" t="s">
        <v>18</v>
      </c>
      <c r="I2567" t="s">
        <v>19</v>
      </c>
      <c r="J2567" t="s">
        <v>20</v>
      </c>
      <c r="K2567" t="s">
        <v>21</v>
      </c>
      <c r="L2567" t="s">
        <v>22</v>
      </c>
      <c r="M2567" t="s">
        <v>23</v>
      </c>
    </row>
    <row r="2568" spans="2:13" x14ac:dyDescent="0.2">
      <c r="B2568" t="s">
        <v>31</v>
      </c>
      <c r="C2568">
        <v>45</v>
      </c>
      <c r="E2568" t="s">
        <v>25</v>
      </c>
      <c r="F2568">
        <v>944.35</v>
      </c>
      <c r="G2568">
        <v>3.5</v>
      </c>
      <c r="K2568">
        <v>0.1</v>
      </c>
      <c r="L2568">
        <v>7</v>
      </c>
      <c r="M2568">
        <v>91.4</v>
      </c>
    </row>
    <row r="2569" spans="2:13" x14ac:dyDescent="0.2">
      <c r="C2569" t="s">
        <v>27</v>
      </c>
    </row>
    <row r="2570" spans="2:13" x14ac:dyDescent="0.2">
      <c r="C2570" t="s">
        <v>28</v>
      </c>
      <c r="D2570" t="s">
        <v>16</v>
      </c>
      <c r="E2570" t="s">
        <v>29</v>
      </c>
      <c r="F2570" t="s">
        <v>18</v>
      </c>
    </row>
    <row r="2571" spans="2:13" x14ac:dyDescent="0.2">
      <c r="C2571" t="b">
        <v>0</v>
      </c>
      <c r="D2571">
        <v>900.06</v>
      </c>
      <c r="E2571" t="s">
        <v>30</v>
      </c>
    </row>
    <row r="2572" spans="2:13" x14ac:dyDescent="0.2">
      <c r="C2572" t="b">
        <v>0</v>
      </c>
      <c r="D2572">
        <v>930.06</v>
      </c>
      <c r="E2572" t="s">
        <v>30</v>
      </c>
    </row>
    <row r="2573" spans="2:13" x14ac:dyDescent="0.2">
      <c r="C2573" t="b">
        <v>0</v>
      </c>
      <c r="D2573">
        <v>920.06</v>
      </c>
      <c r="E2573" t="s">
        <v>30</v>
      </c>
    </row>
    <row r="2574" spans="2:13" x14ac:dyDescent="0.2">
      <c r="C2574" t="b">
        <v>0</v>
      </c>
      <c r="D2574">
        <v>970.06</v>
      </c>
      <c r="E2574" t="s">
        <v>30</v>
      </c>
    </row>
    <row r="2575" spans="2:13" x14ac:dyDescent="0.2">
      <c r="C2575" t="b">
        <v>0</v>
      </c>
      <c r="D2575">
        <v>940.06</v>
      </c>
      <c r="E2575" t="s">
        <v>30</v>
      </c>
    </row>
    <row r="2576" spans="2:13" x14ac:dyDescent="0.2">
      <c r="C2576" t="b">
        <v>0</v>
      </c>
      <c r="D2576">
        <v>950.08</v>
      </c>
      <c r="E2576" t="s">
        <v>30</v>
      </c>
    </row>
    <row r="2577" spans="2:13" x14ac:dyDescent="0.2">
      <c r="C2577" t="b">
        <v>0</v>
      </c>
      <c r="D2577">
        <v>1000.07</v>
      </c>
      <c r="E2577" t="s">
        <v>30</v>
      </c>
    </row>
    <row r="2578" spans="2:13" x14ac:dyDescent="0.2">
      <c r="B2578" t="s">
        <v>11</v>
      </c>
    </row>
    <row r="2579" spans="2:13" x14ac:dyDescent="0.2">
      <c r="B2579" t="s">
        <v>12</v>
      </c>
      <c r="C2579" t="s">
        <v>13</v>
      </c>
      <c r="D2579" t="s">
        <v>14</v>
      </c>
      <c r="E2579" t="s">
        <v>15</v>
      </c>
      <c r="F2579" t="s">
        <v>16</v>
      </c>
      <c r="G2579" t="s">
        <v>17</v>
      </c>
      <c r="H2579" t="s">
        <v>18</v>
      </c>
      <c r="I2579" t="s">
        <v>19</v>
      </c>
      <c r="J2579" t="s">
        <v>20</v>
      </c>
      <c r="K2579" t="s">
        <v>21</v>
      </c>
      <c r="L2579" t="s">
        <v>22</v>
      </c>
      <c r="M2579" t="s">
        <v>23</v>
      </c>
    </row>
    <row r="2580" spans="2:13" x14ac:dyDescent="0.2">
      <c r="B2580" t="s">
        <v>32</v>
      </c>
      <c r="C2580">
        <v>72</v>
      </c>
      <c r="E2580" t="s">
        <v>25</v>
      </c>
      <c r="F2580">
        <v>748.62</v>
      </c>
      <c r="G2580">
        <v>16.5</v>
      </c>
      <c r="K2580">
        <v>0.1</v>
      </c>
      <c r="L2580">
        <v>7</v>
      </c>
      <c r="M2580">
        <v>100.4</v>
      </c>
    </row>
    <row r="2581" spans="2:13" x14ac:dyDescent="0.2">
      <c r="C2581" t="s">
        <v>27</v>
      </c>
    </row>
    <row r="2582" spans="2:13" x14ac:dyDescent="0.2">
      <c r="C2582" t="s">
        <v>28</v>
      </c>
      <c r="D2582" t="s">
        <v>16</v>
      </c>
      <c r="E2582" t="s">
        <v>29</v>
      </c>
      <c r="F2582" t="s">
        <v>18</v>
      </c>
    </row>
    <row r="2583" spans="2:13" x14ac:dyDescent="0.2">
      <c r="C2583" t="b">
        <v>0</v>
      </c>
      <c r="D2583">
        <v>990.07</v>
      </c>
      <c r="E2583" t="s">
        <v>30</v>
      </c>
    </row>
    <row r="2584" spans="2:13" x14ac:dyDescent="0.2">
      <c r="C2584" t="b">
        <v>0</v>
      </c>
      <c r="D2584">
        <v>700.04</v>
      </c>
      <c r="E2584" t="s">
        <v>30</v>
      </c>
    </row>
    <row r="2585" spans="2:13" x14ac:dyDescent="0.2">
      <c r="C2585" t="b">
        <v>0</v>
      </c>
      <c r="D2585">
        <v>770.05</v>
      </c>
      <c r="E2585" t="s">
        <v>30</v>
      </c>
    </row>
    <row r="2586" spans="2:13" x14ac:dyDescent="0.2">
      <c r="C2586" t="b">
        <v>0</v>
      </c>
      <c r="D2586">
        <v>740.05</v>
      </c>
      <c r="E2586" t="s">
        <v>30</v>
      </c>
    </row>
    <row r="2587" spans="2:13" x14ac:dyDescent="0.2">
      <c r="C2587" t="b">
        <v>0</v>
      </c>
      <c r="D2587">
        <v>650.03</v>
      </c>
      <c r="E2587" t="s">
        <v>30</v>
      </c>
    </row>
    <row r="2588" spans="2:13" x14ac:dyDescent="0.2">
      <c r="C2588" t="b">
        <v>0</v>
      </c>
      <c r="D2588">
        <v>780.06</v>
      </c>
      <c r="E2588" t="s">
        <v>30</v>
      </c>
    </row>
    <row r="2589" spans="2:13" x14ac:dyDescent="0.2">
      <c r="C2589" t="b">
        <v>0</v>
      </c>
      <c r="D2589">
        <v>610.03</v>
      </c>
      <c r="E2589" t="s">
        <v>30</v>
      </c>
    </row>
    <row r="2590" spans="2:13" x14ac:dyDescent="0.2">
      <c r="B2590" t="s">
        <v>11</v>
      </c>
    </row>
    <row r="2591" spans="2:13" x14ac:dyDescent="0.2">
      <c r="B2591" t="s">
        <v>12</v>
      </c>
      <c r="C2591" t="s">
        <v>13</v>
      </c>
      <c r="D2591" t="s">
        <v>14</v>
      </c>
      <c r="E2591" t="s">
        <v>15</v>
      </c>
      <c r="F2591" t="s">
        <v>16</v>
      </c>
      <c r="G2591" t="s">
        <v>17</v>
      </c>
      <c r="H2591" t="s">
        <v>18</v>
      </c>
      <c r="I2591" t="s">
        <v>19</v>
      </c>
      <c r="J2591" t="s">
        <v>20</v>
      </c>
      <c r="K2591" t="s">
        <v>21</v>
      </c>
      <c r="L2591" t="s">
        <v>22</v>
      </c>
      <c r="M2591" t="s">
        <v>23</v>
      </c>
    </row>
    <row r="2592" spans="2:13" x14ac:dyDescent="0.2">
      <c r="B2592" t="s">
        <v>33</v>
      </c>
      <c r="C2592">
        <v>89</v>
      </c>
      <c r="E2592" t="s">
        <v>25</v>
      </c>
      <c r="F2592">
        <v>3995.01</v>
      </c>
      <c r="G2592">
        <v>8.4</v>
      </c>
      <c r="K2592">
        <v>0.1</v>
      </c>
      <c r="L2592">
        <v>7</v>
      </c>
      <c r="M2592">
        <v>101.3</v>
      </c>
    </row>
    <row r="2593" spans="1:13" x14ac:dyDescent="0.2">
      <c r="C2593" t="s">
        <v>27</v>
      </c>
    </row>
    <row r="2594" spans="1:13" x14ac:dyDescent="0.2">
      <c r="C2594" t="s">
        <v>28</v>
      </c>
      <c r="D2594" t="s">
        <v>16</v>
      </c>
      <c r="E2594" t="s">
        <v>29</v>
      </c>
      <c r="F2594" t="s">
        <v>18</v>
      </c>
    </row>
    <row r="2595" spans="1:13" x14ac:dyDescent="0.2">
      <c r="C2595" t="b">
        <v>0</v>
      </c>
      <c r="D2595">
        <v>4230.83</v>
      </c>
      <c r="E2595" t="s">
        <v>30</v>
      </c>
    </row>
    <row r="2596" spans="1:13" x14ac:dyDescent="0.2">
      <c r="C2596" t="b">
        <v>0</v>
      </c>
      <c r="D2596">
        <v>3570.59</v>
      </c>
      <c r="E2596" t="s">
        <v>30</v>
      </c>
    </row>
    <row r="2597" spans="1:13" x14ac:dyDescent="0.2">
      <c r="C2597" t="b">
        <v>0</v>
      </c>
      <c r="D2597">
        <v>4320.83</v>
      </c>
      <c r="E2597" t="s">
        <v>30</v>
      </c>
    </row>
    <row r="2598" spans="1:13" x14ac:dyDescent="0.2">
      <c r="C2598" t="b">
        <v>0</v>
      </c>
      <c r="D2598">
        <v>4020.74</v>
      </c>
      <c r="E2598" t="s">
        <v>30</v>
      </c>
    </row>
    <row r="2599" spans="1:13" x14ac:dyDescent="0.2">
      <c r="C2599" t="b">
        <v>0</v>
      </c>
      <c r="D2599">
        <v>3540.58</v>
      </c>
      <c r="E2599" t="s">
        <v>30</v>
      </c>
    </row>
    <row r="2600" spans="1:13" x14ac:dyDescent="0.2">
      <c r="C2600" t="b">
        <v>0</v>
      </c>
      <c r="D2600">
        <v>3940.71</v>
      </c>
      <c r="E2600" t="s">
        <v>30</v>
      </c>
    </row>
    <row r="2601" spans="1:13" x14ac:dyDescent="0.2">
      <c r="C2601" t="b">
        <v>0</v>
      </c>
      <c r="D2601">
        <v>4340.8</v>
      </c>
      <c r="E2601" t="s">
        <v>30</v>
      </c>
    </row>
    <row r="2602" spans="1:13" x14ac:dyDescent="0.2">
      <c r="A2602" t="s">
        <v>0</v>
      </c>
    </row>
    <row r="2603" spans="1:13" x14ac:dyDescent="0.2"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t="s">
        <v>6</v>
      </c>
    </row>
    <row r="2604" spans="1:13" x14ac:dyDescent="0.2">
      <c r="B2604" t="b">
        <v>0</v>
      </c>
      <c r="C2604" t="s">
        <v>192</v>
      </c>
      <c r="D2604" t="s">
        <v>193</v>
      </c>
      <c r="E2604" t="s">
        <v>9</v>
      </c>
      <c r="G2604" t="s">
        <v>194</v>
      </c>
    </row>
    <row r="2605" spans="1:13" x14ac:dyDescent="0.2">
      <c r="B2605" t="s">
        <v>11</v>
      </c>
    </row>
    <row r="2606" spans="1:13" x14ac:dyDescent="0.2">
      <c r="B2606" t="s">
        <v>12</v>
      </c>
      <c r="C2606" t="s">
        <v>13</v>
      </c>
      <c r="D2606" t="s">
        <v>14</v>
      </c>
      <c r="E2606" t="s">
        <v>15</v>
      </c>
      <c r="F2606" t="s">
        <v>16</v>
      </c>
      <c r="G2606" t="s">
        <v>17</v>
      </c>
      <c r="H2606" t="s">
        <v>18</v>
      </c>
      <c r="I2606" t="s">
        <v>19</v>
      </c>
      <c r="J2606" t="s">
        <v>20</v>
      </c>
      <c r="K2606" t="s">
        <v>21</v>
      </c>
      <c r="L2606" t="s">
        <v>22</v>
      </c>
      <c r="M2606" t="s">
        <v>23</v>
      </c>
    </row>
    <row r="2607" spans="1:13" x14ac:dyDescent="0.2">
      <c r="B2607" t="s">
        <v>24</v>
      </c>
      <c r="C2607">
        <v>59</v>
      </c>
      <c r="E2607" t="s">
        <v>25</v>
      </c>
      <c r="F2607">
        <v>1225.81</v>
      </c>
      <c r="G2607">
        <v>13.4</v>
      </c>
      <c r="H2607">
        <v>1E-3</v>
      </c>
      <c r="I2607" t="s">
        <v>26</v>
      </c>
      <c r="J2607">
        <v>14</v>
      </c>
      <c r="K2607">
        <v>0.1</v>
      </c>
      <c r="L2607">
        <v>7</v>
      </c>
    </row>
    <row r="2608" spans="1:13" x14ac:dyDescent="0.2">
      <c r="C2608" t="s">
        <v>27</v>
      </c>
    </row>
    <row r="2609" spans="2:13" x14ac:dyDescent="0.2">
      <c r="C2609" t="s">
        <v>28</v>
      </c>
      <c r="D2609" t="s">
        <v>16</v>
      </c>
      <c r="E2609" t="s">
        <v>29</v>
      </c>
      <c r="F2609" t="s">
        <v>18</v>
      </c>
    </row>
    <row r="2610" spans="2:13" x14ac:dyDescent="0.2">
      <c r="C2610" t="b">
        <v>0</v>
      </c>
      <c r="D2610">
        <v>1070.08</v>
      </c>
      <c r="E2610" t="s">
        <v>30</v>
      </c>
      <c r="F2610">
        <v>0</v>
      </c>
    </row>
    <row r="2611" spans="2:13" x14ac:dyDescent="0.2">
      <c r="C2611" t="b">
        <v>0</v>
      </c>
      <c r="D2611">
        <v>1190.0899999999999</v>
      </c>
      <c r="E2611" t="s">
        <v>30</v>
      </c>
      <c r="F2611">
        <v>1E-3</v>
      </c>
    </row>
    <row r="2612" spans="2:13" x14ac:dyDescent="0.2">
      <c r="C2612" t="b">
        <v>0</v>
      </c>
      <c r="D2612">
        <v>1280.1099999999999</v>
      </c>
      <c r="E2612" t="s">
        <v>30</v>
      </c>
      <c r="F2612">
        <v>1E-3</v>
      </c>
    </row>
    <row r="2613" spans="2:13" x14ac:dyDescent="0.2">
      <c r="C2613" t="b">
        <v>0</v>
      </c>
      <c r="D2613">
        <v>1540.14</v>
      </c>
      <c r="E2613" t="s">
        <v>30</v>
      </c>
      <c r="F2613">
        <v>1E-3</v>
      </c>
    </row>
    <row r="2614" spans="2:13" x14ac:dyDescent="0.2">
      <c r="C2614" t="b">
        <v>0</v>
      </c>
      <c r="D2614">
        <v>1160.0899999999999</v>
      </c>
      <c r="E2614" t="s">
        <v>30</v>
      </c>
      <c r="F2614">
        <v>0</v>
      </c>
    </row>
    <row r="2615" spans="2:13" x14ac:dyDescent="0.2">
      <c r="C2615" t="b">
        <v>0</v>
      </c>
      <c r="D2615">
        <v>1280.0999999999999</v>
      </c>
      <c r="E2615" t="s">
        <v>30</v>
      </c>
      <c r="F2615">
        <v>1E-3</v>
      </c>
    </row>
    <row r="2616" spans="2:13" x14ac:dyDescent="0.2">
      <c r="C2616" t="b">
        <v>0</v>
      </c>
      <c r="D2616">
        <v>1060.07</v>
      </c>
      <c r="E2616" t="s">
        <v>30</v>
      </c>
      <c r="F2616">
        <v>0</v>
      </c>
    </row>
    <row r="2617" spans="2:13" x14ac:dyDescent="0.2">
      <c r="B2617" t="s">
        <v>11</v>
      </c>
    </row>
    <row r="2618" spans="2:13" x14ac:dyDescent="0.2">
      <c r="B2618" t="s">
        <v>12</v>
      </c>
      <c r="C2618" t="s">
        <v>13</v>
      </c>
      <c r="D2618" t="s">
        <v>14</v>
      </c>
      <c r="E2618" t="s">
        <v>15</v>
      </c>
      <c r="F2618" t="s">
        <v>16</v>
      </c>
      <c r="G2618" t="s">
        <v>17</v>
      </c>
      <c r="H2618" t="s">
        <v>18</v>
      </c>
      <c r="I2618" t="s">
        <v>19</v>
      </c>
      <c r="J2618" t="s">
        <v>20</v>
      </c>
      <c r="K2618" t="s">
        <v>21</v>
      </c>
      <c r="L2618" t="s">
        <v>22</v>
      </c>
      <c r="M2618" t="s">
        <v>23</v>
      </c>
    </row>
    <row r="2619" spans="2:13" x14ac:dyDescent="0.2">
      <c r="B2619" t="s">
        <v>31</v>
      </c>
      <c r="C2619">
        <v>45</v>
      </c>
      <c r="E2619" t="s">
        <v>25</v>
      </c>
      <c r="F2619">
        <v>1071.51</v>
      </c>
      <c r="G2619">
        <v>5.4</v>
      </c>
      <c r="K2619">
        <v>0.1</v>
      </c>
      <c r="L2619">
        <v>7</v>
      </c>
      <c r="M2619">
        <v>103.7</v>
      </c>
    </row>
    <row r="2620" spans="2:13" x14ac:dyDescent="0.2">
      <c r="C2620" t="s">
        <v>27</v>
      </c>
    </row>
    <row r="2621" spans="2:13" x14ac:dyDescent="0.2">
      <c r="C2621" t="s">
        <v>28</v>
      </c>
      <c r="D2621" t="s">
        <v>16</v>
      </c>
      <c r="E2621" t="s">
        <v>29</v>
      </c>
      <c r="F2621" t="s">
        <v>18</v>
      </c>
    </row>
    <row r="2622" spans="2:13" x14ac:dyDescent="0.2">
      <c r="C2622" t="b">
        <v>0</v>
      </c>
      <c r="D2622">
        <v>1120.08</v>
      </c>
      <c r="E2622" t="s">
        <v>30</v>
      </c>
    </row>
    <row r="2623" spans="2:13" x14ac:dyDescent="0.2">
      <c r="C2623" t="b">
        <v>0</v>
      </c>
      <c r="D2623">
        <v>1110.0899999999999</v>
      </c>
      <c r="E2623" t="s">
        <v>30</v>
      </c>
    </row>
    <row r="2624" spans="2:13" x14ac:dyDescent="0.2">
      <c r="C2624" t="b">
        <v>0</v>
      </c>
      <c r="D2624">
        <v>980.07</v>
      </c>
      <c r="E2624" t="s">
        <v>30</v>
      </c>
    </row>
    <row r="2625" spans="2:13" x14ac:dyDescent="0.2">
      <c r="C2625" t="b">
        <v>0</v>
      </c>
      <c r="D2625">
        <v>1040.07</v>
      </c>
      <c r="E2625" t="s">
        <v>30</v>
      </c>
    </row>
    <row r="2626" spans="2:13" x14ac:dyDescent="0.2">
      <c r="C2626" t="b">
        <v>0</v>
      </c>
      <c r="D2626">
        <v>1130.08</v>
      </c>
      <c r="E2626" t="s">
        <v>30</v>
      </c>
    </row>
    <row r="2627" spans="2:13" x14ac:dyDescent="0.2">
      <c r="C2627" t="b">
        <v>0</v>
      </c>
      <c r="D2627">
        <v>1100.0999999999999</v>
      </c>
      <c r="E2627" t="s">
        <v>30</v>
      </c>
    </row>
    <row r="2628" spans="2:13" x14ac:dyDescent="0.2">
      <c r="C2628" t="b">
        <v>0</v>
      </c>
      <c r="D2628">
        <v>1020.08</v>
      </c>
      <c r="E2628" t="s">
        <v>30</v>
      </c>
    </row>
    <row r="2629" spans="2:13" x14ac:dyDescent="0.2">
      <c r="B2629" t="s">
        <v>11</v>
      </c>
    </row>
    <row r="2630" spans="2:13" x14ac:dyDescent="0.2">
      <c r="B2630" t="s">
        <v>12</v>
      </c>
      <c r="C2630" t="s">
        <v>13</v>
      </c>
      <c r="D2630" t="s">
        <v>14</v>
      </c>
      <c r="E2630" t="s">
        <v>15</v>
      </c>
      <c r="F2630" t="s">
        <v>16</v>
      </c>
      <c r="G2630" t="s">
        <v>17</v>
      </c>
      <c r="H2630" t="s">
        <v>18</v>
      </c>
      <c r="I2630" t="s">
        <v>19</v>
      </c>
      <c r="J2630" t="s">
        <v>20</v>
      </c>
      <c r="K2630" t="s">
        <v>21</v>
      </c>
      <c r="L2630" t="s">
        <v>22</v>
      </c>
      <c r="M2630" t="s">
        <v>23</v>
      </c>
    </row>
    <row r="2631" spans="2:13" x14ac:dyDescent="0.2">
      <c r="B2631" t="s">
        <v>32</v>
      </c>
      <c r="C2631">
        <v>72</v>
      </c>
      <c r="E2631" t="s">
        <v>25</v>
      </c>
      <c r="F2631">
        <v>692.9</v>
      </c>
      <c r="G2631">
        <v>11.2</v>
      </c>
      <c r="K2631">
        <v>0.1</v>
      </c>
      <c r="L2631">
        <v>7</v>
      </c>
      <c r="M2631">
        <v>92.9</v>
      </c>
    </row>
    <row r="2632" spans="2:13" x14ac:dyDescent="0.2">
      <c r="C2632" t="s">
        <v>27</v>
      </c>
    </row>
    <row r="2633" spans="2:13" x14ac:dyDescent="0.2">
      <c r="C2633" t="s">
        <v>28</v>
      </c>
      <c r="D2633" t="s">
        <v>16</v>
      </c>
      <c r="E2633" t="s">
        <v>29</v>
      </c>
      <c r="F2633" t="s">
        <v>18</v>
      </c>
    </row>
    <row r="2634" spans="2:13" x14ac:dyDescent="0.2">
      <c r="C2634" t="b">
        <v>0</v>
      </c>
      <c r="D2634">
        <v>680.05</v>
      </c>
      <c r="E2634" t="s">
        <v>30</v>
      </c>
    </row>
    <row r="2635" spans="2:13" x14ac:dyDescent="0.2">
      <c r="C2635" t="b">
        <v>0</v>
      </c>
      <c r="D2635">
        <v>770.05</v>
      </c>
      <c r="E2635" t="s">
        <v>30</v>
      </c>
    </row>
    <row r="2636" spans="2:13" x14ac:dyDescent="0.2">
      <c r="C2636" t="b">
        <v>0</v>
      </c>
      <c r="D2636">
        <v>750.06</v>
      </c>
      <c r="E2636" t="s">
        <v>30</v>
      </c>
    </row>
    <row r="2637" spans="2:13" x14ac:dyDescent="0.2">
      <c r="C2637" t="b">
        <v>0</v>
      </c>
      <c r="D2637">
        <v>570.04</v>
      </c>
      <c r="E2637" t="s">
        <v>30</v>
      </c>
    </row>
    <row r="2638" spans="2:13" x14ac:dyDescent="0.2">
      <c r="C2638" t="b">
        <v>0</v>
      </c>
      <c r="D2638">
        <v>640.03</v>
      </c>
      <c r="E2638" t="s">
        <v>30</v>
      </c>
    </row>
    <row r="2639" spans="2:13" x14ac:dyDescent="0.2">
      <c r="C2639" t="b">
        <v>0</v>
      </c>
      <c r="D2639">
        <v>660.04</v>
      </c>
      <c r="E2639" t="s">
        <v>30</v>
      </c>
    </row>
    <row r="2640" spans="2:13" x14ac:dyDescent="0.2">
      <c r="C2640" t="b">
        <v>0</v>
      </c>
      <c r="D2640">
        <v>780.05</v>
      </c>
      <c r="E2640" t="s">
        <v>30</v>
      </c>
    </row>
    <row r="2641" spans="1:13" x14ac:dyDescent="0.2">
      <c r="B2641" t="s">
        <v>11</v>
      </c>
    </row>
    <row r="2642" spans="1:13" x14ac:dyDescent="0.2">
      <c r="B2642" t="s">
        <v>12</v>
      </c>
      <c r="C2642" t="s">
        <v>13</v>
      </c>
      <c r="D2642" t="s">
        <v>14</v>
      </c>
      <c r="E2642" t="s">
        <v>15</v>
      </c>
      <c r="F2642" t="s">
        <v>16</v>
      </c>
      <c r="G2642" t="s">
        <v>17</v>
      </c>
      <c r="H2642" t="s">
        <v>18</v>
      </c>
      <c r="I2642" t="s">
        <v>19</v>
      </c>
      <c r="J2642" t="s">
        <v>20</v>
      </c>
      <c r="K2642" t="s">
        <v>21</v>
      </c>
      <c r="L2642" t="s">
        <v>22</v>
      </c>
      <c r="M2642" t="s">
        <v>23</v>
      </c>
    </row>
    <row r="2643" spans="1:13" x14ac:dyDescent="0.2">
      <c r="B2643" t="s">
        <v>33</v>
      </c>
      <c r="C2643">
        <v>89</v>
      </c>
      <c r="E2643" t="s">
        <v>25</v>
      </c>
      <c r="F2643">
        <v>3733.5</v>
      </c>
      <c r="G2643">
        <v>8</v>
      </c>
      <c r="K2643">
        <v>0.1</v>
      </c>
      <c r="L2643">
        <v>7</v>
      </c>
      <c r="M2643">
        <v>94.6</v>
      </c>
    </row>
    <row r="2644" spans="1:13" x14ac:dyDescent="0.2">
      <c r="C2644" t="s">
        <v>27</v>
      </c>
    </row>
    <row r="2645" spans="1:13" x14ac:dyDescent="0.2">
      <c r="C2645" t="s">
        <v>28</v>
      </c>
      <c r="D2645" t="s">
        <v>16</v>
      </c>
      <c r="E2645" t="s">
        <v>29</v>
      </c>
      <c r="F2645" t="s">
        <v>18</v>
      </c>
    </row>
    <row r="2646" spans="1:13" x14ac:dyDescent="0.2">
      <c r="C2646" t="b">
        <v>0</v>
      </c>
      <c r="D2646">
        <v>3700.65</v>
      </c>
      <c r="E2646" t="s">
        <v>30</v>
      </c>
    </row>
    <row r="2647" spans="1:13" x14ac:dyDescent="0.2">
      <c r="C2647" t="b">
        <v>0</v>
      </c>
      <c r="D2647">
        <v>3560.58</v>
      </c>
      <c r="E2647" t="s">
        <v>30</v>
      </c>
    </row>
    <row r="2648" spans="1:13" x14ac:dyDescent="0.2">
      <c r="C2648" t="b">
        <v>0</v>
      </c>
      <c r="D2648">
        <v>3430.54</v>
      </c>
      <c r="E2648" t="s">
        <v>30</v>
      </c>
    </row>
    <row r="2649" spans="1:13" x14ac:dyDescent="0.2">
      <c r="C2649" t="b">
        <v>0</v>
      </c>
      <c r="D2649">
        <v>3600.59</v>
      </c>
      <c r="E2649" t="s">
        <v>30</v>
      </c>
    </row>
    <row r="2650" spans="1:13" x14ac:dyDescent="0.2">
      <c r="C2650" t="b">
        <v>0</v>
      </c>
      <c r="D2650">
        <v>3530.58</v>
      </c>
      <c r="E2650" t="s">
        <v>30</v>
      </c>
    </row>
    <row r="2651" spans="1:13" x14ac:dyDescent="0.2">
      <c r="C2651" t="b">
        <v>0</v>
      </c>
      <c r="D2651">
        <v>4120.76</v>
      </c>
      <c r="E2651" t="s">
        <v>30</v>
      </c>
    </row>
    <row r="2652" spans="1:13" x14ac:dyDescent="0.2">
      <c r="C2652" t="b">
        <v>0</v>
      </c>
      <c r="D2652">
        <v>4190.82</v>
      </c>
      <c r="E2652" t="s">
        <v>30</v>
      </c>
    </row>
    <row r="2653" spans="1:13" x14ac:dyDescent="0.2">
      <c r="A2653" t="s">
        <v>0</v>
      </c>
    </row>
    <row r="2654" spans="1:13" x14ac:dyDescent="0.2"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t="s">
        <v>6</v>
      </c>
    </row>
    <row r="2655" spans="1:13" x14ac:dyDescent="0.2">
      <c r="B2655" t="b">
        <v>0</v>
      </c>
      <c r="C2655" t="s">
        <v>195</v>
      </c>
      <c r="D2655" t="s">
        <v>196</v>
      </c>
      <c r="E2655" t="s">
        <v>0</v>
      </c>
      <c r="G2655" t="s">
        <v>197</v>
      </c>
    </row>
    <row r="2656" spans="1:13" x14ac:dyDescent="0.2">
      <c r="B2656" t="s">
        <v>11</v>
      </c>
    </row>
    <row r="2657" spans="2:13" x14ac:dyDescent="0.2">
      <c r="B2657" t="s">
        <v>12</v>
      </c>
      <c r="C2657" t="s">
        <v>13</v>
      </c>
      <c r="D2657" t="s">
        <v>14</v>
      </c>
      <c r="E2657" t="s">
        <v>15</v>
      </c>
      <c r="F2657" t="s">
        <v>16</v>
      </c>
      <c r="G2657" t="s">
        <v>17</v>
      </c>
      <c r="H2657" t="s">
        <v>18</v>
      </c>
      <c r="I2657" t="s">
        <v>19</v>
      </c>
      <c r="J2657" t="s">
        <v>20</v>
      </c>
      <c r="K2657" t="s">
        <v>21</v>
      </c>
      <c r="L2657" t="s">
        <v>22</v>
      </c>
      <c r="M2657" t="s">
        <v>23</v>
      </c>
    </row>
    <row r="2658" spans="2:13" x14ac:dyDescent="0.2">
      <c r="B2658" t="s">
        <v>24</v>
      </c>
      <c r="C2658">
        <v>59</v>
      </c>
      <c r="E2658" t="s">
        <v>25</v>
      </c>
      <c r="F2658">
        <v>304.3</v>
      </c>
      <c r="G2658">
        <v>19.5</v>
      </c>
      <c r="H2658">
        <v>0</v>
      </c>
      <c r="I2658" t="s">
        <v>26</v>
      </c>
      <c r="J2658">
        <v>23.9</v>
      </c>
      <c r="K2658">
        <v>0.1</v>
      </c>
      <c r="L2658">
        <v>7</v>
      </c>
    </row>
    <row r="2659" spans="2:13" x14ac:dyDescent="0.2">
      <c r="C2659" t="s">
        <v>27</v>
      </c>
    </row>
    <row r="2660" spans="2:13" x14ac:dyDescent="0.2">
      <c r="C2660" t="s">
        <v>28</v>
      </c>
      <c r="D2660" t="s">
        <v>16</v>
      </c>
      <c r="E2660" t="s">
        <v>29</v>
      </c>
      <c r="F2660" t="s">
        <v>18</v>
      </c>
    </row>
    <row r="2661" spans="2:13" x14ac:dyDescent="0.2">
      <c r="C2661" t="b">
        <v>0</v>
      </c>
      <c r="D2661">
        <v>300.01</v>
      </c>
      <c r="E2661" t="s">
        <v>30</v>
      </c>
      <c r="F2661">
        <v>0</v>
      </c>
    </row>
    <row r="2662" spans="2:13" x14ac:dyDescent="0.2">
      <c r="C2662" t="b">
        <v>0</v>
      </c>
      <c r="D2662">
        <v>350.02</v>
      </c>
      <c r="E2662" t="s">
        <v>30</v>
      </c>
      <c r="F2662">
        <v>0</v>
      </c>
    </row>
    <row r="2663" spans="2:13" x14ac:dyDescent="0.2">
      <c r="C2663" t="b">
        <v>0</v>
      </c>
      <c r="D2663">
        <v>290.01</v>
      </c>
      <c r="E2663" t="s">
        <v>30</v>
      </c>
      <c r="F2663">
        <v>0</v>
      </c>
    </row>
    <row r="2664" spans="2:13" x14ac:dyDescent="0.2">
      <c r="C2664" t="b">
        <v>0</v>
      </c>
      <c r="D2664">
        <v>330.02</v>
      </c>
      <c r="E2664" t="s">
        <v>30</v>
      </c>
      <c r="F2664">
        <v>0</v>
      </c>
    </row>
    <row r="2665" spans="2:13" x14ac:dyDescent="0.2">
      <c r="C2665" t="b">
        <v>0</v>
      </c>
      <c r="D2665">
        <v>260.01</v>
      </c>
      <c r="E2665" t="s">
        <v>30</v>
      </c>
      <c r="F2665">
        <v>0</v>
      </c>
    </row>
    <row r="2666" spans="2:13" x14ac:dyDescent="0.2">
      <c r="C2666" t="b">
        <v>0</v>
      </c>
      <c r="D2666">
        <v>210.01</v>
      </c>
      <c r="E2666" t="s">
        <v>30</v>
      </c>
      <c r="F2666">
        <v>0</v>
      </c>
    </row>
    <row r="2667" spans="2:13" x14ac:dyDescent="0.2">
      <c r="C2667" t="b">
        <v>0</v>
      </c>
      <c r="D2667">
        <v>390.02</v>
      </c>
      <c r="E2667" t="s">
        <v>30</v>
      </c>
      <c r="F2667">
        <v>0</v>
      </c>
    </row>
    <row r="2668" spans="2:13" x14ac:dyDescent="0.2">
      <c r="B2668" t="s">
        <v>11</v>
      </c>
    </row>
    <row r="2669" spans="2:13" x14ac:dyDescent="0.2">
      <c r="B2669" t="s">
        <v>12</v>
      </c>
      <c r="C2669" t="s">
        <v>13</v>
      </c>
      <c r="D2669" t="s">
        <v>14</v>
      </c>
      <c r="E2669" t="s">
        <v>15</v>
      </c>
      <c r="F2669" t="s">
        <v>16</v>
      </c>
      <c r="G2669" t="s">
        <v>17</v>
      </c>
      <c r="H2669" t="s">
        <v>18</v>
      </c>
      <c r="I2669" t="s">
        <v>19</v>
      </c>
      <c r="J2669" t="s">
        <v>20</v>
      </c>
      <c r="K2669" t="s">
        <v>21</v>
      </c>
      <c r="L2669" t="s">
        <v>22</v>
      </c>
      <c r="M2669" t="s">
        <v>23</v>
      </c>
    </row>
    <row r="2670" spans="2:13" x14ac:dyDescent="0.2">
      <c r="B2670" t="s">
        <v>31</v>
      </c>
      <c r="C2670">
        <v>45</v>
      </c>
      <c r="E2670" t="s">
        <v>25</v>
      </c>
      <c r="F2670">
        <v>884.35</v>
      </c>
      <c r="G2670">
        <v>13.4</v>
      </c>
      <c r="K2670">
        <v>0.1</v>
      </c>
      <c r="L2670">
        <v>7</v>
      </c>
      <c r="M2670">
        <v>85.6</v>
      </c>
    </row>
    <row r="2671" spans="2:13" x14ac:dyDescent="0.2">
      <c r="C2671" t="s">
        <v>27</v>
      </c>
    </row>
    <row r="2672" spans="2:13" x14ac:dyDescent="0.2">
      <c r="C2672" t="s">
        <v>28</v>
      </c>
      <c r="D2672" t="s">
        <v>16</v>
      </c>
      <c r="E2672" t="s">
        <v>29</v>
      </c>
      <c r="F2672" t="s">
        <v>18</v>
      </c>
    </row>
    <row r="2673" spans="2:13" x14ac:dyDescent="0.2">
      <c r="C2673" t="b">
        <v>0</v>
      </c>
      <c r="D2673">
        <v>1070.08</v>
      </c>
      <c r="E2673" t="s">
        <v>30</v>
      </c>
    </row>
    <row r="2674" spans="2:13" x14ac:dyDescent="0.2">
      <c r="C2674" t="b">
        <v>0</v>
      </c>
      <c r="D2674">
        <v>740.05</v>
      </c>
      <c r="E2674" t="s">
        <v>30</v>
      </c>
    </row>
    <row r="2675" spans="2:13" x14ac:dyDescent="0.2">
      <c r="C2675" t="b">
        <v>0</v>
      </c>
      <c r="D2675">
        <v>750.04</v>
      </c>
      <c r="E2675" t="s">
        <v>30</v>
      </c>
    </row>
    <row r="2676" spans="2:13" x14ac:dyDescent="0.2">
      <c r="C2676" t="b">
        <v>0</v>
      </c>
      <c r="D2676">
        <v>910.06</v>
      </c>
      <c r="E2676" t="s">
        <v>30</v>
      </c>
    </row>
    <row r="2677" spans="2:13" x14ac:dyDescent="0.2">
      <c r="C2677" t="b">
        <v>0</v>
      </c>
      <c r="D2677">
        <v>950.07</v>
      </c>
      <c r="E2677" t="s">
        <v>30</v>
      </c>
    </row>
    <row r="2678" spans="2:13" x14ac:dyDescent="0.2">
      <c r="C2678" t="b">
        <v>0</v>
      </c>
      <c r="D2678">
        <v>940.06</v>
      </c>
      <c r="E2678" t="s">
        <v>30</v>
      </c>
    </row>
    <row r="2679" spans="2:13" x14ac:dyDescent="0.2">
      <c r="C2679" t="b">
        <v>0</v>
      </c>
      <c r="D2679">
        <v>830.06</v>
      </c>
      <c r="E2679" t="s">
        <v>30</v>
      </c>
    </row>
    <row r="2680" spans="2:13" x14ac:dyDescent="0.2">
      <c r="B2680" t="s">
        <v>11</v>
      </c>
    </row>
    <row r="2681" spans="2:13" x14ac:dyDescent="0.2">
      <c r="B2681" t="s">
        <v>12</v>
      </c>
      <c r="C2681" t="s">
        <v>13</v>
      </c>
      <c r="D2681" t="s">
        <v>14</v>
      </c>
      <c r="E2681" t="s">
        <v>15</v>
      </c>
      <c r="F2681" t="s">
        <v>16</v>
      </c>
      <c r="G2681" t="s">
        <v>17</v>
      </c>
      <c r="H2681" t="s">
        <v>18</v>
      </c>
      <c r="I2681" t="s">
        <v>19</v>
      </c>
      <c r="J2681" t="s">
        <v>20</v>
      </c>
      <c r="K2681" t="s">
        <v>21</v>
      </c>
      <c r="L2681" t="s">
        <v>22</v>
      </c>
      <c r="M2681" t="s">
        <v>23</v>
      </c>
    </row>
    <row r="2682" spans="2:13" x14ac:dyDescent="0.2">
      <c r="B2682" t="s">
        <v>32</v>
      </c>
      <c r="C2682">
        <v>72</v>
      </c>
      <c r="E2682" t="s">
        <v>25</v>
      </c>
      <c r="F2682">
        <v>722.9</v>
      </c>
      <c r="G2682">
        <v>13.4</v>
      </c>
      <c r="K2682">
        <v>0.1</v>
      </c>
      <c r="L2682">
        <v>7</v>
      </c>
      <c r="M2682">
        <v>96.9</v>
      </c>
    </row>
    <row r="2683" spans="2:13" x14ac:dyDescent="0.2">
      <c r="C2683" t="s">
        <v>27</v>
      </c>
    </row>
    <row r="2684" spans="2:13" x14ac:dyDescent="0.2">
      <c r="C2684" t="s">
        <v>28</v>
      </c>
      <c r="D2684" t="s">
        <v>16</v>
      </c>
      <c r="E2684" t="s">
        <v>29</v>
      </c>
      <c r="F2684" t="s">
        <v>18</v>
      </c>
    </row>
    <row r="2685" spans="2:13" x14ac:dyDescent="0.2">
      <c r="C2685" t="b">
        <v>0</v>
      </c>
      <c r="D2685">
        <v>680.04</v>
      </c>
      <c r="E2685" t="s">
        <v>30</v>
      </c>
    </row>
    <row r="2686" spans="2:13" x14ac:dyDescent="0.2">
      <c r="C2686" t="b">
        <v>0</v>
      </c>
      <c r="D2686">
        <v>620.04</v>
      </c>
      <c r="E2686" t="s">
        <v>30</v>
      </c>
    </row>
    <row r="2687" spans="2:13" x14ac:dyDescent="0.2">
      <c r="C2687" t="b">
        <v>0</v>
      </c>
      <c r="D2687">
        <v>740.05</v>
      </c>
      <c r="E2687" t="s">
        <v>30</v>
      </c>
    </row>
    <row r="2688" spans="2:13" x14ac:dyDescent="0.2">
      <c r="C2688" t="b">
        <v>0</v>
      </c>
      <c r="D2688">
        <v>620.03</v>
      </c>
      <c r="E2688" t="s">
        <v>30</v>
      </c>
    </row>
    <row r="2689" spans="1:13" x14ac:dyDescent="0.2">
      <c r="C2689" t="b">
        <v>0</v>
      </c>
      <c r="D2689">
        <v>750.04</v>
      </c>
      <c r="E2689" t="s">
        <v>30</v>
      </c>
    </row>
    <row r="2690" spans="1:13" x14ac:dyDescent="0.2">
      <c r="C2690" t="b">
        <v>0</v>
      </c>
      <c r="D2690">
        <v>750.05</v>
      </c>
      <c r="E2690" t="s">
        <v>30</v>
      </c>
    </row>
    <row r="2691" spans="1:13" x14ac:dyDescent="0.2">
      <c r="C2691" t="b">
        <v>0</v>
      </c>
      <c r="D2691">
        <v>900.06</v>
      </c>
      <c r="E2691" t="s">
        <v>30</v>
      </c>
    </row>
    <row r="2692" spans="1:13" x14ac:dyDescent="0.2">
      <c r="B2692" t="s">
        <v>11</v>
      </c>
    </row>
    <row r="2693" spans="1:13" x14ac:dyDescent="0.2">
      <c r="B2693" t="s">
        <v>12</v>
      </c>
      <c r="C2693" t="s">
        <v>13</v>
      </c>
      <c r="D2693" t="s">
        <v>14</v>
      </c>
      <c r="E2693" t="s">
        <v>15</v>
      </c>
      <c r="F2693" t="s">
        <v>16</v>
      </c>
      <c r="G2693" t="s">
        <v>17</v>
      </c>
      <c r="H2693" t="s">
        <v>18</v>
      </c>
      <c r="I2693" t="s">
        <v>19</v>
      </c>
      <c r="J2693" t="s">
        <v>20</v>
      </c>
      <c r="K2693" t="s">
        <v>21</v>
      </c>
      <c r="L2693" t="s">
        <v>22</v>
      </c>
      <c r="M2693" t="s">
        <v>23</v>
      </c>
    </row>
    <row r="2694" spans="1:13" x14ac:dyDescent="0.2">
      <c r="B2694" t="s">
        <v>33</v>
      </c>
      <c r="C2694">
        <v>89</v>
      </c>
      <c r="E2694" t="s">
        <v>25</v>
      </c>
      <c r="F2694">
        <v>3890.69</v>
      </c>
      <c r="G2694">
        <v>5.7</v>
      </c>
      <c r="K2694">
        <v>0.1</v>
      </c>
      <c r="L2694">
        <v>7</v>
      </c>
      <c r="M2694">
        <v>98.6</v>
      </c>
    </row>
    <row r="2695" spans="1:13" x14ac:dyDescent="0.2">
      <c r="C2695" t="s">
        <v>27</v>
      </c>
    </row>
    <row r="2696" spans="1:13" x14ac:dyDescent="0.2">
      <c r="C2696" t="s">
        <v>28</v>
      </c>
      <c r="D2696" t="s">
        <v>16</v>
      </c>
      <c r="E2696" t="s">
        <v>29</v>
      </c>
      <c r="F2696" t="s">
        <v>18</v>
      </c>
    </row>
    <row r="2697" spans="1:13" x14ac:dyDescent="0.2">
      <c r="C2697" t="b">
        <v>0</v>
      </c>
      <c r="D2697">
        <v>3750.65</v>
      </c>
      <c r="E2697" t="s">
        <v>30</v>
      </c>
    </row>
    <row r="2698" spans="1:13" x14ac:dyDescent="0.2">
      <c r="C2698" t="b">
        <v>0</v>
      </c>
      <c r="D2698">
        <v>3750.67</v>
      </c>
      <c r="E2698" t="s">
        <v>30</v>
      </c>
    </row>
    <row r="2699" spans="1:13" x14ac:dyDescent="0.2">
      <c r="C2699" t="b">
        <v>0</v>
      </c>
      <c r="D2699">
        <v>3600.6</v>
      </c>
      <c r="E2699" t="s">
        <v>30</v>
      </c>
    </row>
    <row r="2700" spans="1:13" x14ac:dyDescent="0.2">
      <c r="C2700" t="b">
        <v>0</v>
      </c>
      <c r="D2700">
        <v>3840.68</v>
      </c>
      <c r="E2700" t="s">
        <v>30</v>
      </c>
    </row>
    <row r="2701" spans="1:13" x14ac:dyDescent="0.2">
      <c r="C2701" t="b">
        <v>0</v>
      </c>
      <c r="D2701">
        <v>4240.8100000000004</v>
      </c>
      <c r="E2701" t="s">
        <v>30</v>
      </c>
    </row>
    <row r="2702" spans="1:13" x14ac:dyDescent="0.2">
      <c r="C2702" t="b">
        <v>0</v>
      </c>
      <c r="D2702">
        <v>3940.67</v>
      </c>
      <c r="E2702" t="s">
        <v>30</v>
      </c>
    </row>
    <row r="2703" spans="1:13" x14ac:dyDescent="0.2">
      <c r="C2703" t="b">
        <v>0</v>
      </c>
      <c r="D2703">
        <v>4110.75</v>
      </c>
      <c r="E2703" t="s">
        <v>30</v>
      </c>
    </row>
    <row r="2704" spans="1:13" x14ac:dyDescent="0.2">
      <c r="A2704" t="s">
        <v>0</v>
      </c>
    </row>
    <row r="2705" spans="2:13" x14ac:dyDescent="0.2"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t="s">
        <v>6</v>
      </c>
    </row>
    <row r="2706" spans="2:13" x14ac:dyDescent="0.2">
      <c r="B2706" t="b">
        <v>0</v>
      </c>
      <c r="C2706" t="s">
        <v>198</v>
      </c>
      <c r="D2706" t="s">
        <v>199</v>
      </c>
      <c r="E2706" t="s">
        <v>0</v>
      </c>
      <c r="G2706" t="s">
        <v>200</v>
      </c>
    </row>
    <row r="2707" spans="2:13" x14ac:dyDescent="0.2">
      <c r="B2707" t="s">
        <v>11</v>
      </c>
    </row>
    <row r="2708" spans="2:13" x14ac:dyDescent="0.2">
      <c r="B2708" t="s">
        <v>12</v>
      </c>
      <c r="C2708" t="s">
        <v>13</v>
      </c>
      <c r="D2708" t="s">
        <v>14</v>
      </c>
      <c r="E2708" t="s">
        <v>15</v>
      </c>
      <c r="F2708" t="s">
        <v>16</v>
      </c>
      <c r="G2708" t="s">
        <v>17</v>
      </c>
      <c r="H2708" t="s">
        <v>18</v>
      </c>
      <c r="I2708" t="s">
        <v>19</v>
      </c>
      <c r="J2708" t="s">
        <v>20</v>
      </c>
      <c r="K2708" t="s">
        <v>21</v>
      </c>
      <c r="L2708" t="s">
        <v>22</v>
      </c>
      <c r="M2708" t="s">
        <v>23</v>
      </c>
    </row>
    <row r="2709" spans="2:13" x14ac:dyDescent="0.2">
      <c r="B2709" t="s">
        <v>24</v>
      </c>
      <c r="C2709">
        <v>59</v>
      </c>
      <c r="E2709" t="s">
        <v>25</v>
      </c>
      <c r="F2709">
        <v>228159.45</v>
      </c>
      <c r="G2709">
        <v>1.2</v>
      </c>
      <c r="H2709">
        <v>0.10100000000000001</v>
      </c>
      <c r="I2709" t="s">
        <v>26</v>
      </c>
      <c r="J2709">
        <v>1.2</v>
      </c>
      <c r="K2709">
        <v>0.1</v>
      </c>
      <c r="L2709">
        <v>7</v>
      </c>
    </row>
    <row r="2710" spans="2:13" x14ac:dyDescent="0.2">
      <c r="C2710" t="s">
        <v>27</v>
      </c>
    </row>
    <row r="2711" spans="2:13" x14ac:dyDescent="0.2">
      <c r="C2711" t="s">
        <v>28</v>
      </c>
      <c r="D2711" t="s">
        <v>16</v>
      </c>
      <c r="E2711" t="s">
        <v>29</v>
      </c>
      <c r="F2711" t="s">
        <v>18</v>
      </c>
    </row>
    <row r="2712" spans="2:13" x14ac:dyDescent="0.2">
      <c r="C2712" t="b">
        <v>0</v>
      </c>
      <c r="D2712">
        <v>224587.18</v>
      </c>
      <c r="E2712" t="s">
        <v>30</v>
      </c>
      <c r="F2712">
        <v>0.1</v>
      </c>
    </row>
    <row r="2713" spans="2:13" x14ac:dyDescent="0.2">
      <c r="C2713" t="b">
        <v>0</v>
      </c>
      <c r="D2713">
        <v>226884.8</v>
      </c>
      <c r="E2713" t="s">
        <v>30</v>
      </c>
      <c r="F2713">
        <v>0.10100000000000001</v>
      </c>
    </row>
    <row r="2714" spans="2:13" x14ac:dyDescent="0.2">
      <c r="C2714" t="b">
        <v>0</v>
      </c>
      <c r="D2714">
        <v>226610.13</v>
      </c>
      <c r="E2714" t="s">
        <v>30</v>
      </c>
      <c r="F2714">
        <v>0.10100000000000001</v>
      </c>
    </row>
    <row r="2715" spans="2:13" x14ac:dyDescent="0.2">
      <c r="C2715" t="b">
        <v>0</v>
      </c>
      <c r="D2715">
        <v>230360.21</v>
      </c>
      <c r="E2715" t="s">
        <v>30</v>
      </c>
      <c r="F2715">
        <v>0.10199999999999999</v>
      </c>
    </row>
    <row r="2716" spans="2:13" x14ac:dyDescent="0.2">
      <c r="C2716" t="b">
        <v>0</v>
      </c>
      <c r="D2716">
        <v>228868.92</v>
      </c>
      <c r="E2716" t="s">
        <v>30</v>
      </c>
      <c r="F2716">
        <v>0.10199999999999999</v>
      </c>
    </row>
    <row r="2717" spans="2:13" x14ac:dyDescent="0.2">
      <c r="C2717" t="b">
        <v>0</v>
      </c>
      <c r="D2717">
        <v>226922.22</v>
      </c>
      <c r="E2717" t="s">
        <v>30</v>
      </c>
      <c r="F2717">
        <v>0.10100000000000001</v>
      </c>
    </row>
    <row r="2718" spans="2:13" x14ac:dyDescent="0.2">
      <c r="C2718" t="b">
        <v>0</v>
      </c>
      <c r="D2718">
        <v>232882.67</v>
      </c>
      <c r="E2718" t="s">
        <v>30</v>
      </c>
      <c r="F2718">
        <v>0.104</v>
      </c>
    </row>
    <row r="2719" spans="2:13" x14ac:dyDescent="0.2">
      <c r="B2719" t="s">
        <v>11</v>
      </c>
    </row>
    <row r="2720" spans="2:13" x14ac:dyDescent="0.2">
      <c r="B2720" t="s">
        <v>12</v>
      </c>
      <c r="C2720" t="s">
        <v>13</v>
      </c>
      <c r="D2720" t="s">
        <v>14</v>
      </c>
      <c r="E2720" t="s">
        <v>15</v>
      </c>
      <c r="F2720" t="s">
        <v>16</v>
      </c>
      <c r="G2720" t="s">
        <v>17</v>
      </c>
      <c r="H2720" t="s">
        <v>18</v>
      </c>
      <c r="I2720" t="s">
        <v>19</v>
      </c>
      <c r="J2720" t="s">
        <v>20</v>
      </c>
      <c r="K2720" t="s">
        <v>21</v>
      </c>
      <c r="L2720" t="s">
        <v>22</v>
      </c>
      <c r="M2720" t="s">
        <v>23</v>
      </c>
    </row>
    <row r="2721" spans="2:13" x14ac:dyDescent="0.2">
      <c r="B2721" t="s">
        <v>31</v>
      </c>
      <c r="C2721">
        <v>45</v>
      </c>
      <c r="E2721" t="s">
        <v>25</v>
      </c>
      <c r="F2721">
        <v>852.91</v>
      </c>
      <c r="G2721">
        <v>6.5</v>
      </c>
      <c r="K2721">
        <v>0.1</v>
      </c>
      <c r="L2721">
        <v>7</v>
      </c>
      <c r="M2721">
        <v>82.6</v>
      </c>
    </row>
    <row r="2722" spans="2:13" x14ac:dyDescent="0.2">
      <c r="C2722" t="s">
        <v>27</v>
      </c>
    </row>
    <row r="2723" spans="2:13" x14ac:dyDescent="0.2">
      <c r="C2723" t="s">
        <v>28</v>
      </c>
      <c r="D2723" t="s">
        <v>16</v>
      </c>
      <c r="E2723" t="s">
        <v>29</v>
      </c>
      <c r="F2723" t="s">
        <v>18</v>
      </c>
    </row>
    <row r="2724" spans="2:13" x14ac:dyDescent="0.2">
      <c r="C2724" t="b">
        <v>0</v>
      </c>
      <c r="D2724">
        <v>810.05</v>
      </c>
      <c r="E2724" t="s">
        <v>30</v>
      </c>
    </row>
    <row r="2725" spans="2:13" x14ac:dyDescent="0.2">
      <c r="C2725" t="b">
        <v>0</v>
      </c>
      <c r="D2725">
        <v>900.06</v>
      </c>
      <c r="E2725" t="s">
        <v>30</v>
      </c>
    </row>
    <row r="2726" spans="2:13" x14ac:dyDescent="0.2">
      <c r="C2726" t="b">
        <v>0</v>
      </c>
      <c r="D2726">
        <v>890.05</v>
      </c>
      <c r="E2726" t="s">
        <v>30</v>
      </c>
    </row>
    <row r="2727" spans="2:13" x14ac:dyDescent="0.2">
      <c r="C2727" t="b">
        <v>0</v>
      </c>
      <c r="D2727">
        <v>800.05</v>
      </c>
      <c r="E2727" t="s">
        <v>30</v>
      </c>
    </row>
    <row r="2728" spans="2:13" x14ac:dyDescent="0.2">
      <c r="C2728" t="b">
        <v>0</v>
      </c>
      <c r="D2728">
        <v>780.05</v>
      </c>
      <c r="E2728" t="s">
        <v>30</v>
      </c>
    </row>
    <row r="2729" spans="2:13" x14ac:dyDescent="0.2">
      <c r="C2729" t="b">
        <v>0</v>
      </c>
      <c r="D2729">
        <v>920.06</v>
      </c>
      <c r="E2729" t="s">
        <v>30</v>
      </c>
    </row>
    <row r="2730" spans="2:13" x14ac:dyDescent="0.2">
      <c r="C2730" t="b">
        <v>0</v>
      </c>
      <c r="D2730">
        <v>870.06</v>
      </c>
      <c r="E2730" t="s">
        <v>30</v>
      </c>
    </row>
    <row r="2731" spans="2:13" x14ac:dyDescent="0.2">
      <c r="B2731" t="s">
        <v>11</v>
      </c>
    </row>
    <row r="2732" spans="2:13" x14ac:dyDescent="0.2">
      <c r="B2732" t="s">
        <v>12</v>
      </c>
      <c r="C2732" t="s">
        <v>13</v>
      </c>
      <c r="D2732" t="s">
        <v>14</v>
      </c>
      <c r="E2732" t="s">
        <v>15</v>
      </c>
      <c r="F2732" t="s">
        <v>16</v>
      </c>
      <c r="G2732" t="s">
        <v>17</v>
      </c>
      <c r="H2732" t="s">
        <v>18</v>
      </c>
      <c r="I2732" t="s">
        <v>19</v>
      </c>
      <c r="J2732" t="s">
        <v>20</v>
      </c>
      <c r="K2732" t="s">
        <v>21</v>
      </c>
      <c r="L2732" t="s">
        <v>22</v>
      </c>
      <c r="M2732" t="s">
        <v>23</v>
      </c>
    </row>
    <row r="2733" spans="2:13" x14ac:dyDescent="0.2">
      <c r="B2733" t="s">
        <v>32</v>
      </c>
      <c r="C2733">
        <v>72</v>
      </c>
      <c r="E2733" t="s">
        <v>25</v>
      </c>
      <c r="F2733">
        <v>807.2</v>
      </c>
      <c r="G2733">
        <v>8.5</v>
      </c>
      <c r="K2733">
        <v>0.1</v>
      </c>
      <c r="L2733">
        <v>7</v>
      </c>
      <c r="M2733">
        <v>108.2</v>
      </c>
    </row>
    <row r="2734" spans="2:13" x14ac:dyDescent="0.2">
      <c r="C2734" t="s">
        <v>27</v>
      </c>
    </row>
    <row r="2735" spans="2:13" x14ac:dyDescent="0.2">
      <c r="C2735" t="s">
        <v>28</v>
      </c>
      <c r="D2735" t="s">
        <v>16</v>
      </c>
      <c r="E2735" t="s">
        <v>29</v>
      </c>
      <c r="F2735" t="s">
        <v>18</v>
      </c>
    </row>
    <row r="2736" spans="2:13" x14ac:dyDescent="0.2">
      <c r="C2736" t="b">
        <v>0</v>
      </c>
      <c r="D2736">
        <v>740.05</v>
      </c>
      <c r="E2736" t="s">
        <v>30</v>
      </c>
    </row>
    <row r="2737" spans="2:13" x14ac:dyDescent="0.2">
      <c r="C2737" t="b">
        <v>0</v>
      </c>
      <c r="D2737">
        <v>760.05</v>
      </c>
      <c r="E2737" t="s">
        <v>30</v>
      </c>
    </row>
    <row r="2738" spans="2:13" x14ac:dyDescent="0.2">
      <c r="C2738" t="b">
        <v>0</v>
      </c>
      <c r="D2738">
        <v>800.06</v>
      </c>
      <c r="E2738" t="s">
        <v>30</v>
      </c>
    </row>
    <row r="2739" spans="2:13" x14ac:dyDescent="0.2">
      <c r="C2739" t="b">
        <v>0</v>
      </c>
      <c r="D2739">
        <v>920.07</v>
      </c>
      <c r="E2739" t="s">
        <v>30</v>
      </c>
    </row>
    <row r="2740" spans="2:13" x14ac:dyDescent="0.2">
      <c r="C2740" t="b">
        <v>0</v>
      </c>
      <c r="D2740">
        <v>820.05</v>
      </c>
      <c r="E2740" t="s">
        <v>30</v>
      </c>
    </row>
    <row r="2741" spans="2:13" x14ac:dyDescent="0.2">
      <c r="C2741" t="b">
        <v>0</v>
      </c>
      <c r="D2741">
        <v>740.04</v>
      </c>
      <c r="E2741" t="s">
        <v>30</v>
      </c>
    </row>
    <row r="2742" spans="2:13" x14ac:dyDescent="0.2">
      <c r="C2742" t="b">
        <v>0</v>
      </c>
      <c r="D2742">
        <v>870.07</v>
      </c>
      <c r="E2742" t="s">
        <v>30</v>
      </c>
    </row>
    <row r="2743" spans="2:13" x14ac:dyDescent="0.2">
      <c r="B2743" t="s">
        <v>11</v>
      </c>
    </row>
    <row r="2744" spans="2:13" x14ac:dyDescent="0.2">
      <c r="B2744" t="s">
        <v>12</v>
      </c>
      <c r="C2744" t="s">
        <v>13</v>
      </c>
      <c r="D2744" t="s">
        <v>14</v>
      </c>
      <c r="E2744" t="s">
        <v>15</v>
      </c>
      <c r="F2744" t="s">
        <v>16</v>
      </c>
      <c r="G2744" t="s">
        <v>17</v>
      </c>
      <c r="H2744" t="s">
        <v>18</v>
      </c>
      <c r="I2744" t="s">
        <v>19</v>
      </c>
      <c r="J2744" t="s">
        <v>20</v>
      </c>
      <c r="K2744" t="s">
        <v>21</v>
      </c>
      <c r="L2744" t="s">
        <v>22</v>
      </c>
      <c r="M2744" t="s">
        <v>23</v>
      </c>
    </row>
    <row r="2745" spans="2:13" x14ac:dyDescent="0.2">
      <c r="B2745" t="s">
        <v>33</v>
      </c>
      <c r="C2745">
        <v>89</v>
      </c>
      <c r="E2745" t="s">
        <v>25</v>
      </c>
      <c r="F2745">
        <v>4125.05</v>
      </c>
      <c r="G2745">
        <v>6.2</v>
      </c>
      <c r="K2745">
        <v>0.1</v>
      </c>
      <c r="L2745">
        <v>7</v>
      </c>
      <c r="M2745">
        <v>104.6</v>
      </c>
    </row>
    <row r="2746" spans="2:13" x14ac:dyDescent="0.2">
      <c r="C2746" t="s">
        <v>27</v>
      </c>
    </row>
    <row r="2747" spans="2:13" x14ac:dyDescent="0.2">
      <c r="C2747" t="s">
        <v>28</v>
      </c>
      <c r="D2747" t="s">
        <v>16</v>
      </c>
      <c r="E2747" t="s">
        <v>29</v>
      </c>
      <c r="F2747" t="s">
        <v>18</v>
      </c>
    </row>
    <row r="2748" spans="2:13" x14ac:dyDescent="0.2">
      <c r="C2748" t="b">
        <v>0</v>
      </c>
      <c r="D2748">
        <v>3790.61</v>
      </c>
      <c r="E2748" t="s">
        <v>30</v>
      </c>
    </row>
    <row r="2749" spans="2:13" x14ac:dyDescent="0.2">
      <c r="C2749" t="b">
        <v>0</v>
      </c>
      <c r="D2749">
        <v>3960.71</v>
      </c>
      <c r="E2749" t="s">
        <v>30</v>
      </c>
    </row>
    <row r="2750" spans="2:13" x14ac:dyDescent="0.2">
      <c r="C2750" t="b">
        <v>0</v>
      </c>
      <c r="D2750">
        <v>4050.74</v>
      </c>
      <c r="E2750" t="s">
        <v>30</v>
      </c>
    </row>
    <row r="2751" spans="2:13" x14ac:dyDescent="0.2">
      <c r="C2751" t="b">
        <v>0</v>
      </c>
      <c r="D2751">
        <v>4260.8100000000004</v>
      </c>
      <c r="E2751" t="s">
        <v>30</v>
      </c>
    </row>
    <row r="2752" spans="2:13" x14ac:dyDescent="0.2">
      <c r="C2752" t="b">
        <v>0</v>
      </c>
      <c r="D2752">
        <v>4490.9399999999996</v>
      </c>
      <c r="E2752" t="s">
        <v>30</v>
      </c>
    </row>
    <row r="2753" spans="1:13" x14ac:dyDescent="0.2">
      <c r="C2753" t="b">
        <v>0</v>
      </c>
      <c r="D2753">
        <v>3950.7</v>
      </c>
      <c r="E2753" t="s">
        <v>30</v>
      </c>
    </row>
    <row r="2754" spans="1:13" x14ac:dyDescent="0.2">
      <c r="C2754" t="b">
        <v>0</v>
      </c>
      <c r="D2754">
        <v>4370.84</v>
      </c>
      <c r="E2754" t="s">
        <v>30</v>
      </c>
    </row>
    <row r="2755" spans="1:13" x14ac:dyDescent="0.2">
      <c r="A2755" t="s">
        <v>0</v>
      </c>
    </row>
    <row r="2756" spans="1:13" x14ac:dyDescent="0.2"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</row>
    <row r="2757" spans="1:13" x14ac:dyDescent="0.2">
      <c r="B2757" t="b">
        <v>0</v>
      </c>
      <c r="C2757" t="s">
        <v>201</v>
      </c>
      <c r="D2757" t="s">
        <v>202</v>
      </c>
      <c r="E2757" t="s">
        <v>0</v>
      </c>
      <c r="G2757" t="s">
        <v>203</v>
      </c>
    </row>
    <row r="2758" spans="1:13" x14ac:dyDescent="0.2">
      <c r="B2758" t="s">
        <v>11</v>
      </c>
    </row>
    <row r="2759" spans="1:13" x14ac:dyDescent="0.2">
      <c r="B2759" t="s">
        <v>12</v>
      </c>
      <c r="C2759" t="s">
        <v>13</v>
      </c>
      <c r="D2759" t="s">
        <v>14</v>
      </c>
      <c r="E2759" t="s">
        <v>15</v>
      </c>
      <c r="F2759" t="s">
        <v>16</v>
      </c>
      <c r="G2759" t="s">
        <v>17</v>
      </c>
      <c r="H2759" t="s">
        <v>18</v>
      </c>
      <c r="I2759" t="s">
        <v>19</v>
      </c>
      <c r="J2759" t="s">
        <v>20</v>
      </c>
      <c r="K2759" t="s">
        <v>21</v>
      </c>
      <c r="L2759" t="s">
        <v>22</v>
      </c>
      <c r="M2759" t="s">
        <v>23</v>
      </c>
    </row>
    <row r="2760" spans="1:13" x14ac:dyDescent="0.2">
      <c r="B2760" t="s">
        <v>24</v>
      </c>
      <c r="C2760">
        <v>59</v>
      </c>
      <c r="E2760" t="s">
        <v>25</v>
      </c>
      <c r="F2760">
        <v>223702.31</v>
      </c>
      <c r="G2760">
        <v>1.1000000000000001</v>
      </c>
      <c r="H2760">
        <v>9.9000000000000005E-2</v>
      </c>
      <c r="I2760" t="s">
        <v>26</v>
      </c>
      <c r="J2760">
        <v>1.1000000000000001</v>
      </c>
      <c r="K2760">
        <v>0.1</v>
      </c>
      <c r="L2760">
        <v>7</v>
      </c>
    </row>
    <row r="2761" spans="1:13" x14ac:dyDescent="0.2">
      <c r="C2761" t="s">
        <v>27</v>
      </c>
    </row>
    <row r="2762" spans="1:13" x14ac:dyDescent="0.2">
      <c r="C2762" t="s">
        <v>28</v>
      </c>
      <c r="D2762" t="s">
        <v>16</v>
      </c>
      <c r="E2762" t="s">
        <v>29</v>
      </c>
      <c r="F2762" t="s">
        <v>18</v>
      </c>
    </row>
    <row r="2763" spans="1:13" x14ac:dyDescent="0.2">
      <c r="C2763" t="b">
        <v>0</v>
      </c>
      <c r="D2763">
        <v>227419.86</v>
      </c>
      <c r="E2763" t="s">
        <v>30</v>
      </c>
      <c r="F2763">
        <v>0.10100000000000001</v>
      </c>
    </row>
    <row r="2764" spans="1:13" x14ac:dyDescent="0.2">
      <c r="C2764" t="b">
        <v>0</v>
      </c>
      <c r="D2764">
        <v>223554.43</v>
      </c>
      <c r="E2764" t="s">
        <v>30</v>
      </c>
      <c r="F2764">
        <v>9.9000000000000005E-2</v>
      </c>
    </row>
    <row r="2765" spans="1:13" x14ac:dyDescent="0.2">
      <c r="C2765" t="b">
        <v>0</v>
      </c>
      <c r="D2765">
        <v>225116.23</v>
      </c>
      <c r="E2765" t="s">
        <v>30</v>
      </c>
      <c r="F2765">
        <v>0.1</v>
      </c>
    </row>
    <row r="2766" spans="1:13" x14ac:dyDescent="0.2">
      <c r="C2766" t="b">
        <v>0</v>
      </c>
      <c r="D2766">
        <v>222679.65</v>
      </c>
      <c r="E2766" t="s">
        <v>30</v>
      </c>
      <c r="F2766">
        <v>9.9000000000000005E-2</v>
      </c>
    </row>
    <row r="2767" spans="1:13" x14ac:dyDescent="0.2">
      <c r="C2767" t="b">
        <v>0</v>
      </c>
      <c r="D2767">
        <v>224126.19</v>
      </c>
      <c r="E2767" t="s">
        <v>30</v>
      </c>
      <c r="F2767">
        <v>0.1</v>
      </c>
    </row>
    <row r="2768" spans="1:13" x14ac:dyDescent="0.2">
      <c r="C2768" t="b">
        <v>0</v>
      </c>
      <c r="D2768">
        <v>219568.41</v>
      </c>
      <c r="E2768" t="s">
        <v>30</v>
      </c>
      <c r="F2768">
        <v>9.8000000000000004E-2</v>
      </c>
    </row>
    <row r="2769" spans="2:13" x14ac:dyDescent="0.2">
      <c r="C2769" t="b">
        <v>0</v>
      </c>
      <c r="D2769">
        <v>223451.38</v>
      </c>
      <c r="E2769" t="s">
        <v>30</v>
      </c>
      <c r="F2769">
        <v>9.9000000000000005E-2</v>
      </c>
    </row>
    <row r="2770" spans="2:13" x14ac:dyDescent="0.2">
      <c r="B2770" t="s">
        <v>11</v>
      </c>
    </row>
    <row r="2771" spans="2:13" x14ac:dyDescent="0.2">
      <c r="B2771" t="s">
        <v>12</v>
      </c>
      <c r="C2771" t="s">
        <v>13</v>
      </c>
      <c r="D2771" t="s">
        <v>14</v>
      </c>
      <c r="E2771" t="s">
        <v>15</v>
      </c>
      <c r="F2771" t="s">
        <v>16</v>
      </c>
      <c r="G2771" t="s">
        <v>17</v>
      </c>
      <c r="H2771" t="s">
        <v>18</v>
      </c>
      <c r="I2771" t="s">
        <v>19</v>
      </c>
      <c r="J2771" t="s">
        <v>20</v>
      </c>
      <c r="K2771" t="s">
        <v>21</v>
      </c>
      <c r="L2771" t="s">
        <v>22</v>
      </c>
      <c r="M2771" t="s">
        <v>23</v>
      </c>
    </row>
    <row r="2772" spans="2:13" x14ac:dyDescent="0.2">
      <c r="B2772" t="s">
        <v>31</v>
      </c>
      <c r="C2772">
        <v>45</v>
      </c>
      <c r="E2772" t="s">
        <v>25</v>
      </c>
      <c r="F2772">
        <v>871.49</v>
      </c>
      <c r="G2772">
        <v>8.1</v>
      </c>
      <c r="K2772">
        <v>0.1</v>
      </c>
      <c r="L2772">
        <v>7</v>
      </c>
      <c r="M2772">
        <v>84.4</v>
      </c>
    </row>
    <row r="2773" spans="2:13" x14ac:dyDescent="0.2">
      <c r="C2773" t="s">
        <v>27</v>
      </c>
    </row>
    <row r="2774" spans="2:13" x14ac:dyDescent="0.2">
      <c r="C2774" t="s">
        <v>28</v>
      </c>
      <c r="D2774" t="s">
        <v>16</v>
      </c>
      <c r="E2774" t="s">
        <v>29</v>
      </c>
      <c r="F2774" t="s">
        <v>18</v>
      </c>
    </row>
    <row r="2775" spans="2:13" x14ac:dyDescent="0.2">
      <c r="C2775" t="b">
        <v>0</v>
      </c>
      <c r="D2775">
        <v>740.05</v>
      </c>
      <c r="E2775" t="s">
        <v>30</v>
      </c>
    </row>
    <row r="2776" spans="2:13" x14ac:dyDescent="0.2">
      <c r="C2776" t="b">
        <v>0</v>
      </c>
      <c r="D2776">
        <v>940.06</v>
      </c>
      <c r="E2776" t="s">
        <v>30</v>
      </c>
    </row>
    <row r="2777" spans="2:13" x14ac:dyDescent="0.2">
      <c r="C2777" t="b">
        <v>0</v>
      </c>
      <c r="D2777">
        <v>920.07</v>
      </c>
      <c r="E2777" t="s">
        <v>30</v>
      </c>
    </row>
    <row r="2778" spans="2:13" x14ac:dyDescent="0.2">
      <c r="C2778" t="b">
        <v>0</v>
      </c>
      <c r="D2778">
        <v>850.05</v>
      </c>
      <c r="E2778" t="s">
        <v>30</v>
      </c>
    </row>
    <row r="2779" spans="2:13" x14ac:dyDescent="0.2">
      <c r="C2779" t="b">
        <v>0</v>
      </c>
      <c r="D2779">
        <v>830.06</v>
      </c>
      <c r="E2779" t="s">
        <v>30</v>
      </c>
    </row>
    <row r="2780" spans="2:13" x14ac:dyDescent="0.2">
      <c r="C2780" t="b">
        <v>0</v>
      </c>
      <c r="D2780">
        <v>920.06</v>
      </c>
      <c r="E2780" t="s">
        <v>30</v>
      </c>
    </row>
    <row r="2781" spans="2:13" x14ac:dyDescent="0.2">
      <c r="C2781" t="b">
        <v>0</v>
      </c>
      <c r="D2781">
        <v>900.06</v>
      </c>
      <c r="E2781" t="s">
        <v>30</v>
      </c>
    </row>
    <row r="2782" spans="2:13" x14ac:dyDescent="0.2">
      <c r="B2782" t="s">
        <v>11</v>
      </c>
    </row>
    <row r="2783" spans="2:13" x14ac:dyDescent="0.2">
      <c r="B2783" t="s">
        <v>12</v>
      </c>
      <c r="C2783" t="s">
        <v>13</v>
      </c>
      <c r="D2783" t="s">
        <v>14</v>
      </c>
      <c r="E2783" t="s">
        <v>15</v>
      </c>
      <c r="F2783" t="s">
        <v>16</v>
      </c>
      <c r="G2783" t="s">
        <v>17</v>
      </c>
      <c r="H2783" t="s">
        <v>18</v>
      </c>
      <c r="I2783" t="s">
        <v>19</v>
      </c>
      <c r="J2783" t="s">
        <v>20</v>
      </c>
      <c r="K2783" t="s">
        <v>21</v>
      </c>
      <c r="L2783" t="s">
        <v>22</v>
      </c>
      <c r="M2783" t="s">
        <v>23</v>
      </c>
    </row>
    <row r="2784" spans="2:13" x14ac:dyDescent="0.2">
      <c r="B2784" t="s">
        <v>32</v>
      </c>
      <c r="C2784">
        <v>72</v>
      </c>
      <c r="E2784" t="s">
        <v>25</v>
      </c>
      <c r="F2784">
        <v>841.49</v>
      </c>
      <c r="G2784">
        <v>7.5</v>
      </c>
      <c r="K2784">
        <v>0.1</v>
      </c>
      <c r="L2784">
        <v>7</v>
      </c>
      <c r="M2784">
        <v>112.8</v>
      </c>
    </row>
    <row r="2785" spans="2:13" x14ac:dyDescent="0.2">
      <c r="C2785" t="s">
        <v>27</v>
      </c>
    </row>
    <row r="2786" spans="2:13" x14ac:dyDescent="0.2">
      <c r="C2786" t="s">
        <v>28</v>
      </c>
      <c r="D2786" t="s">
        <v>16</v>
      </c>
      <c r="E2786" t="s">
        <v>29</v>
      </c>
      <c r="F2786" t="s">
        <v>18</v>
      </c>
    </row>
    <row r="2787" spans="2:13" x14ac:dyDescent="0.2">
      <c r="C2787" t="b">
        <v>0</v>
      </c>
      <c r="D2787">
        <v>760.05</v>
      </c>
      <c r="E2787" t="s">
        <v>30</v>
      </c>
    </row>
    <row r="2788" spans="2:13" x14ac:dyDescent="0.2">
      <c r="C2788" t="b">
        <v>0</v>
      </c>
      <c r="D2788">
        <v>880.07</v>
      </c>
      <c r="E2788" t="s">
        <v>30</v>
      </c>
    </row>
    <row r="2789" spans="2:13" x14ac:dyDescent="0.2">
      <c r="C2789" t="b">
        <v>0</v>
      </c>
      <c r="D2789">
        <v>880.07</v>
      </c>
      <c r="E2789" t="s">
        <v>30</v>
      </c>
    </row>
    <row r="2790" spans="2:13" x14ac:dyDescent="0.2">
      <c r="C2790" t="b">
        <v>0</v>
      </c>
      <c r="D2790">
        <v>750.04</v>
      </c>
      <c r="E2790" t="s">
        <v>30</v>
      </c>
    </row>
    <row r="2791" spans="2:13" x14ac:dyDescent="0.2">
      <c r="C2791" t="b">
        <v>0</v>
      </c>
      <c r="D2791">
        <v>890.06</v>
      </c>
      <c r="E2791" t="s">
        <v>30</v>
      </c>
    </row>
    <row r="2792" spans="2:13" x14ac:dyDescent="0.2">
      <c r="C2792" t="b">
        <v>0</v>
      </c>
      <c r="D2792">
        <v>830.05</v>
      </c>
      <c r="E2792" t="s">
        <v>30</v>
      </c>
    </row>
    <row r="2793" spans="2:13" x14ac:dyDescent="0.2">
      <c r="C2793" t="b">
        <v>0</v>
      </c>
      <c r="D2793">
        <v>900.07</v>
      </c>
      <c r="E2793" t="s">
        <v>30</v>
      </c>
    </row>
    <row r="2794" spans="2:13" x14ac:dyDescent="0.2">
      <c r="B2794" t="s">
        <v>11</v>
      </c>
    </row>
    <row r="2795" spans="2:13" x14ac:dyDescent="0.2">
      <c r="B2795" t="s">
        <v>12</v>
      </c>
      <c r="C2795" t="s">
        <v>13</v>
      </c>
      <c r="D2795" t="s">
        <v>14</v>
      </c>
      <c r="E2795" t="s">
        <v>15</v>
      </c>
      <c r="F2795" t="s">
        <v>16</v>
      </c>
      <c r="G2795" t="s">
        <v>17</v>
      </c>
      <c r="H2795" t="s">
        <v>18</v>
      </c>
      <c r="I2795" t="s">
        <v>19</v>
      </c>
      <c r="J2795" t="s">
        <v>20</v>
      </c>
      <c r="K2795" t="s">
        <v>21</v>
      </c>
      <c r="L2795" t="s">
        <v>22</v>
      </c>
      <c r="M2795" t="s">
        <v>23</v>
      </c>
    </row>
    <row r="2796" spans="2:13" x14ac:dyDescent="0.2">
      <c r="B2796" t="s">
        <v>33</v>
      </c>
      <c r="C2796">
        <v>89</v>
      </c>
      <c r="E2796" t="s">
        <v>25</v>
      </c>
      <c r="F2796">
        <v>3949.29</v>
      </c>
      <c r="G2796">
        <v>3.7</v>
      </c>
      <c r="K2796">
        <v>0.1</v>
      </c>
      <c r="L2796">
        <v>7</v>
      </c>
      <c r="M2796">
        <v>100.1</v>
      </c>
    </row>
    <row r="2797" spans="2:13" x14ac:dyDescent="0.2">
      <c r="C2797" t="s">
        <v>27</v>
      </c>
    </row>
    <row r="2798" spans="2:13" x14ac:dyDescent="0.2">
      <c r="C2798" t="s">
        <v>28</v>
      </c>
      <c r="D2798" t="s">
        <v>16</v>
      </c>
      <c r="E2798" t="s">
        <v>29</v>
      </c>
      <c r="F2798" t="s">
        <v>18</v>
      </c>
    </row>
    <row r="2799" spans="2:13" x14ac:dyDescent="0.2">
      <c r="C2799" t="b">
        <v>0</v>
      </c>
      <c r="D2799">
        <v>3940.71</v>
      </c>
      <c r="E2799" t="s">
        <v>30</v>
      </c>
    </row>
    <row r="2800" spans="2:13" x14ac:dyDescent="0.2">
      <c r="C2800" t="b">
        <v>0</v>
      </c>
      <c r="D2800">
        <v>4150.76</v>
      </c>
      <c r="E2800" t="s">
        <v>30</v>
      </c>
    </row>
    <row r="2801" spans="1:13" x14ac:dyDescent="0.2">
      <c r="C2801" t="b">
        <v>0</v>
      </c>
      <c r="D2801">
        <v>3790.69</v>
      </c>
      <c r="E2801" t="s">
        <v>30</v>
      </c>
    </row>
    <row r="2802" spans="1:13" x14ac:dyDescent="0.2">
      <c r="C2802" t="b">
        <v>0</v>
      </c>
      <c r="D2802">
        <v>4030.74</v>
      </c>
      <c r="E2802" t="s">
        <v>30</v>
      </c>
    </row>
    <row r="2803" spans="1:13" x14ac:dyDescent="0.2">
      <c r="C2803" t="b">
        <v>0</v>
      </c>
      <c r="D2803">
        <v>3750.67</v>
      </c>
      <c r="E2803" t="s">
        <v>30</v>
      </c>
    </row>
    <row r="2804" spans="1:13" x14ac:dyDescent="0.2">
      <c r="C2804" t="b">
        <v>0</v>
      </c>
      <c r="D2804">
        <v>3910.71</v>
      </c>
      <c r="E2804" t="s">
        <v>30</v>
      </c>
    </row>
    <row r="2805" spans="1:13" x14ac:dyDescent="0.2">
      <c r="C2805" t="b">
        <v>0</v>
      </c>
      <c r="D2805">
        <v>4070.76</v>
      </c>
      <c r="E2805" t="s">
        <v>30</v>
      </c>
    </row>
    <row r="2806" spans="1:13" x14ac:dyDescent="0.2">
      <c r="A2806" t="s">
        <v>0</v>
      </c>
    </row>
    <row r="2807" spans="1:13" x14ac:dyDescent="0.2"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6</v>
      </c>
    </row>
    <row r="2808" spans="1:13" x14ac:dyDescent="0.2">
      <c r="B2808" t="b">
        <v>0</v>
      </c>
      <c r="C2808" t="s">
        <v>204</v>
      </c>
      <c r="D2808" t="s">
        <v>205</v>
      </c>
      <c r="E2808" t="s">
        <v>0</v>
      </c>
      <c r="G2808" t="s">
        <v>206</v>
      </c>
    </row>
    <row r="2809" spans="1:13" x14ac:dyDescent="0.2">
      <c r="B2809" t="s">
        <v>11</v>
      </c>
    </row>
    <row r="2810" spans="1:13" x14ac:dyDescent="0.2">
      <c r="B2810" t="s">
        <v>12</v>
      </c>
      <c r="C2810" t="s">
        <v>13</v>
      </c>
      <c r="D2810" t="s">
        <v>14</v>
      </c>
      <c r="E2810" t="s">
        <v>15</v>
      </c>
      <c r="F2810" t="s">
        <v>16</v>
      </c>
      <c r="G2810" t="s">
        <v>17</v>
      </c>
      <c r="H2810" t="s">
        <v>18</v>
      </c>
      <c r="I2810" t="s">
        <v>19</v>
      </c>
      <c r="J2810" t="s">
        <v>20</v>
      </c>
      <c r="K2810" t="s">
        <v>21</v>
      </c>
      <c r="L2810" t="s">
        <v>22</v>
      </c>
      <c r="M2810" t="s">
        <v>23</v>
      </c>
    </row>
    <row r="2811" spans="1:13" x14ac:dyDescent="0.2">
      <c r="B2811" t="s">
        <v>24</v>
      </c>
      <c r="C2811">
        <v>59</v>
      </c>
      <c r="E2811" t="s">
        <v>25</v>
      </c>
      <c r="F2811">
        <v>1077288.69</v>
      </c>
      <c r="G2811">
        <v>1.1000000000000001</v>
      </c>
      <c r="H2811">
        <v>0.47899999999999998</v>
      </c>
      <c r="I2811" t="s">
        <v>26</v>
      </c>
      <c r="J2811">
        <v>1.1000000000000001</v>
      </c>
      <c r="K2811">
        <v>0.1</v>
      </c>
      <c r="L2811">
        <v>7</v>
      </c>
    </row>
    <row r="2812" spans="1:13" x14ac:dyDescent="0.2">
      <c r="C2812" t="s">
        <v>27</v>
      </c>
    </row>
    <row r="2813" spans="1:13" x14ac:dyDescent="0.2">
      <c r="C2813" t="s">
        <v>28</v>
      </c>
      <c r="D2813" t="s">
        <v>16</v>
      </c>
      <c r="E2813" t="s">
        <v>29</v>
      </c>
      <c r="F2813" t="s">
        <v>18</v>
      </c>
    </row>
    <row r="2814" spans="1:13" x14ac:dyDescent="0.2">
      <c r="C2814" t="b">
        <v>0</v>
      </c>
      <c r="D2814">
        <v>1095649.51</v>
      </c>
      <c r="E2814" t="s">
        <v>30</v>
      </c>
      <c r="F2814">
        <v>0.48699999999999999</v>
      </c>
    </row>
    <row r="2815" spans="1:13" x14ac:dyDescent="0.2">
      <c r="C2815" t="b">
        <v>0</v>
      </c>
      <c r="D2815">
        <v>1076796.1599999999</v>
      </c>
      <c r="E2815" t="s">
        <v>30</v>
      </c>
      <c r="F2815">
        <v>0.47899999999999998</v>
      </c>
    </row>
    <row r="2816" spans="1:13" x14ac:dyDescent="0.2">
      <c r="C2816" t="b">
        <v>0</v>
      </c>
      <c r="D2816">
        <v>1080932.72</v>
      </c>
      <c r="E2816" t="s">
        <v>30</v>
      </c>
      <c r="F2816">
        <v>0.48099999999999998</v>
      </c>
    </row>
    <row r="2817" spans="2:13" x14ac:dyDescent="0.2">
      <c r="C2817" t="b">
        <v>0</v>
      </c>
      <c r="D2817">
        <v>1086986.55</v>
      </c>
      <c r="E2817" t="s">
        <v>30</v>
      </c>
      <c r="F2817">
        <v>0.48299999999999998</v>
      </c>
    </row>
    <row r="2818" spans="2:13" x14ac:dyDescent="0.2">
      <c r="C2818" t="b">
        <v>0</v>
      </c>
      <c r="D2818">
        <v>1071955.92</v>
      </c>
      <c r="E2818" t="s">
        <v>30</v>
      </c>
      <c r="F2818">
        <v>0.47699999999999998</v>
      </c>
    </row>
    <row r="2819" spans="2:13" x14ac:dyDescent="0.2">
      <c r="C2819" t="b">
        <v>0</v>
      </c>
      <c r="D2819">
        <v>1064147.48</v>
      </c>
      <c r="E2819" t="s">
        <v>30</v>
      </c>
      <c r="F2819">
        <v>0.47299999999999998</v>
      </c>
    </row>
    <row r="2820" spans="2:13" x14ac:dyDescent="0.2">
      <c r="C2820" t="b">
        <v>0</v>
      </c>
      <c r="D2820">
        <v>1064552.48</v>
      </c>
      <c r="E2820" t="s">
        <v>30</v>
      </c>
      <c r="F2820">
        <v>0.47299999999999998</v>
      </c>
    </row>
    <row r="2821" spans="2:13" x14ac:dyDescent="0.2">
      <c r="B2821" t="s">
        <v>11</v>
      </c>
    </row>
    <row r="2822" spans="2:13" x14ac:dyDescent="0.2">
      <c r="B2822" t="s">
        <v>12</v>
      </c>
      <c r="C2822" t="s">
        <v>13</v>
      </c>
      <c r="D2822" t="s">
        <v>14</v>
      </c>
      <c r="E2822" t="s">
        <v>15</v>
      </c>
      <c r="F2822" t="s">
        <v>16</v>
      </c>
      <c r="G2822" t="s">
        <v>17</v>
      </c>
      <c r="H2822" t="s">
        <v>18</v>
      </c>
      <c r="I2822" t="s">
        <v>19</v>
      </c>
      <c r="J2822" t="s">
        <v>20</v>
      </c>
      <c r="K2822" t="s">
        <v>21</v>
      </c>
      <c r="L2822" t="s">
        <v>22</v>
      </c>
      <c r="M2822" t="s">
        <v>23</v>
      </c>
    </row>
    <row r="2823" spans="2:13" x14ac:dyDescent="0.2">
      <c r="B2823" t="s">
        <v>31</v>
      </c>
      <c r="C2823">
        <v>45</v>
      </c>
      <c r="E2823" t="s">
        <v>25</v>
      </c>
      <c r="F2823">
        <v>880.06</v>
      </c>
      <c r="G2823">
        <v>11.7</v>
      </c>
      <c r="K2823">
        <v>0.1</v>
      </c>
      <c r="L2823">
        <v>7</v>
      </c>
      <c r="M2823">
        <v>85.2</v>
      </c>
    </row>
    <row r="2824" spans="2:13" x14ac:dyDescent="0.2">
      <c r="C2824" t="s">
        <v>27</v>
      </c>
    </row>
    <row r="2825" spans="2:13" x14ac:dyDescent="0.2">
      <c r="C2825" t="s">
        <v>28</v>
      </c>
      <c r="D2825" t="s">
        <v>16</v>
      </c>
      <c r="E2825" t="s">
        <v>29</v>
      </c>
      <c r="F2825" t="s">
        <v>18</v>
      </c>
    </row>
    <row r="2826" spans="2:13" x14ac:dyDescent="0.2">
      <c r="C2826" t="b">
        <v>0</v>
      </c>
      <c r="D2826">
        <v>810.06</v>
      </c>
      <c r="E2826" t="s">
        <v>30</v>
      </c>
    </row>
    <row r="2827" spans="2:13" x14ac:dyDescent="0.2">
      <c r="C2827" t="b">
        <v>0</v>
      </c>
      <c r="D2827">
        <v>760.06</v>
      </c>
      <c r="E2827" t="s">
        <v>30</v>
      </c>
    </row>
    <row r="2828" spans="2:13" x14ac:dyDescent="0.2">
      <c r="C2828" t="b">
        <v>0</v>
      </c>
      <c r="D2828">
        <v>810.05</v>
      </c>
      <c r="E2828" t="s">
        <v>30</v>
      </c>
    </row>
    <row r="2829" spans="2:13" x14ac:dyDescent="0.2">
      <c r="C2829" t="b">
        <v>0</v>
      </c>
      <c r="D2829">
        <v>930.07</v>
      </c>
      <c r="E2829" t="s">
        <v>30</v>
      </c>
    </row>
    <row r="2830" spans="2:13" x14ac:dyDescent="0.2">
      <c r="C2830" t="b">
        <v>0</v>
      </c>
      <c r="D2830">
        <v>910.08</v>
      </c>
      <c r="E2830" t="s">
        <v>30</v>
      </c>
    </row>
    <row r="2831" spans="2:13" x14ac:dyDescent="0.2">
      <c r="C2831" t="b">
        <v>0</v>
      </c>
      <c r="D2831">
        <v>870.06</v>
      </c>
      <c r="E2831" t="s">
        <v>30</v>
      </c>
    </row>
    <row r="2832" spans="2:13" x14ac:dyDescent="0.2">
      <c r="C2832" t="b">
        <v>0</v>
      </c>
      <c r="D2832">
        <v>1070.07</v>
      </c>
      <c r="E2832" t="s">
        <v>30</v>
      </c>
    </row>
    <row r="2833" spans="2:13" x14ac:dyDescent="0.2">
      <c r="B2833" t="s">
        <v>11</v>
      </c>
    </row>
    <row r="2834" spans="2:13" x14ac:dyDescent="0.2">
      <c r="B2834" t="s">
        <v>12</v>
      </c>
      <c r="C2834" t="s">
        <v>13</v>
      </c>
      <c r="D2834" t="s">
        <v>14</v>
      </c>
      <c r="E2834" t="s">
        <v>15</v>
      </c>
      <c r="F2834" t="s">
        <v>16</v>
      </c>
      <c r="G2834" t="s">
        <v>17</v>
      </c>
      <c r="H2834" t="s">
        <v>18</v>
      </c>
      <c r="I2834" t="s">
        <v>19</v>
      </c>
      <c r="J2834" t="s">
        <v>20</v>
      </c>
      <c r="K2834" t="s">
        <v>21</v>
      </c>
      <c r="L2834" t="s">
        <v>22</v>
      </c>
      <c r="M2834" t="s">
        <v>23</v>
      </c>
    </row>
    <row r="2835" spans="2:13" x14ac:dyDescent="0.2">
      <c r="B2835" t="s">
        <v>32</v>
      </c>
      <c r="C2835">
        <v>72</v>
      </c>
      <c r="E2835" t="s">
        <v>25</v>
      </c>
      <c r="F2835">
        <v>750.05</v>
      </c>
      <c r="G2835">
        <v>12.5</v>
      </c>
      <c r="K2835">
        <v>0.1</v>
      </c>
      <c r="L2835">
        <v>7</v>
      </c>
      <c r="M2835">
        <v>100.6</v>
      </c>
    </row>
    <row r="2836" spans="2:13" x14ac:dyDescent="0.2">
      <c r="C2836" t="s">
        <v>27</v>
      </c>
    </row>
    <row r="2837" spans="2:13" x14ac:dyDescent="0.2">
      <c r="C2837" t="s">
        <v>28</v>
      </c>
      <c r="D2837" t="s">
        <v>16</v>
      </c>
      <c r="E2837" t="s">
        <v>29</v>
      </c>
      <c r="F2837" t="s">
        <v>18</v>
      </c>
    </row>
    <row r="2838" spans="2:13" x14ac:dyDescent="0.2">
      <c r="C2838" t="b">
        <v>0</v>
      </c>
      <c r="D2838">
        <v>640.04</v>
      </c>
      <c r="E2838" t="s">
        <v>30</v>
      </c>
    </row>
    <row r="2839" spans="2:13" x14ac:dyDescent="0.2">
      <c r="C2839" t="b">
        <v>0</v>
      </c>
      <c r="D2839">
        <v>720.05</v>
      </c>
      <c r="E2839" t="s">
        <v>30</v>
      </c>
    </row>
    <row r="2840" spans="2:13" x14ac:dyDescent="0.2">
      <c r="C2840" t="b">
        <v>0</v>
      </c>
      <c r="D2840">
        <v>710.05</v>
      </c>
      <c r="E2840" t="s">
        <v>30</v>
      </c>
    </row>
    <row r="2841" spans="2:13" x14ac:dyDescent="0.2">
      <c r="C2841" t="b">
        <v>0</v>
      </c>
      <c r="D2841">
        <v>740.05</v>
      </c>
      <c r="E2841" t="s">
        <v>30</v>
      </c>
    </row>
    <row r="2842" spans="2:13" x14ac:dyDescent="0.2">
      <c r="C2842" t="b">
        <v>0</v>
      </c>
      <c r="D2842">
        <v>780.05</v>
      </c>
      <c r="E2842" t="s">
        <v>30</v>
      </c>
    </row>
    <row r="2843" spans="2:13" x14ac:dyDescent="0.2">
      <c r="C2843" t="b">
        <v>0</v>
      </c>
      <c r="D2843">
        <v>720.05</v>
      </c>
      <c r="E2843" t="s">
        <v>30</v>
      </c>
    </row>
    <row r="2844" spans="2:13" x14ac:dyDescent="0.2">
      <c r="C2844" t="b">
        <v>0</v>
      </c>
      <c r="D2844">
        <v>940.06</v>
      </c>
      <c r="E2844" t="s">
        <v>30</v>
      </c>
    </row>
    <row r="2845" spans="2:13" x14ac:dyDescent="0.2">
      <c r="B2845" t="s">
        <v>11</v>
      </c>
    </row>
    <row r="2846" spans="2:13" x14ac:dyDescent="0.2">
      <c r="B2846" t="s">
        <v>12</v>
      </c>
      <c r="C2846" t="s">
        <v>13</v>
      </c>
      <c r="D2846" t="s">
        <v>14</v>
      </c>
      <c r="E2846" t="s">
        <v>15</v>
      </c>
      <c r="F2846" t="s">
        <v>16</v>
      </c>
      <c r="G2846" t="s">
        <v>17</v>
      </c>
      <c r="H2846" t="s">
        <v>18</v>
      </c>
      <c r="I2846" t="s">
        <v>19</v>
      </c>
      <c r="J2846" t="s">
        <v>20</v>
      </c>
      <c r="K2846" t="s">
        <v>21</v>
      </c>
      <c r="L2846" t="s">
        <v>22</v>
      </c>
      <c r="M2846" t="s">
        <v>23</v>
      </c>
    </row>
    <row r="2847" spans="2:13" x14ac:dyDescent="0.2">
      <c r="B2847" t="s">
        <v>33</v>
      </c>
      <c r="C2847">
        <v>89</v>
      </c>
      <c r="E2847" t="s">
        <v>25</v>
      </c>
      <c r="F2847">
        <v>3797.79</v>
      </c>
      <c r="G2847">
        <v>8.1999999999999993</v>
      </c>
      <c r="K2847">
        <v>0.1</v>
      </c>
      <c r="L2847">
        <v>7</v>
      </c>
      <c r="M2847">
        <v>96.3</v>
      </c>
    </row>
    <row r="2848" spans="2:13" x14ac:dyDescent="0.2">
      <c r="C2848" t="s">
        <v>27</v>
      </c>
    </row>
    <row r="2849" spans="1:13" x14ac:dyDescent="0.2">
      <c r="C2849" t="s">
        <v>28</v>
      </c>
      <c r="D2849" t="s">
        <v>16</v>
      </c>
      <c r="E2849" t="s">
        <v>29</v>
      </c>
      <c r="F2849" t="s">
        <v>18</v>
      </c>
    </row>
    <row r="2850" spans="1:13" x14ac:dyDescent="0.2">
      <c r="C2850" t="b">
        <v>0</v>
      </c>
      <c r="D2850">
        <v>3510.57</v>
      </c>
      <c r="E2850" t="s">
        <v>30</v>
      </c>
    </row>
    <row r="2851" spans="1:13" x14ac:dyDescent="0.2">
      <c r="C2851" t="b">
        <v>0</v>
      </c>
      <c r="D2851">
        <v>3530.55</v>
      </c>
      <c r="E2851" t="s">
        <v>30</v>
      </c>
    </row>
    <row r="2852" spans="1:13" x14ac:dyDescent="0.2">
      <c r="C2852" t="b">
        <v>0</v>
      </c>
      <c r="D2852">
        <v>4100.76</v>
      </c>
      <c r="E2852" t="s">
        <v>30</v>
      </c>
    </row>
    <row r="2853" spans="1:13" x14ac:dyDescent="0.2">
      <c r="C2853" t="b">
        <v>0</v>
      </c>
      <c r="D2853">
        <v>3460.57</v>
      </c>
      <c r="E2853" t="s">
        <v>30</v>
      </c>
    </row>
    <row r="2854" spans="1:13" x14ac:dyDescent="0.2">
      <c r="C2854" t="b">
        <v>0</v>
      </c>
      <c r="D2854">
        <v>4030.71</v>
      </c>
      <c r="E2854" t="s">
        <v>30</v>
      </c>
    </row>
    <row r="2855" spans="1:13" x14ac:dyDescent="0.2">
      <c r="C2855" t="b">
        <v>0</v>
      </c>
      <c r="D2855">
        <v>4200.79</v>
      </c>
      <c r="E2855" t="s">
        <v>30</v>
      </c>
    </row>
    <row r="2856" spans="1:13" x14ac:dyDescent="0.2">
      <c r="C2856" t="b">
        <v>0</v>
      </c>
      <c r="D2856">
        <v>3750.61</v>
      </c>
      <c r="E2856" t="s">
        <v>30</v>
      </c>
    </row>
    <row r="2857" spans="1:13" x14ac:dyDescent="0.2">
      <c r="A2857" t="s">
        <v>0</v>
      </c>
    </row>
    <row r="2858" spans="1:13" x14ac:dyDescent="0.2"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t="s">
        <v>6</v>
      </c>
    </row>
    <row r="2859" spans="1:13" x14ac:dyDescent="0.2">
      <c r="B2859" t="b">
        <v>0</v>
      </c>
      <c r="C2859" t="s">
        <v>207</v>
      </c>
      <c r="D2859" t="s">
        <v>208</v>
      </c>
      <c r="E2859" t="s">
        <v>0</v>
      </c>
      <c r="G2859" t="s">
        <v>209</v>
      </c>
    </row>
    <row r="2860" spans="1:13" x14ac:dyDescent="0.2">
      <c r="B2860" t="s">
        <v>11</v>
      </c>
    </row>
    <row r="2861" spans="1:13" x14ac:dyDescent="0.2">
      <c r="B2861" t="s">
        <v>12</v>
      </c>
      <c r="C2861" t="s">
        <v>13</v>
      </c>
      <c r="D2861" t="s">
        <v>14</v>
      </c>
      <c r="E2861" t="s">
        <v>15</v>
      </c>
      <c r="F2861" t="s">
        <v>16</v>
      </c>
      <c r="G2861" t="s">
        <v>17</v>
      </c>
      <c r="H2861" t="s">
        <v>18</v>
      </c>
      <c r="I2861" t="s">
        <v>19</v>
      </c>
      <c r="J2861" t="s">
        <v>20</v>
      </c>
      <c r="K2861" t="s">
        <v>21</v>
      </c>
      <c r="L2861" t="s">
        <v>22</v>
      </c>
      <c r="M2861" t="s">
        <v>23</v>
      </c>
    </row>
    <row r="2862" spans="1:13" x14ac:dyDescent="0.2">
      <c r="B2862" t="s">
        <v>24</v>
      </c>
      <c r="C2862">
        <v>59</v>
      </c>
      <c r="E2862" t="s">
        <v>25</v>
      </c>
      <c r="F2862">
        <v>11504051.619999999</v>
      </c>
      <c r="G2862">
        <v>0.8</v>
      </c>
      <c r="H2862">
        <v>5.117</v>
      </c>
      <c r="I2862" t="s">
        <v>26</v>
      </c>
      <c r="J2862">
        <v>0.8</v>
      </c>
      <c r="K2862">
        <v>0.1</v>
      </c>
      <c r="L2862">
        <v>7</v>
      </c>
    </row>
    <row r="2863" spans="1:13" x14ac:dyDescent="0.2">
      <c r="C2863" t="s">
        <v>27</v>
      </c>
    </row>
    <row r="2864" spans="1:13" x14ac:dyDescent="0.2">
      <c r="C2864" t="s">
        <v>28</v>
      </c>
      <c r="D2864" t="s">
        <v>16</v>
      </c>
      <c r="E2864" t="s">
        <v>29</v>
      </c>
      <c r="F2864" t="s">
        <v>18</v>
      </c>
    </row>
    <row r="2865" spans="2:13" x14ac:dyDescent="0.2">
      <c r="C2865" t="b">
        <v>0</v>
      </c>
      <c r="D2865">
        <v>11577753.58</v>
      </c>
      <c r="E2865" t="s">
        <v>67</v>
      </c>
      <c r="F2865">
        <v>5.15</v>
      </c>
    </row>
    <row r="2866" spans="2:13" x14ac:dyDescent="0.2">
      <c r="C2866" t="b">
        <v>0</v>
      </c>
      <c r="D2866">
        <v>11564468.58</v>
      </c>
      <c r="E2866" t="s">
        <v>67</v>
      </c>
      <c r="F2866">
        <v>5.1440000000000001</v>
      </c>
    </row>
    <row r="2867" spans="2:13" x14ac:dyDescent="0.2">
      <c r="C2867" t="b">
        <v>0</v>
      </c>
      <c r="D2867">
        <v>11365336.08</v>
      </c>
      <c r="E2867" t="s">
        <v>67</v>
      </c>
      <c r="F2867">
        <v>5.0549999999999997</v>
      </c>
    </row>
    <row r="2868" spans="2:13" x14ac:dyDescent="0.2">
      <c r="C2868" t="b">
        <v>0</v>
      </c>
      <c r="D2868">
        <v>11603663.58</v>
      </c>
      <c r="E2868" t="s">
        <v>67</v>
      </c>
      <c r="F2868">
        <v>5.1609999999999996</v>
      </c>
    </row>
    <row r="2869" spans="2:13" x14ac:dyDescent="0.2">
      <c r="C2869" t="b">
        <v>0</v>
      </c>
      <c r="D2869">
        <v>11546591.08</v>
      </c>
      <c r="E2869" t="s">
        <v>67</v>
      </c>
      <c r="F2869">
        <v>5.1360000000000001</v>
      </c>
    </row>
    <row r="2870" spans="2:13" x14ac:dyDescent="0.2">
      <c r="C2870" t="b">
        <v>0</v>
      </c>
      <c r="D2870">
        <v>11459449.83</v>
      </c>
      <c r="E2870" t="s">
        <v>67</v>
      </c>
      <c r="F2870">
        <v>5.0970000000000004</v>
      </c>
    </row>
    <row r="2871" spans="2:13" x14ac:dyDescent="0.2">
      <c r="C2871" t="b">
        <v>0</v>
      </c>
      <c r="D2871">
        <v>11411098.58</v>
      </c>
      <c r="E2871" t="s">
        <v>67</v>
      </c>
      <c r="F2871">
        <v>5.0759999999999996</v>
      </c>
    </row>
    <row r="2872" spans="2:13" x14ac:dyDescent="0.2">
      <c r="B2872" t="s">
        <v>11</v>
      </c>
    </row>
    <row r="2873" spans="2:13" x14ac:dyDescent="0.2">
      <c r="B2873" t="s">
        <v>12</v>
      </c>
      <c r="C2873" t="s">
        <v>13</v>
      </c>
      <c r="D2873" t="s">
        <v>14</v>
      </c>
      <c r="E2873" t="s">
        <v>15</v>
      </c>
      <c r="F2873" t="s">
        <v>16</v>
      </c>
      <c r="G2873" t="s">
        <v>17</v>
      </c>
      <c r="H2873" t="s">
        <v>18</v>
      </c>
      <c r="I2873" t="s">
        <v>19</v>
      </c>
      <c r="J2873" t="s">
        <v>20</v>
      </c>
      <c r="K2873" t="s">
        <v>21</v>
      </c>
      <c r="L2873" t="s">
        <v>22</v>
      </c>
      <c r="M2873" t="s">
        <v>23</v>
      </c>
    </row>
    <row r="2874" spans="2:13" x14ac:dyDescent="0.2">
      <c r="B2874" t="s">
        <v>31</v>
      </c>
      <c r="C2874">
        <v>45</v>
      </c>
      <c r="E2874" t="s">
        <v>25</v>
      </c>
      <c r="F2874">
        <v>1042.94</v>
      </c>
      <c r="G2874">
        <v>9.6</v>
      </c>
      <c r="K2874">
        <v>0.1</v>
      </c>
      <c r="L2874">
        <v>7</v>
      </c>
      <c r="M2874">
        <v>101</v>
      </c>
    </row>
    <row r="2875" spans="2:13" x14ac:dyDescent="0.2">
      <c r="C2875" t="s">
        <v>27</v>
      </c>
    </row>
    <row r="2876" spans="2:13" x14ac:dyDescent="0.2">
      <c r="C2876" t="s">
        <v>28</v>
      </c>
      <c r="D2876" t="s">
        <v>16</v>
      </c>
      <c r="E2876" t="s">
        <v>29</v>
      </c>
      <c r="F2876" t="s">
        <v>18</v>
      </c>
    </row>
    <row r="2877" spans="2:13" x14ac:dyDescent="0.2">
      <c r="C2877" t="b">
        <v>0</v>
      </c>
      <c r="D2877">
        <v>1170.0899999999999</v>
      </c>
      <c r="E2877" t="s">
        <v>30</v>
      </c>
    </row>
    <row r="2878" spans="2:13" x14ac:dyDescent="0.2">
      <c r="C2878" t="b">
        <v>0</v>
      </c>
      <c r="D2878">
        <v>880.06</v>
      </c>
      <c r="E2878" t="s">
        <v>30</v>
      </c>
    </row>
    <row r="2879" spans="2:13" x14ac:dyDescent="0.2">
      <c r="C2879" t="b">
        <v>0</v>
      </c>
      <c r="D2879">
        <v>1010.08</v>
      </c>
      <c r="E2879" t="s">
        <v>30</v>
      </c>
    </row>
    <row r="2880" spans="2:13" x14ac:dyDescent="0.2">
      <c r="C2880" t="b">
        <v>0</v>
      </c>
      <c r="D2880">
        <v>1040.08</v>
      </c>
      <c r="E2880" t="s">
        <v>30</v>
      </c>
    </row>
    <row r="2881" spans="2:13" x14ac:dyDescent="0.2">
      <c r="C2881" t="b">
        <v>0</v>
      </c>
      <c r="D2881">
        <v>1160.0899999999999</v>
      </c>
      <c r="E2881" t="s">
        <v>30</v>
      </c>
    </row>
    <row r="2882" spans="2:13" x14ac:dyDescent="0.2">
      <c r="C2882" t="b">
        <v>0</v>
      </c>
      <c r="D2882">
        <v>990.07</v>
      </c>
      <c r="E2882" t="s">
        <v>30</v>
      </c>
    </row>
    <row r="2883" spans="2:13" x14ac:dyDescent="0.2">
      <c r="C2883" t="b">
        <v>0</v>
      </c>
      <c r="D2883">
        <v>1050.08</v>
      </c>
      <c r="E2883" t="s">
        <v>30</v>
      </c>
    </row>
    <row r="2884" spans="2:13" x14ac:dyDescent="0.2">
      <c r="B2884" t="s">
        <v>11</v>
      </c>
    </row>
    <row r="2885" spans="2:13" x14ac:dyDescent="0.2">
      <c r="B2885" t="s">
        <v>12</v>
      </c>
      <c r="C2885" t="s">
        <v>13</v>
      </c>
      <c r="D2885" t="s">
        <v>14</v>
      </c>
      <c r="E2885" t="s">
        <v>15</v>
      </c>
      <c r="F2885" t="s">
        <v>16</v>
      </c>
      <c r="G2885" t="s">
        <v>17</v>
      </c>
      <c r="H2885" t="s">
        <v>18</v>
      </c>
      <c r="I2885" t="s">
        <v>19</v>
      </c>
      <c r="J2885" t="s">
        <v>20</v>
      </c>
      <c r="K2885" t="s">
        <v>21</v>
      </c>
      <c r="L2885" t="s">
        <v>22</v>
      </c>
      <c r="M2885" t="s">
        <v>23</v>
      </c>
    </row>
    <row r="2886" spans="2:13" x14ac:dyDescent="0.2">
      <c r="B2886" t="s">
        <v>32</v>
      </c>
      <c r="C2886">
        <v>72</v>
      </c>
      <c r="E2886" t="s">
        <v>25</v>
      </c>
      <c r="F2886">
        <v>777.19</v>
      </c>
      <c r="G2886">
        <v>10.6</v>
      </c>
      <c r="K2886">
        <v>0.1</v>
      </c>
      <c r="L2886">
        <v>7</v>
      </c>
      <c r="M2886">
        <v>104.2</v>
      </c>
    </row>
    <row r="2887" spans="2:13" x14ac:dyDescent="0.2">
      <c r="C2887" t="s">
        <v>27</v>
      </c>
    </row>
    <row r="2888" spans="2:13" x14ac:dyDescent="0.2">
      <c r="C2888" t="s">
        <v>28</v>
      </c>
      <c r="D2888" t="s">
        <v>16</v>
      </c>
      <c r="E2888" t="s">
        <v>29</v>
      </c>
      <c r="F2888" t="s">
        <v>18</v>
      </c>
    </row>
    <row r="2889" spans="2:13" x14ac:dyDescent="0.2">
      <c r="C2889" t="b">
        <v>0</v>
      </c>
      <c r="D2889">
        <v>930.07</v>
      </c>
      <c r="E2889" t="s">
        <v>30</v>
      </c>
    </row>
    <row r="2890" spans="2:13" x14ac:dyDescent="0.2">
      <c r="C2890" t="b">
        <v>0</v>
      </c>
      <c r="D2890">
        <v>740.05</v>
      </c>
      <c r="E2890" t="s">
        <v>30</v>
      </c>
    </row>
    <row r="2891" spans="2:13" x14ac:dyDescent="0.2">
      <c r="C2891" t="b">
        <v>0</v>
      </c>
      <c r="D2891">
        <v>670.04</v>
      </c>
      <c r="E2891" t="s">
        <v>30</v>
      </c>
    </row>
    <row r="2892" spans="2:13" x14ac:dyDescent="0.2">
      <c r="C2892" t="b">
        <v>0</v>
      </c>
      <c r="D2892">
        <v>810.05</v>
      </c>
      <c r="E2892" t="s">
        <v>30</v>
      </c>
    </row>
    <row r="2893" spans="2:13" x14ac:dyDescent="0.2">
      <c r="C2893" t="b">
        <v>0</v>
      </c>
      <c r="D2893">
        <v>780.05</v>
      </c>
      <c r="E2893" t="s">
        <v>30</v>
      </c>
    </row>
    <row r="2894" spans="2:13" x14ac:dyDescent="0.2">
      <c r="C2894" t="b">
        <v>0</v>
      </c>
      <c r="D2894">
        <v>790.05</v>
      </c>
      <c r="E2894" t="s">
        <v>30</v>
      </c>
    </row>
    <row r="2895" spans="2:13" x14ac:dyDescent="0.2">
      <c r="C2895" t="b">
        <v>0</v>
      </c>
      <c r="D2895">
        <v>720.04</v>
      </c>
      <c r="E2895" t="s">
        <v>30</v>
      </c>
    </row>
    <row r="2896" spans="2:13" x14ac:dyDescent="0.2">
      <c r="B2896" t="s">
        <v>11</v>
      </c>
    </row>
    <row r="2897" spans="1:13" x14ac:dyDescent="0.2">
      <c r="B2897" t="s">
        <v>12</v>
      </c>
      <c r="C2897" t="s">
        <v>13</v>
      </c>
      <c r="D2897" t="s">
        <v>14</v>
      </c>
      <c r="E2897" t="s">
        <v>15</v>
      </c>
      <c r="F2897" t="s">
        <v>16</v>
      </c>
      <c r="G2897" t="s">
        <v>17</v>
      </c>
      <c r="H2897" t="s">
        <v>18</v>
      </c>
      <c r="I2897" t="s">
        <v>19</v>
      </c>
      <c r="J2897" t="s">
        <v>20</v>
      </c>
      <c r="K2897" t="s">
        <v>21</v>
      </c>
      <c r="L2897" t="s">
        <v>22</v>
      </c>
      <c r="M2897" t="s">
        <v>23</v>
      </c>
    </row>
    <row r="2898" spans="1:13" x14ac:dyDescent="0.2">
      <c r="B2898" t="s">
        <v>33</v>
      </c>
      <c r="C2898">
        <v>89</v>
      </c>
      <c r="E2898" t="s">
        <v>25</v>
      </c>
      <c r="F2898">
        <v>4675.26</v>
      </c>
      <c r="G2898">
        <v>3.8</v>
      </c>
      <c r="K2898">
        <v>0.1</v>
      </c>
      <c r="L2898">
        <v>7</v>
      </c>
      <c r="M2898">
        <v>118.5</v>
      </c>
    </row>
    <row r="2899" spans="1:13" x14ac:dyDescent="0.2">
      <c r="C2899" t="s">
        <v>27</v>
      </c>
    </row>
    <row r="2900" spans="1:13" x14ac:dyDescent="0.2">
      <c r="C2900" t="s">
        <v>28</v>
      </c>
      <c r="D2900" t="s">
        <v>16</v>
      </c>
      <c r="E2900" t="s">
        <v>29</v>
      </c>
      <c r="F2900" t="s">
        <v>18</v>
      </c>
    </row>
    <row r="2901" spans="1:13" x14ac:dyDescent="0.2">
      <c r="C2901" t="b">
        <v>0</v>
      </c>
      <c r="D2901">
        <v>4651</v>
      </c>
      <c r="E2901" t="s">
        <v>30</v>
      </c>
    </row>
    <row r="2902" spans="1:13" x14ac:dyDescent="0.2">
      <c r="C2902" t="b">
        <v>0</v>
      </c>
      <c r="D2902">
        <v>4630.91</v>
      </c>
      <c r="E2902" t="s">
        <v>30</v>
      </c>
    </row>
    <row r="2903" spans="1:13" x14ac:dyDescent="0.2">
      <c r="C2903" t="b">
        <v>0</v>
      </c>
      <c r="D2903">
        <v>4971.09</v>
      </c>
      <c r="E2903" t="s">
        <v>30</v>
      </c>
    </row>
    <row r="2904" spans="1:13" x14ac:dyDescent="0.2">
      <c r="C2904" t="b">
        <v>0</v>
      </c>
      <c r="D2904">
        <v>4490.88</v>
      </c>
      <c r="E2904" t="s">
        <v>30</v>
      </c>
    </row>
    <row r="2905" spans="1:13" x14ac:dyDescent="0.2">
      <c r="C2905" t="b">
        <v>0</v>
      </c>
      <c r="D2905">
        <v>4610.9399999999996</v>
      </c>
      <c r="E2905" t="s">
        <v>30</v>
      </c>
    </row>
    <row r="2906" spans="1:13" x14ac:dyDescent="0.2">
      <c r="C2906" t="b">
        <v>0</v>
      </c>
      <c r="D2906">
        <v>4510.88</v>
      </c>
      <c r="E2906" t="s">
        <v>30</v>
      </c>
    </row>
    <row r="2907" spans="1:13" x14ac:dyDescent="0.2">
      <c r="C2907" t="b">
        <v>0</v>
      </c>
      <c r="D2907">
        <v>4861.1400000000003</v>
      </c>
      <c r="E2907" t="s">
        <v>30</v>
      </c>
    </row>
    <row r="2908" spans="1:13" x14ac:dyDescent="0.2">
      <c r="A2908" t="s">
        <v>0</v>
      </c>
    </row>
    <row r="2909" spans="1:13" x14ac:dyDescent="0.2"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</row>
    <row r="2910" spans="1:13" x14ac:dyDescent="0.2">
      <c r="B2910" t="b">
        <v>0</v>
      </c>
      <c r="C2910" t="s">
        <v>210</v>
      </c>
      <c r="D2910" t="s">
        <v>211</v>
      </c>
      <c r="E2910" t="s">
        <v>9</v>
      </c>
      <c r="G2910" t="s">
        <v>212</v>
      </c>
    </row>
    <row r="2911" spans="1:13" x14ac:dyDescent="0.2">
      <c r="B2911" t="s">
        <v>11</v>
      </c>
    </row>
    <row r="2912" spans="1:13" x14ac:dyDescent="0.2">
      <c r="B2912" t="s">
        <v>12</v>
      </c>
      <c r="C2912" t="s">
        <v>13</v>
      </c>
      <c r="D2912" t="s">
        <v>14</v>
      </c>
      <c r="E2912" t="s">
        <v>15</v>
      </c>
      <c r="F2912" t="s">
        <v>16</v>
      </c>
      <c r="G2912" t="s">
        <v>17</v>
      </c>
      <c r="H2912" t="s">
        <v>18</v>
      </c>
      <c r="I2912" t="s">
        <v>19</v>
      </c>
      <c r="J2912" t="s">
        <v>20</v>
      </c>
      <c r="K2912" t="s">
        <v>21</v>
      </c>
      <c r="L2912" t="s">
        <v>22</v>
      </c>
      <c r="M2912" t="s">
        <v>23</v>
      </c>
    </row>
    <row r="2913" spans="2:13" x14ac:dyDescent="0.2">
      <c r="B2913" t="s">
        <v>24</v>
      </c>
      <c r="C2913">
        <v>59</v>
      </c>
      <c r="E2913" t="s">
        <v>25</v>
      </c>
      <c r="F2913">
        <v>695.76</v>
      </c>
      <c r="G2913">
        <v>9.1</v>
      </c>
      <c r="H2913">
        <v>0</v>
      </c>
      <c r="I2913" t="s">
        <v>26</v>
      </c>
      <c r="J2913">
        <v>9.9</v>
      </c>
      <c r="K2913">
        <v>0.1</v>
      </c>
      <c r="L2913">
        <v>7</v>
      </c>
    </row>
    <row r="2914" spans="2:13" x14ac:dyDescent="0.2">
      <c r="C2914" t="s">
        <v>27</v>
      </c>
    </row>
    <row r="2915" spans="2:13" x14ac:dyDescent="0.2">
      <c r="C2915" t="s">
        <v>28</v>
      </c>
      <c r="D2915" t="s">
        <v>16</v>
      </c>
      <c r="E2915" t="s">
        <v>29</v>
      </c>
      <c r="F2915" t="s">
        <v>18</v>
      </c>
    </row>
    <row r="2916" spans="2:13" x14ac:dyDescent="0.2">
      <c r="C2916" t="b">
        <v>0</v>
      </c>
      <c r="D2916">
        <v>720.04</v>
      </c>
      <c r="E2916" t="s">
        <v>30</v>
      </c>
      <c r="F2916">
        <v>0</v>
      </c>
    </row>
    <row r="2917" spans="2:13" x14ac:dyDescent="0.2">
      <c r="C2917" t="b">
        <v>0</v>
      </c>
      <c r="D2917">
        <v>720.05</v>
      </c>
      <c r="E2917" t="s">
        <v>30</v>
      </c>
      <c r="F2917">
        <v>0</v>
      </c>
    </row>
    <row r="2918" spans="2:13" x14ac:dyDescent="0.2">
      <c r="C2918" t="b">
        <v>0</v>
      </c>
      <c r="D2918">
        <v>800.05</v>
      </c>
      <c r="E2918" t="s">
        <v>30</v>
      </c>
      <c r="F2918">
        <v>0</v>
      </c>
    </row>
    <row r="2919" spans="2:13" x14ac:dyDescent="0.2">
      <c r="C2919" t="b">
        <v>0</v>
      </c>
      <c r="D2919">
        <v>590.04</v>
      </c>
      <c r="E2919" t="s">
        <v>30</v>
      </c>
      <c r="F2919">
        <v>0</v>
      </c>
    </row>
    <row r="2920" spans="2:13" x14ac:dyDescent="0.2">
      <c r="C2920" t="b">
        <v>0</v>
      </c>
      <c r="D2920">
        <v>670.04</v>
      </c>
      <c r="E2920" t="s">
        <v>30</v>
      </c>
      <c r="F2920">
        <v>0</v>
      </c>
    </row>
    <row r="2921" spans="2:13" x14ac:dyDescent="0.2">
      <c r="C2921" t="b">
        <v>0</v>
      </c>
      <c r="D2921">
        <v>690.04</v>
      </c>
      <c r="E2921" t="s">
        <v>30</v>
      </c>
      <c r="F2921">
        <v>0</v>
      </c>
    </row>
    <row r="2922" spans="2:13" x14ac:dyDescent="0.2">
      <c r="C2922" t="b">
        <v>0</v>
      </c>
      <c r="D2922">
        <v>680.05</v>
      </c>
      <c r="E2922" t="s">
        <v>30</v>
      </c>
      <c r="F2922">
        <v>0</v>
      </c>
    </row>
    <row r="2923" spans="2:13" x14ac:dyDescent="0.2">
      <c r="B2923" t="s">
        <v>11</v>
      </c>
    </row>
    <row r="2924" spans="2:13" x14ac:dyDescent="0.2">
      <c r="B2924" t="s">
        <v>12</v>
      </c>
      <c r="C2924" t="s">
        <v>13</v>
      </c>
      <c r="D2924" t="s">
        <v>14</v>
      </c>
      <c r="E2924" t="s">
        <v>15</v>
      </c>
      <c r="F2924" t="s">
        <v>16</v>
      </c>
      <c r="G2924" t="s">
        <v>17</v>
      </c>
      <c r="H2924" t="s">
        <v>18</v>
      </c>
      <c r="I2924" t="s">
        <v>19</v>
      </c>
      <c r="J2924" t="s">
        <v>20</v>
      </c>
      <c r="K2924" t="s">
        <v>21</v>
      </c>
      <c r="L2924" t="s">
        <v>22</v>
      </c>
      <c r="M2924" t="s">
        <v>23</v>
      </c>
    </row>
    <row r="2925" spans="2:13" x14ac:dyDescent="0.2">
      <c r="B2925" t="s">
        <v>31</v>
      </c>
      <c r="C2925">
        <v>45</v>
      </c>
      <c r="E2925" t="s">
        <v>25</v>
      </c>
      <c r="F2925">
        <v>875.77</v>
      </c>
      <c r="G2925">
        <v>9.1</v>
      </c>
      <c r="K2925">
        <v>0.1</v>
      </c>
      <c r="L2925">
        <v>7</v>
      </c>
      <c r="M2925">
        <v>84.8</v>
      </c>
    </row>
    <row r="2926" spans="2:13" x14ac:dyDescent="0.2">
      <c r="C2926" t="s">
        <v>27</v>
      </c>
    </row>
    <row r="2927" spans="2:13" x14ac:dyDescent="0.2">
      <c r="C2927" t="s">
        <v>28</v>
      </c>
      <c r="D2927" t="s">
        <v>16</v>
      </c>
      <c r="E2927" t="s">
        <v>29</v>
      </c>
      <c r="F2927" t="s">
        <v>18</v>
      </c>
    </row>
    <row r="2928" spans="2:13" x14ac:dyDescent="0.2">
      <c r="C2928" t="b">
        <v>0</v>
      </c>
      <c r="D2928">
        <v>840.05</v>
      </c>
      <c r="E2928" t="s">
        <v>30</v>
      </c>
    </row>
    <row r="2929" spans="2:13" x14ac:dyDescent="0.2">
      <c r="C2929" t="b">
        <v>0</v>
      </c>
      <c r="D2929">
        <v>940.06</v>
      </c>
      <c r="E2929" t="s">
        <v>30</v>
      </c>
    </row>
    <row r="2930" spans="2:13" x14ac:dyDescent="0.2">
      <c r="C2930" t="b">
        <v>0</v>
      </c>
      <c r="D2930">
        <v>850.05</v>
      </c>
      <c r="E2930" t="s">
        <v>30</v>
      </c>
    </row>
    <row r="2931" spans="2:13" x14ac:dyDescent="0.2">
      <c r="C2931" t="b">
        <v>0</v>
      </c>
      <c r="D2931">
        <v>730.04</v>
      </c>
      <c r="E2931" t="s">
        <v>30</v>
      </c>
    </row>
    <row r="2932" spans="2:13" x14ac:dyDescent="0.2">
      <c r="C2932" t="b">
        <v>0</v>
      </c>
      <c r="D2932">
        <v>970.07</v>
      </c>
      <c r="E2932" t="s">
        <v>30</v>
      </c>
    </row>
    <row r="2933" spans="2:13" x14ac:dyDescent="0.2">
      <c r="C2933" t="b">
        <v>0</v>
      </c>
      <c r="D2933">
        <v>920.07</v>
      </c>
      <c r="E2933" t="s">
        <v>30</v>
      </c>
    </row>
    <row r="2934" spans="2:13" x14ac:dyDescent="0.2">
      <c r="C2934" t="b">
        <v>0</v>
      </c>
      <c r="D2934">
        <v>880.06</v>
      </c>
      <c r="E2934" t="s">
        <v>30</v>
      </c>
    </row>
    <row r="2935" spans="2:13" x14ac:dyDescent="0.2">
      <c r="B2935" t="s">
        <v>11</v>
      </c>
    </row>
    <row r="2936" spans="2:13" x14ac:dyDescent="0.2">
      <c r="B2936" t="s">
        <v>12</v>
      </c>
      <c r="C2936" t="s">
        <v>13</v>
      </c>
      <c r="D2936" t="s">
        <v>14</v>
      </c>
      <c r="E2936" t="s">
        <v>15</v>
      </c>
      <c r="F2936" t="s">
        <v>16</v>
      </c>
      <c r="G2936" t="s">
        <v>17</v>
      </c>
      <c r="H2936" t="s">
        <v>18</v>
      </c>
      <c r="I2936" t="s">
        <v>19</v>
      </c>
      <c r="J2936" t="s">
        <v>20</v>
      </c>
      <c r="K2936" t="s">
        <v>21</v>
      </c>
      <c r="L2936" t="s">
        <v>22</v>
      </c>
      <c r="M2936" t="s">
        <v>23</v>
      </c>
    </row>
    <row r="2937" spans="2:13" x14ac:dyDescent="0.2">
      <c r="B2937" t="s">
        <v>32</v>
      </c>
      <c r="C2937">
        <v>72</v>
      </c>
      <c r="E2937" t="s">
        <v>25</v>
      </c>
      <c r="F2937">
        <v>664.33</v>
      </c>
      <c r="G2937">
        <v>8.5</v>
      </c>
      <c r="K2937">
        <v>0.1</v>
      </c>
      <c r="L2937">
        <v>7</v>
      </c>
      <c r="M2937">
        <v>89.1</v>
      </c>
    </row>
    <row r="2938" spans="2:13" x14ac:dyDescent="0.2">
      <c r="C2938" t="s">
        <v>27</v>
      </c>
    </row>
    <row r="2939" spans="2:13" x14ac:dyDescent="0.2">
      <c r="C2939" t="s">
        <v>28</v>
      </c>
      <c r="D2939" t="s">
        <v>16</v>
      </c>
      <c r="E2939" t="s">
        <v>29</v>
      </c>
      <c r="F2939" t="s">
        <v>18</v>
      </c>
    </row>
    <row r="2940" spans="2:13" x14ac:dyDescent="0.2">
      <c r="C2940" t="b">
        <v>0</v>
      </c>
      <c r="D2940">
        <v>720.05</v>
      </c>
      <c r="E2940" t="s">
        <v>30</v>
      </c>
    </row>
    <row r="2941" spans="2:13" x14ac:dyDescent="0.2">
      <c r="C2941" t="b">
        <v>0</v>
      </c>
      <c r="D2941">
        <v>640.04</v>
      </c>
      <c r="E2941" t="s">
        <v>30</v>
      </c>
    </row>
    <row r="2942" spans="2:13" x14ac:dyDescent="0.2">
      <c r="C2942" t="b">
        <v>0</v>
      </c>
      <c r="D2942">
        <v>620.04</v>
      </c>
      <c r="E2942" t="s">
        <v>30</v>
      </c>
    </row>
    <row r="2943" spans="2:13" x14ac:dyDescent="0.2">
      <c r="C2943" t="b">
        <v>0</v>
      </c>
      <c r="D2943">
        <v>730.04</v>
      </c>
      <c r="E2943" t="s">
        <v>30</v>
      </c>
    </row>
    <row r="2944" spans="2:13" x14ac:dyDescent="0.2">
      <c r="C2944" t="b">
        <v>0</v>
      </c>
      <c r="D2944">
        <v>610.03</v>
      </c>
      <c r="E2944" t="s">
        <v>30</v>
      </c>
    </row>
    <row r="2945" spans="1:13" x14ac:dyDescent="0.2">
      <c r="C2945" t="b">
        <v>0</v>
      </c>
      <c r="D2945">
        <v>720.05</v>
      </c>
      <c r="E2945" t="s">
        <v>30</v>
      </c>
    </row>
    <row r="2946" spans="1:13" x14ac:dyDescent="0.2">
      <c r="C2946" t="b">
        <v>0</v>
      </c>
      <c r="D2946">
        <v>610.04</v>
      </c>
      <c r="E2946" t="s">
        <v>30</v>
      </c>
    </row>
    <row r="2947" spans="1:13" x14ac:dyDescent="0.2">
      <c r="B2947" t="s">
        <v>11</v>
      </c>
    </row>
    <row r="2948" spans="1:13" x14ac:dyDescent="0.2">
      <c r="B2948" t="s">
        <v>12</v>
      </c>
      <c r="C2948" t="s">
        <v>13</v>
      </c>
      <c r="D2948" t="s">
        <v>14</v>
      </c>
      <c r="E2948" t="s">
        <v>15</v>
      </c>
      <c r="F2948" t="s">
        <v>16</v>
      </c>
      <c r="G2948" t="s">
        <v>17</v>
      </c>
      <c r="H2948" t="s">
        <v>18</v>
      </c>
      <c r="I2948" t="s">
        <v>19</v>
      </c>
      <c r="J2948" t="s">
        <v>20</v>
      </c>
      <c r="K2948" t="s">
        <v>21</v>
      </c>
      <c r="L2948" t="s">
        <v>22</v>
      </c>
      <c r="M2948" t="s">
        <v>23</v>
      </c>
    </row>
    <row r="2949" spans="1:13" x14ac:dyDescent="0.2">
      <c r="B2949" t="s">
        <v>33</v>
      </c>
      <c r="C2949">
        <v>89</v>
      </c>
      <c r="E2949" t="s">
        <v>25</v>
      </c>
      <c r="F2949">
        <v>3433.4</v>
      </c>
      <c r="G2949">
        <v>5.6</v>
      </c>
      <c r="K2949">
        <v>0.1</v>
      </c>
      <c r="L2949">
        <v>7</v>
      </c>
      <c r="M2949">
        <v>87</v>
      </c>
    </row>
    <row r="2950" spans="1:13" x14ac:dyDescent="0.2">
      <c r="C2950" t="s">
        <v>27</v>
      </c>
    </row>
    <row r="2951" spans="1:13" x14ac:dyDescent="0.2">
      <c r="C2951" t="s">
        <v>28</v>
      </c>
      <c r="D2951" t="s">
        <v>16</v>
      </c>
      <c r="E2951" t="s">
        <v>29</v>
      </c>
      <c r="F2951" t="s">
        <v>18</v>
      </c>
    </row>
    <row r="2952" spans="1:13" x14ac:dyDescent="0.2">
      <c r="C2952" t="b">
        <v>0</v>
      </c>
      <c r="D2952">
        <v>3290.5</v>
      </c>
      <c r="E2952" t="s">
        <v>30</v>
      </c>
    </row>
    <row r="2953" spans="1:13" x14ac:dyDescent="0.2">
      <c r="C2953" t="b">
        <v>0</v>
      </c>
      <c r="D2953">
        <v>3810.64</v>
      </c>
      <c r="E2953" t="s">
        <v>30</v>
      </c>
    </row>
    <row r="2954" spans="1:13" x14ac:dyDescent="0.2">
      <c r="C2954" t="b">
        <v>0</v>
      </c>
      <c r="D2954">
        <v>3250.49</v>
      </c>
      <c r="E2954" t="s">
        <v>30</v>
      </c>
    </row>
    <row r="2955" spans="1:13" x14ac:dyDescent="0.2">
      <c r="C2955" t="b">
        <v>0</v>
      </c>
      <c r="D2955">
        <v>3420.55</v>
      </c>
      <c r="E2955" t="s">
        <v>30</v>
      </c>
    </row>
    <row r="2956" spans="1:13" x14ac:dyDescent="0.2">
      <c r="C2956" t="b">
        <v>0</v>
      </c>
      <c r="D2956">
        <v>3320.5</v>
      </c>
      <c r="E2956" t="s">
        <v>30</v>
      </c>
    </row>
    <row r="2957" spans="1:13" x14ac:dyDescent="0.2">
      <c r="C2957" t="b">
        <v>0</v>
      </c>
      <c r="D2957">
        <v>3390.53</v>
      </c>
      <c r="E2957" t="s">
        <v>30</v>
      </c>
    </row>
    <row r="2958" spans="1:13" x14ac:dyDescent="0.2">
      <c r="C2958" t="b">
        <v>0</v>
      </c>
      <c r="D2958">
        <v>3550.59</v>
      </c>
      <c r="E2958" t="s">
        <v>30</v>
      </c>
    </row>
    <row r="2959" spans="1:13" x14ac:dyDescent="0.2">
      <c r="A2959" t="s">
        <v>0</v>
      </c>
    </row>
    <row r="2960" spans="1:13" x14ac:dyDescent="0.2">
      <c r="B2960" t="s">
        <v>1</v>
      </c>
      <c r="C2960" t="s">
        <v>2</v>
      </c>
      <c r="D2960" t="s">
        <v>3</v>
      </c>
      <c r="E2960" t="s">
        <v>4</v>
      </c>
      <c r="F2960" t="s">
        <v>5</v>
      </c>
      <c r="G2960" t="s">
        <v>6</v>
      </c>
    </row>
    <row r="2961" spans="2:13" x14ac:dyDescent="0.2">
      <c r="B2961" t="b">
        <v>0</v>
      </c>
      <c r="C2961" t="s">
        <v>213</v>
      </c>
      <c r="D2961" t="s">
        <v>214</v>
      </c>
      <c r="E2961" t="s">
        <v>9</v>
      </c>
      <c r="G2961" t="s">
        <v>212</v>
      </c>
    </row>
    <row r="2962" spans="2:13" x14ac:dyDescent="0.2">
      <c r="B2962" t="s">
        <v>11</v>
      </c>
    </row>
    <row r="2963" spans="2:13" x14ac:dyDescent="0.2">
      <c r="B2963" t="s">
        <v>12</v>
      </c>
      <c r="C2963" t="s">
        <v>13</v>
      </c>
      <c r="D2963" t="s">
        <v>14</v>
      </c>
      <c r="E2963" t="s">
        <v>15</v>
      </c>
      <c r="F2963" t="s">
        <v>16</v>
      </c>
      <c r="G2963" t="s">
        <v>17</v>
      </c>
      <c r="H2963" t="s">
        <v>18</v>
      </c>
      <c r="I2963" t="s">
        <v>19</v>
      </c>
      <c r="J2963" t="s">
        <v>20</v>
      </c>
      <c r="K2963" t="s">
        <v>21</v>
      </c>
      <c r="L2963" t="s">
        <v>22</v>
      </c>
      <c r="M2963" t="s">
        <v>23</v>
      </c>
    </row>
    <row r="2964" spans="2:13" x14ac:dyDescent="0.2">
      <c r="B2964" t="s">
        <v>24</v>
      </c>
      <c r="C2964">
        <v>59</v>
      </c>
      <c r="E2964" t="s">
        <v>25</v>
      </c>
      <c r="F2964">
        <v>278.58999999999997</v>
      </c>
      <c r="G2964">
        <v>28.9</v>
      </c>
      <c r="H2964">
        <v>0</v>
      </c>
      <c r="I2964" t="s">
        <v>26</v>
      </c>
      <c r="J2964">
        <v>36.1</v>
      </c>
      <c r="K2964">
        <v>0.1</v>
      </c>
      <c r="L2964">
        <v>7</v>
      </c>
    </row>
    <row r="2965" spans="2:13" x14ac:dyDescent="0.2">
      <c r="C2965" t="s">
        <v>27</v>
      </c>
    </row>
    <row r="2966" spans="2:13" x14ac:dyDescent="0.2">
      <c r="C2966" t="s">
        <v>28</v>
      </c>
      <c r="D2966" t="s">
        <v>16</v>
      </c>
      <c r="E2966" t="s">
        <v>29</v>
      </c>
      <c r="F2966" t="s">
        <v>18</v>
      </c>
    </row>
    <row r="2967" spans="2:13" x14ac:dyDescent="0.2">
      <c r="C2967" t="b">
        <v>0</v>
      </c>
      <c r="D2967">
        <v>260.01</v>
      </c>
      <c r="E2967" t="s">
        <v>30</v>
      </c>
      <c r="F2967">
        <v>0</v>
      </c>
    </row>
    <row r="2968" spans="2:13" x14ac:dyDescent="0.2">
      <c r="C2968" t="b">
        <v>0</v>
      </c>
      <c r="D2968">
        <v>360.02</v>
      </c>
      <c r="E2968" t="s">
        <v>30</v>
      </c>
      <c r="F2968">
        <v>0</v>
      </c>
    </row>
    <row r="2969" spans="2:13" x14ac:dyDescent="0.2">
      <c r="C2969" t="b">
        <v>0</v>
      </c>
      <c r="D2969">
        <v>180.01</v>
      </c>
      <c r="E2969" t="s">
        <v>30</v>
      </c>
      <c r="F2969">
        <v>0</v>
      </c>
    </row>
    <row r="2970" spans="2:13" x14ac:dyDescent="0.2">
      <c r="C2970" t="b">
        <v>0</v>
      </c>
      <c r="D2970">
        <v>220.01</v>
      </c>
      <c r="E2970" t="s">
        <v>30</v>
      </c>
      <c r="F2970">
        <v>0</v>
      </c>
    </row>
    <row r="2971" spans="2:13" x14ac:dyDescent="0.2">
      <c r="C2971" t="b">
        <v>0</v>
      </c>
      <c r="D2971">
        <v>380.02</v>
      </c>
      <c r="E2971" t="s">
        <v>30</v>
      </c>
      <c r="F2971">
        <v>0</v>
      </c>
    </row>
    <row r="2972" spans="2:13" x14ac:dyDescent="0.2">
      <c r="C2972" t="b">
        <v>0</v>
      </c>
      <c r="D2972">
        <v>210.01</v>
      </c>
      <c r="E2972" t="s">
        <v>30</v>
      </c>
      <c r="F2972">
        <v>0</v>
      </c>
    </row>
    <row r="2973" spans="2:13" x14ac:dyDescent="0.2">
      <c r="C2973" t="b">
        <v>0</v>
      </c>
      <c r="D2973">
        <v>340.02</v>
      </c>
      <c r="E2973" t="s">
        <v>30</v>
      </c>
      <c r="F2973">
        <v>0</v>
      </c>
    </row>
    <row r="2974" spans="2:13" x14ac:dyDescent="0.2">
      <c r="B2974" t="s">
        <v>11</v>
      </c>
    </row>
    <row r="2975" spans="2:13" x14ac:dyDescent="0.2">
      <c r="B2975" t="s">
        <v>12</v>
      </c>
      <c r="C2975" t="s">
        <v>13</v>
      </c>
      <c r="D2975" t="s">
        <v>14</v>
      </c>
      <c r="E2975" t="s">
        <v>15</v>
      </c>
      <c r="F2975" t="s">
        <v>16</v>
      </c>
      <c r="G2975" t="s">
        <v>17</v>
      </c>
      <c r="H2975" t="s">
        <v>18</v>
      </c>
      <c r="I2975" t="s">
        <v>19</v>
      </c>
      <c r="J2975" t="s">
        <v>20</v>
      </c>
      <c r="K2975" t="s">
        <v>21</v>
      </c>
      <c r="L2975" t="s">
        <v>22</v>
      </c>
      <c r="M2975" t="s">
        <v>23</v>
      </c>
    </row>
    <row r="2976" spans="2:13" x14ac:dyDescent="0.2">
      <c r="B2976" t="s">
        <v>31</v>
      </c>
      <c r="C2976">
        <v>45</v>
      </c>
      <c r="E2976" t="s">
        <v>25</v>
      </c>
      <c r="F2976">
        <v>1027.22</v>
      </c>
      <c r="G2976">
        <v>10.199999999999999</v>
      </c>
      <c r="K2976">
        <v>0.1</v>
      </c>
      <c r="L2976">
        <v>7</v>
      </c>
      <c r="M2976">
        <v>99.4</v>
      </c>
    </row>
    <row r="2977" spans="2:13" x14ac:dyDescent="0.2">
      <c r="C2977" t="s">
        <v>27</v>
      </c>
    </row>
    <row r="2978" spans="2:13" x14ac:dyDescent="0.2">
      <c r="C2978" t="s">
        <v>28</v>
      </c>
      <c r="D2978" t="s">
        <v>16</v>
      </c>
      <c r="E2978" t="s">
        <v>29</v>
      </c>
      <c r="F2978" t="s">
        <v>18</v>
      </c>
    </row>
    <row r="2979" spans="2:13" x14ac:dyDescent="0.2">
      <c r="C2979" t="b">
        <v>0</v>
      </c>
      <c r="D2979">
        <v>970.06</v>
      </c>
      <c r="E2979" t="s">
        <v>30</v>
      </c>
    </row>
    <row r="2980" spans="2:13" x14ac:dyDescent="0.2">
      <c r="C2980" t="b">
        <v>0</v>
      </c>
      <c r="D2980">
        <v>980.07</v>
      </c>
      <c r="E2980" t="s">
        <v>30</v>
      </c>
    </row>
    <row r="2981" spans="2:13" x14ac:dyDescent="0.2">
      <c r="C2981" t="b">
        <v>0</v>
      </c>
      <c r="D2981">
        <v>1080.08</v>
      </c>
      <c r="E2981" t="s">
        <v>30</v>
      </c>
    </row>
    <row r="2982" spans="2:13" x14ac:dyDescent="0.2">
      <c r="C2982" t="b">
        <v>0</v>
      </c>
      <c r="D2982">
        <v>1210.0999999999999</v>
      </c>
      <c r="E2982" t="s">
        <v>30</v>
      </c>
    </row>
    <row r="2983" spans="2:13" x14ac:dyDescent="0.2">
      <c r="C2983" t="b">
        <v>0</v>
      </c>
      <c r="D2983">
        <v>890.06</v>
      </c>
      <c r="E2983" t="s">
        <v>30</v>
      </c>
    </row>
    <row r="2984" spans="2:13" x14ac:dyDescent="0.2">
      <c r="C2984" t="b">
        <v>0</v>
      </c>
      <c r="D2984">
        <v>1080.08</v>
      </c>
      <c r="E2984" t="s">
        <v>30</v>
      </c>
    </row>
    <row r="2985" spans="2:13" x14ac:dyDescent="0.2">
      <c r="C2985" t="b">
        <v>0</v>
      </c>
      <c r="D2985">
        <v>980.07</v>
      </c>
      <c r="E2985" t="s">
        <v>30</v>
      </c>
    </row>
    <row r="2986" spans="2:13" x14ac:dyDescent="0.2">
      <c r="B2986" t="s">
        <v>11</v>
      </c>
    </row>
    <row r="2987" spans="2:13" x14ac:dyDescent="0.2">
      <c r="B2987" t="s">
        <v>12</v>
      </c>
      <c r="C2987" t="s">
        <v>13</v>
      </c>
      <c r="D2987" t="s">
        <v>14</v>
      </c>
      <c r="E2987" t="s">
        <v>15</v>
      </c>
      <c r="F2987" t="s">
        <v>16</v>
      </c>
      <c r="G2987" t="s">
        <v>17</v>
      </c>
      <c r="H2987" t="s">
        <v>18</v>
      </c>
      <c r="I2987" t="s">
        <v>19</v>
      </c>
      <c r="J2987" t="s">
        <v>20</v>
      </c>
      <c r="K2987" t="s">
        <v>21</v>
      </c>
      <c r="L2987" t="s">
        <v>22</v>
      </c>
      <c r="M2987" t="s">
        <v>23</v>
      </c>
    </row>
    <row r="2988" spans="2:13" x14ac:dyDescent="0.2">
      <c r="B2988" t="s">
        <v>32</v>
      </c>
      <c r="C2988">
        <v>72</v>
      </c>
      <c r="E2988" t="s">
        <v>25</v>
      </c>
      <c r="F2988">
        <v>807.19</v>
      </c>
      <c r="G2988">
        <v>13</v>
      </c>
      <c r="K2988">
        <v>0.1</v>
      </c>
      <c r="L2988">
        <v>7</v>
      </c>
      <c r="M2988">
        <v>108.2</v>
      </c>
    </row>
    <row r="2989" spans="2:13" x14ac:dyDescent="0.2">
      <c r="C2989" t="s">
        <v>27</v>
      </c>
    </row>
    <row r="2990" spans="2:13" x14ac:dyDescent="0.2">
      <c r="C2990" t="s">
        <v>28</v>
      </c>
      <c r="D2990" t="s">
        <v>16</v>
      </c>
      <c r="E2990" t="s">
        <v>29</v>
      </c>
      <c r="F2990" t="s">
        <v>18</v>
      </c>
    </row>
    <row r="2991" spans="2:13" x14ac:dyDescent="0.2">
      <c r="C2991" t="b">
        <v>0</v>
      </c>
      <c r="D2991">
        <v>1020.07</v>
      </c>
      <c r="E2991" t="s">
        <v>30</v>
      </c>
    </row>
    <row r="2992" spans="2:13" x14ac:dyDescent="0.2">
      <c r="C2992" t="b">
        <v>0</v>
      </c>
      <c r="D2992">
        <v>810.05</v>
      </c>
      <c r="E2992" t="s">
        <v>30</v>
      </c>
    </row>
    <row r="2993" spans="2:13" x14ac:dyDescent="0.2">
      <c r="C2993" t="b">
        <v>0</v>
      </c>
      <c r="D2993">
        <v>770.05</v>
      </c>
      <c r="E2993" t="s">
        <v>30</v>
      </c>
    </row>
    <row r="2994" spans="2:13" x14ac:dyDescent="0.2">
      <c r="C2994" t="b">
        <v>0</v>
      </c>
      <c r="D2994">
        <v>750.05</v>
      </c>
      <c r="E2994" t="s">
        <v>30</v>
      </c>
    </row>
    <row r="2995" spans="2:13" x14ac:dyDescent="0.2">
      <c r="C2995" t="b">
        <v>0</v>
      </c>
      <c r="D2995">
        <v>750.04</v>
      </c>
      <c r="E2995" t="s">
        <v>30</v>
      </c>
    </row>
    <row r="2996" spans="2:13" x14ac:dyDescent="0.2">
      <c r="C2996" t="b">
        <v>0</v>
      </c>
      <c r="D2996">
        <v>850.06</v>
      </c>
      <c r="E2996" t="s">
        <v>30</v>
      </c>
    </row>
    <row r="2997" spans="2:13" x14ac:dyDescent="0.2">
      <c r="C2997" t="b">
        <v>0</v>
      </c>
      <c r="D2997">
        <v>700.04</v>
      </c>
      <c r="E2997" t="s">
        <v>30</v>
      </c>
    </row>
    <row r="2998" spans="2:13" x14ac:dyDescent="0.2">
      <c r="B2998" t="s">
        <v>11</v>
      </c>
    </row>
    <row r="2999" spans="2:13" x14ac:dyDescent="0.2">
      <c r="B2999" t="s">
        <v>12</v>
      </c>
      <c r="C2999" t="s">
        <v>13</v>
      </c>
      <c r="D2999" t="s">
        <v>14</v>
      </c>
      <c r="E2999" t="s">
        <v>15</v>
      </c>
      <c r="F2999" t="s">
        <v>16</v>
      </c>
      <c r="G2999" t="s">
        <v>17</v>
      </c>
      <c r="H2999" t="s">
        <v>18</v>
      </c>
      <c r="I2999" t="s">
        <v>19</v>
      </c>
      <c r="J2999" t="s">
        <v>20</v>
      </c>
      <c r="K2999" t="s">
        <v>21</v>
      </c>
      <c r="L2999" t="s">
        <v>22</v>
      </c>
      <c r="M2999" t="s">
        <v>23</v>
      </c>
    </row>
    <row r="3000" spans="2:13" x14ac:dyDescent="0.2">
      <c r="B3000" t="s">
        <v>33</v>
      </c>
      <c r="C3000">
        <v>89</v>
      </c>
      <c r="E3000" t="s">
        <v>25</v>
      </c>
      <c r="F3000">
        <v>4276.54</v>
      </c>
      <c r="G3000">
        <v>2.8</v>
      </c>
      <c r="K3000">
        <v>0.1</v>
      </c>
      <c r="L3000">
        <v>7</v>
      </c>
      <c r="M3000">
        <v>108.4</v>
      </c>
    </row>
    <row r="3001" spans="2:13" x14ac:dyDescent="0.2">
      <c r="C3001" t="s">
        <v>27</v>
      </c>
    </row>
    <row r="3002" spans="2:13" x14ac:dyDescent="0.2">
      <c r="C3002" t="s">
        <v>28</v>
      </c>
      <c r="D3002" t="s">
        <v>16</v>
      </c>
      <c r="E3002" t="s">
        <v>29</v>
      </c>
      <c r="F3002" t="s">
        <v>18</v>
      </c>
    </row>
    <row r="3003" spans="2:13" x14ac:dyDescent="0.2">
      <c r="C3003" t="b">
        <v>0</v>
      </c>
      <c r="D3003">
        <v>4140.8</v>
      </c>
      <c r="E3003" t="s">
        <v>30</v>
      </c>
    </row>
    <row r="3004" spans="2:13" x14ac:dyDescent="0.2">
      <c r="C3004" t="b">
        <v>0</v>
      </c>
      <c r="D3004">
        <v>4100.72</v>
      </c>
      <c r="E3004" t="s">
        <v>30</v>
      </c>
    </row>
    <row r="3005" spans="2:13" x14ac:dyDescent="0.2">
      <c r="C3005" t="b">
        <v>0</v>
      </c>
      <c r="D3005">
        <v>4330.8500000000004</v>
      </c>
      <c r="E3005" t="s">
        <v>30</v>
      </c>
    </row>
    <row r="3006" spans="2:13" x14ac:dyDescent="0.2">
      <c r="C3006" t="b">
        <v>0</v>
      </c>
      <c r="D3006">
        <v>4400.8599999999997</v>
      </c>
      <c r="E3006" t="s">
        <v>30</v>
      </c>
    </row>
    <row r="3007" spans="2:13" x14ac:dyDescent="0.2">
      <c r="C3007" t="b">
        <v>0</v>
      </c>
      <c r="D3007">
        <v>4280.83</v>
      </c>
      <c r="E3007" t="s">
        <v>30</v>
      </c>
    </row>
    <row r="3008" spans="2:13" x14ac:dyDescent="0.2">
      <c r="C3008" t="b">
        <v>0</v>
      </c>
      <c r="D3008">
        <v>4260.83</v>
      </c>
      <c r="E3008" t="s">
        <v>30</v>
      </c>
    </row>
    <row r="3009" spans="1:13" x14ac:dyDescent="0.2">
      <c r="C3009" t="b">
        <v>0</v>
      </c>
      <c r="D3009">
        <v>4420.8599999999997</v>
      </c>
      <c r="E3009" t="s">
        <v>30</v>
      </c>
    </row>
    <row r="3010" spans="1:13" x14ac:dyDescent="0.2">
      <c r="A3010" t="s">
        <v>0</v>
      </c>
    </row>
    <row r="3011" spans="1:13" x14ac:dyDescent="0.2"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t="s">
        <v>6</v>
      </c>
    </row>
    <row r="3012" spans="1:13" x14ac:dyDescent="0.2">
      <c r="B3012" t="b">
        <v>0</v>
      </c>
      <c r="C3012" t="s">
        <v>215</v>
      </c>
      <c r="D3012" t="s">
        <v>216</v>
      </c>
      <c r="E3012" t="s">
        <v>150</v>
      </c>
      <c r="G3012" t="s">
        <v>217</v>
      </c>
    </row>
    <row r="3013" spans="1:13" x14ac:dyDescent="0.2">
      <c r="B3013" t="s">
        <v>11</v>
      </c>
    </row>
    <row r="3014" spans="1:13" x14ac:dyDescent="0.2">
      <c r="B3014" t="s">
        <v>12</v>
      </c>
      <c r="C3014" t="s">
        <v>13</v>
      </c>
      <c r="D3014" t="s">
        <v>14</v>
      </c>
      <c r="E3014" t="s">
        <v>15</v>
      </c>
      <c r="F3014" t="s">
        <v>16</v>
      </c>
      <c r="G3014" t="s">
        <v>17</v>
      </c>
      <c r="H3014" t="s">
        <v>18</v>
      </c>
      <c r="I3014" t="s">
        <v>19</v>
      </c>
      <c r="J3014" t="s">
        <v>20</v>
      </c>
      <c r="K3014" t="s">
        <v>21</v>
      </c>
      <c r="L3014" t="s">
        <v>22</v>
      </c>
      <c r="M3014" t="s">
        <v>23</v>
      </c>
    </row>
    <row r="3015" spans="1:13" x14ac:dyDescent="0.2">
      <c r="B3015" t="s">
        <v>24</v>
      </c>
      <c r="C3015">
        <v>59</v>
      </c>
      <c r="E3015" t="s">
        <v>25</v>
      </c>
      <c r="F3015">
        <v>207367.06</v>
      </c>
      <c r="G3015">
        <v>1.5</v>
      </c>
      <c r="H3015">
        <v>9.1999999999999998E-2</v>
      </c>
      <c r="I3015" t="s">
        <v>26</v>
      </c>
      <c r="J3015">
        <v>1.5</v>
      </c>
      <c r="K3015">
        <v>0.1</v>
      </c>
      <c r="L3015">
        <v>7</v>
      </c>
    </row>
    <row r="3016" spans="1:13" x14ac:dyDescent="0.2">
      <c r="C3016" t="s">
        <v>27</v>
      </c>
    </row>
    <row r="3017" spans="1:13" x14ac:dyDescent="0.2">
      <c r="C3017" t="s">
        <v>28</v>
      </c>
      <c r="D3017" t="s">
        <v>16</v>
      </c>
      <c r="E3017" t="s">
        <v>29</v>
      </c>
      <c r="F3017" t="s">
        <v>18</v>
      </c>
    </row>
    <row r="3018" spans="1:13" x14ac:dyDescent="0.2">
      <c r="C3018" t="b">
        <v>0</v>
      </c>
      <c r="D3018">
        <v>205025.56</v>
      </c>
      <c r="E3018" t="s">
        <v>30</v>
      </c>
      <c r="F3018">
        <v>9.0999999999999998E-2</v>
      </c>
    </row>
    <row r="3019" spans="1:13" x14ac:dyDescent="0.2">
      <c r="C3019" t="b">
        <v>0</v>
      </c>
      <c r="D3019">
        <v>204721.81</v>
      </c>
      <c r="E3019" t="s">
        <v>30</v>
      </c>
      <c r="F3019">
        <v>9.0999999999999998E-2</v>
      </c>
    </row>
    <row r="3020" spans="1:13" x14ac:dyDescent="0.2">
      <c r="C3020" t="b">
        <v>0</v>
      </c>
      <c r="D3020">
        <v>204808.2</v>
      </c>
      <c r="E3020" t="s">
        <v>30</v>
      </c>
      <c r="F3020">
        <v>9.0999999999999998E-2</v>
      </c>
    </row>
    <row r="3021" spans="1:13" x14ac:dyDescent="0.2">
      <c r="C3021" t="b">
        <v>0</v>
      </c>
      <c r="D3021">
        <v>205196.99</v>
      </c>
      <c r="E3021" t="s">
        <v>30</v>
      </c>
      <c r="F3021">
        <v>9.0999999999999998E-2</v>
      </c>
    </row>
    <row r="3022" spans="1:13" x14ac:dyDescent="0.2">
      <c r="C3022" t="b">
        <v>0</v>
      </c>
      <c r="D3022">
        <v>212184.41</v>
      </c>
      <c r="E3022" t="s">
        <v>30</v>
      </c>
      <c r="F3022">
        <v>9.4E-2</v>
      </c>
    </row>
    <row r="3023" spans="1:13" x14ac:dyDescent="0.2">
      <c r="C3023" t="b">
        <v>0</v>
      </c>
      <c r="D3023">
        <v>209934.53</v>
      </c>
      <c r="E3023" t="s">
        <v>30</v>
      </c>
      <c r="F3023">
        <v>9.2999999999999999E-2</v>
      </c>
    </row>
    <row r="3024" spans="1:13" x14ac:dyDescent="0.2">
      <c r="C3024" t="b">
        <v>0</v>
      </c>
      <c r="D3024">
        <v>209697.89</v>
      </c>
      <c r="E3024" t="s">
        <v>30</v>
      </c>
      <c r="F3024">
        <v>9.2999999999999999E-2</v>
      </c>
    </row>
    <row r="3025" spans="2:13" x14ac:dyDescent="0.2">
      <c r="B3025" t="s">
        <v>11</v>
      </c>
    </row>
    <row r="3026" spans="2:13" x14ac:dyDescent="0.2">
      <c r="B3026" t="s">
        <v>12</v>
      </c>
      <c r="C3026" t="s">
        <v>13</v>
      </c>
      <c r="D3026" t="s">
        <v>14</v>
      </c>
      <c r="E3026" t="s">
        <v>15</v>
      </c>
      <c r="F3026" t="s">
        <v>16</v>
      </c>
      <c r="G3026" t="s">
        <v>17</v>
      </c>
      <c r="H3026" t="s">
        <v>18</v>
      </c>
      <c r="I3026" t="s">
        <v>19</v>
      </c>
      <c r="J3026" t="s">
        <v>20</v>
      </c>
      <c r="K3026" t="s">
        <v>21</v>
      </c>
      <c r="L3026" t="s">
        <v>22</v>
      </c>
      <c r="M3026" t="s">
        <v>23</v>
      </c>
    </row>
    <row r="3027" spans="2:13" x14ac:dyDescent="0.2">
      <c r="B3027" t="s">
        <v>31</v>
      </c>
      <c r="C3027">
        <v>45</v>
      </c>
      <c r="E3027" t="s">
        <v>25</v>
      </c>
      <c r="F3027">
        <v>867.2</v>
      </c>
      <c r="G3027">
        <v>11.3</v>
      </c>
      <c r="K3027">
        <v>0.1</v>
      </c>
      <c r="L3027">
        <v>7</v>
      </c>
      <c r="M3027">
        <v>84</v>
      </c>
    </row>
    <row r="3028" spans="2:13" x14ac:dyDescent="0.2">
      <c r="C3028" t="s">
        <v>27</v>
      </c>
    </row>
    <row r="3029" spans="2:13" x14ac:dyDescent="0.2">
      <c r="C3029" t="s">
        <v>28</v>
      </c>
      <c r="D3029" t="s">
        <v>16</v>
      </c>
      <c r="E3029" t="s">
        <v>29</v>
      </c>
      <c r="F3029" t="s">
        <v>18</v>
      </c>
    </row>
    <row r="3030" spans="2:13" x14ac:dyDescent="0.2">
      <c r="C3030" t="b">
        <v>0</v>
      </c>
      <c r="D3030">
        <v>930.07</v>
      </c>
      <c r="E3030" t="s">
        <v>30</v>
      </c>
    </row>
    <row r="3031" spans="2:13" x14ac:dyDescent="0.2">
      <c r="C3031" t="b">
        <v>0</v>
      </c>
      <c r="D3031">
        <v>880.06</v>
      </c>
      <c r="E3031" t="s">
        <v>30</v>
      </c>
    </row>
    <row r="3032" spans="2:13" x14ac:dyDescent="0.2">
      <c r="C3032" t="b">
        <v>0</v>
      </c>
      <c r="D3032">
        <v>920.07</v>
      </c>
      <c r="E3032" t="s">
        <v>30</v>
      </c>
    </row>
    <row r="3033" spans="2:13" x14ac:dyDescent="0.2">
      <c r="C3033" t="b">
        <v>0</v>
      </c>
      <c r="D3033">
        <v>1000.06</v>
      </c>
      <c r="E3033" t="s">
        <v>30</v>
      </c>
    </row>
    <row r="3034" spans="2:13" x14ac:dyDescent="0.2">
      <c r="C3034" t="b">
        <v>0</v>
      </c>
      <c r="D3034">
        <v>830.06</v>
      </c>
      <c r="E3034" t="s">
        <v>30</v>
      </c>
    </row>
    <row r="3035" spans="2:13" x14ac:dyDescent="0.2">
      <c r="C3035" t="b">
        <v>0</v>
      </c>
      <c r="D3035">
        <v>700.04</v>
      </c>
      <c r="E3035" t="s">
        <v>30</v>
      </c>
    </row>
    <row r="3036" spans="2:13" x14ac:dyDescent="0.2">
      <c r="C3036" t="b">
        <v>0</v>
      </c>
      <c r="D3036">
        <v>810.05</v>
      </c>
      <c r="E3036" t="s">
        <v>30</v>
      </c>
    </row>
    <row r="3037" spans="2:13" x14ac:dyDescent="0.2">
      <c r="B3037" t="s">
        <v>11</v>
      </c>
    </row>
    <row r="3038" spans="2:13" x14ac:dyDescent="0.2">
      <c r="B3038" t="s">
        <v>12</v>
      </c>
      <c r="C3038" t="s">
        <v>13</v>
      </c>
      <c r="D3038" t="s">
        <v>14</v>
      </c>
      <c r="E3038" t="s">
        <v>15</v>
      </c>
      <c r="F3038" t="s">
        <v>16</v>
      </c>
      <c r="G3038" t="s">
        <v>17</v>
      </c>
      <c r="H3038" t="s">
        <v>18</v>
      </c>
      <c r="I3038" t="s">
        <v>19</v>
      </c>
      <c r="J3038" t="s">
        <v>20</v>
      </c>
      <c r="K3038" t="s">
        <v>21</v>
      </c>
      <c r="L3038" t="s">
        <v>22</v>
      </c>
      <c r="M3038" t="s">
        <v>23</v>
      </c>
    </row>
    <row r="3039" spans="2:13" x14ac:dyDescent="0.2">
      <c r="B3039" t="s">
        <v>32</v>
      </c>
      <c r="C3039">
        <v>72</v>
      </c>
      <c r="E3039" t="s">
        <v>25</v>
      </c>
      <c r="F3039">
        <v>727.19</v>
      </c>
      <c r="G3039">
        <v>15.3</v>
      </c>
      <c r="K3039">
        <v>0.1</v>
      </c>
      <c r="L3039">
        <v>7</v>
      </c>
      <c r="M3039">
        <v>97.5</v>
      </c>
    </row>
    <row r="3040" spans="2:13" x14ac:dyDescent="0.2">
      <c r="C3040" t="s">
        <v>27</v>
      </c>
    </row>
    <row r="3041" spans="2:13" x14ac:dyDescent="0.2">
      <c r="C3041" t="s">
        <v>28</v>
      </c>
      <c r="D3041" t="s">
        <v>16</v>
      </c>
      <c r="E3041" t="s">
        <v>29</v>
      </c>
      <c r="F3041" t="s">
        <v>18</v>
      </c>
    </row>
    <row r="3042" spans="2:13" x14ac:dyDescent="0.2">
      <c r="C3042" t="b">
        <v>0</v>
      </c>
      <c r="D3042">
        <v>600.04</v>
      </c>
      <c r="E3042" t="s">
        <v>30</v>
      </c>
    </row>
    <row r="3043" spans="2:13" x14ac:dyDescent="0.2">
      <c r="C3043" t="b">
        <v>0</v>
      </c>
      <c r="D3043">
        <v>760.06</v>
      </c>
      <c r="E3043" t="s">
        <v>30</v>
      </c>
    </row>
    <row r="3044" spans="2:13" x14ac:dyDescent="0.2">
      <c r="C3044" t="b">
        <v>0</v>
      </c>
      <c r="D3044">
        <v>550.03</v>
      </c>
      <c r="E3044" t="s">
        <v>30</v>
      </c>
    </row>
    <row r="3045" spans="2:13" x14ac:dyDescent="0.2">
      <c r="C3045" t="b">
        <v>0</v>
      </c>
      <c r="D3045">
        <v>730.04</v>
      </c>
      <c r="E3045" t="s">
        <v>30</v>
      </c>
    </row>
    <row r="3046" spans="2:13" x14ac:dyDescent="0.2">
      <c r="C3046" t="b">
        <v>0</v>
      </c>
      <c r="D3046">
        <v>790.05</v>
      </c>
      <c r="E3046" t="s">
        <v>30</v>
      </c>
    </row>
    <row r="3047" spans="2:13" x14ac:dyDescent="0.2">
      <c r="C3047" t="b">
        <v>0</v>
      </c>
      <c r="D3047">
        <v>850.05</v>
      </c>
      <c r="E3047" t="s">
        <v>30</v>
      </c>
    </row>
    <row r="3048" spans="2:13" x14ac:dyDescent="0.2">
      <c r="C3048" t="b">
        <v>0</v>
      </c>
      <c r="D3048">
        <v>810.06</v>
      </c>
      <c r="E3048" t="s">
        <v>30</v>
      </c>
    </row>
    <row r="3049" spans="2:13" x14ac:dyDescent="0.2">
      <c r="B3049" t="s">
        <v>11</v>
      </c>
    </row>
    <row r="3050" spans="2:13" x14ac:dyDescent="0.2">
      <c r="B3050" t="s">
        <v>12</v>
      </c>
      <c r="C3050" t="s">
        <v>13</v>
      </c>
      <c r="D3050" t="s">
        <v>14</v>
      </c>
      <c r="E3050" t="s">
        <v>15</v>
      </c>
      <c r="F3050" t="s">
        <v>16</v>
      </c>
      <c r="G3050" t="s">
        <v>17</v>
      </c>
      <c r="H3050" t="s">
        <v>18</v>
      </c>
      <c r="I3050" t="s">
        <v>19</v>
      </c>
      <c r="J3050" t="s">
        <v>20</v>
      </c>
      <c r="K3050" t="s">
        <v>21</v>
      </c>
      <c r="L3050" t="s">
        <v>22</v>
      </c>
      <c r="M3050" t="s">
        <v>23</v>
      </c>
    </row>
    <row r="3051" spans="2:13" x14ac:dyDescent="0.2">
      <c r="B3051" t="s">
        <v>33</v>
      </c>
      <c r="C3051">
        <v>89</v>
      </c>
      <c r="E3051" t="s">
        <v>25</v>
      </c>
      <c r="F3051">
        <v>3837.8</v>
      </c>
      <c r="G3051">
        <v>9.6</v>
      </c>
      <c r="K3051">
        <v>0.1</v>
      </c>
      <c r="L3051">
        <v>7</v>
      </c>
      <c r="M3051">
        <v>97.3</v>
      </c>
    </row>
    <row r="3052" spans="2:13" x14ac:dyDescent="0.2">
      <c r="C3052" t="s">
        <v>27</v>
      </c>
    </row>
    <row r="3053" spans="2:13" x14ac:dyDescent="0.2">
      <c r="C3053" t="s">
        <v>28</v>
      </c>
      <c r="D3053" t="s">
        <v>16</v>
      </c>
      <c r="E3053" t="s">
        <v>29</v>
      </c>
      <c r="F3053" t="s">
        <v>18</v>
      </c>
    </row>
    <row r="3054" spans="2:13" x14ac:dyDescent="0.2">
      <c r="C3054" t="b">
        <v>0</v>
      </c>
      <c r="D3054">
        <v>3860.67</v>
      </c>
      <c r="E3054" t="s">
        <v>30</v>
      </c>
    </row>
    <row r="3055" spans="2:13" x14ac:dyDescent="0.2">
      <c r="C3055" t="b">
        <v>0</v>
      </c>
      <c r="D3055">
        <v>3530.56</v>
      </c>
      <c r="E3055" t="s">
        <v>30</v>
      </c>
    </row>
    <row r="3056" spans="2:13" x14ac:dyDescent="0.2">
      <c r="C3056" t="b">
        <v>0</v>
      </c>
      <c r="D3056">
        <v>3980.71</v>
      </c>
      <c r="E3056" t="s">
        <v>30</v>
      </c>
    </row>
    <row r="3057" spans="1:13" x14ac:dyDescent="0.2">
      <c r="C3057" t="b">
        <v>0</v>
      </c>
      <c r="D3057">
        <v>3170.44</v>
      </c>
      <c r="E3057" t="s">
        <v>30</v>
      </c>
    </row>
    <row r="3058" spans="1:13" x14ac:dyDescent="0.2">
      <c r="C3058" t="b">
        <v>0</v>
      </c>
      <c r="D3058">
        <v>3990.72</v>
      </c>
      <c r="E3058" t="s">
        <v>30</v>
      </c>
    </row>
    <row r="3059" spans="1:13" x14ac:dyDescent="0.2">
      <c r="C3059" t="b">
        <v>0</v>
      </c>
      <c r="D3059">
        <v>4100.7</v>
      </c>
      <c r="E3059" t="s">
        <v>30</v>
      </c>
    </row>
    <row r="3060" spans="1:13" x14ac:dyDescent="0.2">
      <c r="C3060" t="b">
        <v>0</v>
      </c>
      <c r="D3060">
        <v>4230.78</v>
      </c>
      <c r="E3060" t="s">
        <v>30</v>
      </c>
    </row>
    <row r="3061" spans="1:13" x14ac:dyDescent="0.2">
      <c r="A3061" t="s">
        <v>0</v>
      </c>
    </row>
    <row r="3062" spans="1:13" x14ac:dyDescent="0.2">
      <c r="B3062" t="s">
        <v>1</v>
      </c>
      <c r="C3062" t="s">
        <v>2</v>
      </c>
      <c r="D3062" t="s">
        <v>3</v>
      </c>
      <c r="E3062" t="s">
        <v>4</v>
      </c>
      <c r="F3062" t="s">
        <v>5</v>
      </c>
      <c r="G3062" t="s">
        <v>6</v>
      </c>
    </row>
    <row r="3063" spans="1:13" x14ac:dyDescent="0.2">
      <c r="B3063" t="b">
        <v>0</v>
      </c>
      <c r="C3063" t="s">
        <v>218</v>
      </c>
      <c r="D3063" t="s">
        <v>219</v>
      </c>
      <c r="E3063" t="s">
        <v>9</v>
      </c>
      <c r="G3063" t="s">
        <v>212</v>
      </c>
    </row>
    <row r="3064" spans="1:13" x14ac:dyDescent="0.2">
      <c r="B3064" t="s">
        <v>11</v>
      </c>
    </row>
    <row r="3065" spans="1:13" x14ac:dyDescent="0.2">
      <c r="B3065" t="s">
        <v>12</v>
      </c>
      <c r="C3065" t="s">
        <v>13</v>
      </c>
      <c r="D3065" t="s">
        <v>14</v>
      </c>
      <c r="E3065" t="s">
        <v>15</v>
      </c>
      <c r="F3065" t="s">
        <v>16</v>
      </c>
      <c r="G3065" t="s">
        <v>17</v>
      </c>
      <c r="H3065" t="s">
        <v>18</v>
      </c>
      <c r="I3065" t="s">
        <v>19</v>
      </c>
      <c r="J3065" t="s">
        <v>20</v>
      </c>
      <c r="K3065" t="s">
        <v>21</v>
      </c>
      <c r="L3065" t="s">
        <v>22</v>
      </c>
      <c r="M3065" t="s">
        <v>23</v>
      </c>
    </row>
    <row r="3066" spans="1:13" x14ac:dyDescent="0.2">
      <c r="B3066" t="s">
        <v>24</v>
      </c>
      <c r="C3066">
        <v>59</v>
      </c>
      <c r="E3066" t="s">
        <v>25</v>
      </c>
      <c r="F3066">
        <v>158.58000000000001</v>
      </c>
      <c r="G3066">
        <v>29.5</v>
      </c>
      <c r="H3066">
        <v>0</v>
      </c>
      <c r="I3066" t="s">
        <v>26</v>
      </c>
      <c r="J3066">
        <v>45.4</v>
      </c>
      <c r="K3066">
        <v>0.1</v>
      </c>
      <c r="L3066">
        <v>7</v>
      </c>
    </row>
    <row r="3067" spans="1:13" x14ac:dyDescent="0.2">
      <c r="C3067" t="s">
        <v>27</v>
      </c>
    </row>
    <row r="3068" spans="1:13" x14ac:dyDescent="0.2">
      <c r="C3068" t="s">
        <v>28</v>
      </c>
      <c r="D3068" t="s">
        <v>16</v>
      </c>
      <c r="E3068" t="s">
        <v>29</v>
      </c>
      <c r="F3068" t="s">
        <v>18</v>
      </c>
    </row>
    <row r="3069" spans="1:13" x14ac:dyDescent="0.2">
      <c r="C3069" t="b">
        <v>0</v>
      </c>
      <c r="D3069">
        <v>180.01</v>
      </c>
      <c r="E3069" t="s">
        <v>30</v>
      </c>
      <c r="F3069">
        <v>0</v>
      </c>
    </row>
    <row r="3070" spans="1:13" x14ac:dyDescent="0.2">
      <c r="C3070" t="b">
        <v>0</v>
      </c>
      <c r="D3070">
        <v>140.01</v>
      </c>
      <c r="E3070" t="s">
        <v>30</v>
      </c>
      <c r="F3070">
        <v>0</v>
      </c>
    </row>
    <row r="3071" spans="1:13" x14ac:dyDescent="0.2">
      <c r="C3071" t="b">
        <v>0</v>
      </c>
      <c r="D3071">
        <v>120</v>
      </c>
      <c r="E3071" t="s">
        <v>30</v>
      </c>
      <c r="F3071">
        <v>0</v>
      </c>
    </row>
    <row r="3072" spans="1:13" x14ac:dyDescent="0.2">
      <c r="C3072" t="b">
        <v>0</v>
      </c>
      <c r="D3072">
        <v>190.01</v>
      </c>
      <c r="E3072" t="s">
        <v>30</v>
      </c>
      <c r="F3072">
        <v>0</v>
      </c>
    </row>
    <row r="3073" spans="2:13" x14ac:dyDescent="0.2">
      <c r="C3073" t="b">
        <v>0</v>
      </c>
      <c r="D3073">
        <v>240.01</v>
      </c>
      <c r="E3073" t="s">
        <v>30</v>
      </c>
      <c r="F3073">
        <v>0</v>
      </c>
    </row>
    <row r="3074" spans="2:13" x14ac:dyDescent="0.2">
      <c r="C3074" t="b">
        <v>0</v>
      </c>
      <c r="D3074">
        <v>110</v>
      </c>
      <c r="E3074" t="s">
        <v>30</v>
      </c>
      <c r="F3074">
        <v>0</v>
      </c>
    </row>
    <row r="3075" spans="2:13" x14ac:dyDescent="0.2">
      <c r="C3075" t="b">
        <v>0</v>
      </c>
      <c r="D3075">
        <v>130</v>
      </c>
      <c r="E3075" t="s">
        <v>30</v>
      </c>
      <c r="F3075">
        <v>0</v>
      </c>
    </row>
    <row r="3076" spans="2:13" x14ac:dyDescent="0.2">
      <c r="B3076" t="s">
        <v>11</v>
      </c>
    </row>
    <row r="3077" spans="2:13" x14ac:dyDescent="0.2">
      <c r="B3077" t="s">
        <v>12</v>
      </c>
      <c r="C3077" t="s">
        <v>13</v>
      </c>
      <c r="D3077" t="s">
        <v>14</v>
      </c>
      <c r="E3077" t="s">
        <v>15</v>
      </c>
      <c r="F3077" t="s">
        <v>16</v>
      </c>
      <c r="G3077" t="s">
        <v>17</v>
      </c>
      <c r="H3077" t="s">
        <v>18</v>
      </c>
      <c r="I3077" t="s">
        <v>19</v>
      </c>
      <c r="J3077" t="s">
        <v>20</v>
      </c>
      <c r="K3077" t="s">
        <v>21</v>
      </c>
      <c r="L3077" t="s">
        <v>22</v>
      </c>
      <c r="M3077" t="s">
        <v>23</v>
      </c>
    </row>
    <row r="3078" spans="2:13" x14ac:dyDescent="0.2">
      <c r="B3078" t="s">
        <v>31</v>
      </c>
      <c r="C3078">
        <v>45</v>
      </c>
      <c r="E3078" t="s">
        <v>25</v>
      </c>
      <c r="F3078">
        <v>882.92</v>
      </c>
      <c r="G3078">
        <v>14.3</v>
      </c>
      <c r="K3078">
        <v>0.1</v>
      </c>
      <c r="L3078">
        <v>7</v>
      </c>
      <c r="M3078">
        <v>85.5</v>
      </c>
    </row>
    <row r="3079" spans="2:13" x14ac:dyDescent="0.2">
      <c r="C3079" t="s">
        <v>27</v>
      </c>
    </row>
    <row r="3080" spans="2:13" x14ac:dyDescent="0.2">
      <c r="C3080" t="s">
        <v>28</v>
      </c>
      <c r="D3080" t="s">
        <v>16</v>
      </c>
      <c r="E3080" t="s">
        <v>29</v>
      </c>
      <c r="F3080" t="s">
        <v>18</v>
      </c>
    </row>
    <row r="3081" spans="2:13" x14ac:dyDescent="0.2">
      <c r="C3081" t="b">
        <v>0</v>
      </c>
      <c r="D3081">
        <v>880.06</v>
      </c>
      <c r="E3081" t="s">
        <v>30</v>
      </c>
    </row>
    <row r="3082" spans="2:13" x14ac:dyDescent="0.2">
      <c r="C3082" t="b">
        <v>0</v>
      </c>
      <c r="D3082">
        <v>870.06</v>
      </c>
      <c r="E3082" t="s">
        <v>30</v>
      </c>
    </row>
    <row r="3083" spans="2:13" x14ac:dyDescent="0.2">
      <c r="C3083" t="b">
        <v>0</v>
      </c>
      <c r="D3083">
        <v>640.04</v>
      </c>
      <c r="E3083" t="s">
        <v>30</v>
      </c>
    </row>
    <row r="3084" spans="2:13" x14ac:dyDescent="0.2">
      <c r="C3084" t="b">
        <v>0</v>
      </c>
      <c r="D3084">
        <v>840.05</v>
      </c>
      <c r="E3084" t="s">
        <v>30</v>
      </c>
    </row>
    <row r="3085" spans="2:13" x14ac:dyDescent="0.2">
      <c r="C3085" t="b">
        <v>0</v>
      </c>
      <c r="D3085">
        <v>1030.08</v>
      </c>
      <c r="E3085" t="s">
        <v>30</v>
      </c>
    </row>
    <row r="3086" spans="2:13" x14ac:dyDescent="0.2">
      <c r="C3086" t="b">
        <v>0</v>
      </c>
      <c r="D3086">
        <v>940.06</v>
      </c>
      <c r="E3086" t="s">
        <v>30</v>
      </c>
    </row>
    <row r="3087" spans="2:13" x14ac:dyDescent="0.2">
      <c r="C3087" t="b">
        <v>0</v>
      </c>
      <c r="D3087">
        <v>980.07</v>
      </c>
      <c r="E3087" t="s">
        <v>30</v>
      </c>
    </row>
    <row r="3088" spans="2:13" x14ac:dyDescent="0.2">
      <c r="B3088" t="s">
        <v>11</v>
      </c>
    </row>
    <row r="3089" spans="2:13" x14ac:dyDescent="0.2">
      <c r="B3089" t="s">
        <v>12</v>
      </c>
      <c r="C3089" t="s">
        <v>13</v>
      </c>
      <c r="D3089" t="s">
        <v>14</v>
      </c>
      <c r="E3089" t="s">
        <v>15</v>
      </c>
      <c r="F3089" t="s">
        <v>16</v>
      </c>
      <c r="G3089" t="s">
        <v>17</v>
      </c>
      <c r="H3089" t="s">
        <v>18</v>
      </c>
      <c r="I3089" t="s">
        <v>19</v>
      </c>
      <c r="J3089" t="s">
        <v>20</v>
      </c>
      <c r="K3089" t="s">
        <v>21</v>
      </c>
      <c r="L3089" t="s">
        <v>22</v>
      </c>
      <c r="M3089" t="s">
        <v>23</v>
      </c>
    </row>
    <row r="3090" spans="2:13" x14ac:dyDescent="0.2">
      <c r="B3090" t="s">
        <v>32</v>
      </c>
      <c r="C3090">
        <v>72</v>
      </c>
      <c r="E3090" t="s">
        <v>25</v>
      </c>
      <c r="F3090">
        <v>755.76</v>
      </c>
      <c r="G3090">
        <v>19.399999999999999</v>
      </c>
      <c r="K3090">
        <v>0.1</v>
      </c>
      <c r="L3090">
        <v>7</v>
      </c>
      <c r="M3090">
        <v>101.3</v>
      </c>
    </row>
    <row r="3091" spans="2:13" x14ac:dyDescent="0.2">
      <c r="C3091" t="s">
        <v>27</v>
      </c>
    </row>
    <row r="3092" spans="2:13" x14ac:dyDescent="0.2">
      <c r="C3092" t="s">
        <v>28</v>
      </c>
      <c r="D3092" t="s">
        <v>16</v>
      </c>
      <c r="E3092" t="s">
        <v>29</v>
      </c>
      <c r="F3092" t="s">
        <v>18</v>
      </c>
    </row>
    <row r="3093" spans="2:13" x14ac:dyDescent="0.2">
      <c r="C3093" t="b">
        <v>0</v>
      </c>
      <c r="D3093">
        <v>570.04</v>
      </c>
      <c r="E3093" t="s">
        <v>30</v>
      </c>
    </row>
    <row r="3094" spans="2:13" x14ac:dyDescent="0.2">
      <c r="C3094" t="b">
        <v>0</v>
      </c>
      <c r="D3094">
        <v>770.06</v>
      </c>
      <c r="E3094" t="s">
        <v>30</v>
      </c>
    </row>
    <row r="3095" spans="2:13" x14ac:dyDescent="0.2">
      <c r="C3095" t="b">
        <v>0</v>
      </c>
      <c r="D3095">
        <v>760.05</v>
      </c>
      <c r="E3095" t="s">
        <v>30</v>
      </c>
    </row>
    <row r="3096" spans="2:13" x14ac:dyDescent="0.2">
      <c r="C3096" t="b">
        <v>0</v>
      </c>
      <c r="D3096">
        <v>700.04</v>
      </c>
      <c r="E3096" t="s">
        <v>30</v>
      </c>
    </row>
    <row r="3097" spans="2:13" x14ac:dyDescent="0.2">
      <c r="C3097" t="b">
        <v>0</v>
      </c>
      <c r="D3097">
        <v>970.07</v>
      </c>
      <c r="E3097" t="s">
        <v>30</v>
      </c>
    </row>
    <row r="3098" spans="2:13" x14ac:dyDescent="0.2">
      <c r="C3098" t="b">
        <v>0</v>
      </c>
      <c r="D3098">
        <v>610.03</v>
      </c>
      <c r="E3098" t="s">
        <v>30</v>
      </c>
    </row>
    <row r="3099" spans="2:13" x14ac:dyDescent="0.2">
      <c r="C3099" t="b">
        <v>0</v>
      </c>
      <c r="D3099">
        <v>910.06</v>
      </c>
      <c r="E3099" t="s">
        <v>30</v>
      </c>
    </row>
    <row r="3100" spans="2:13" x14ac:dyDescent="0.2">
      <c r="B3100" t="s">
        <v>11</v>
      </c>
    </row>
    <row r="3101" spans="2:13" x14ac:dyDescent="0.2">
      <c r="B3101" t="s">
        <v>12</v>
      </c>
      <c r="C3101" t="s">
        <v>13</v>
      </c>
      <c r="D3101" t="s">
        <v>14</v>
      </c>
      <c r="E3101" t="s">
        <v>15</v>
      </c>
      <c r="F3101" t="s">
        <v>16</v>
      </c>
      <c r="G3101" t="s">
        <v>17</v>
      </c>
      <c r="H3101" t="s">
        <v>18</v>
      </c>
      <c r="I3101" t="s">
        <v>19</v>
      </c>
      <c r="J3101" t="s">
        <v>20</v>
      </c>
      <c r="K3101" t="s">
        <v>21</v>
      </c>
      <c r="L3101" t="s">
        <v>22</v>
      </c>
      <c r="M3101" t="s">
        <v>23</v>
      </c>
    </row>
    <row r="3102" spans="2:13" x14ac:dyDescent="0.2">
      <c r="B3102" t="s">
        <v>33</v>
      </c>
      <c r="C3102">
        <v>89</v>
      </c>
      <c r="E3102" t="s">
        <v>25</v>
      </c>
      <c r="F3102">
        <v>4077.89</v>
      </c>
      <c r="G3102">
        <v>7.7</v>
      </c>
      <c r="K3102">
        <v>0.1</v>
      </c>
      <c r="L3102">
        <v>7</v>
      </c>
      <c r="M3102">
        <v>103.4</v>
      </c>
    </row>
    <row r="3103" spans="2:13" x14ac:dyDescent="0.2">
      <c r="C3103" t="s">
        <v>27</v>
      </c>
    </row>
    <row r="3104" spans="2:13" x14ac:dyDescent="0.2">
      <c r="C3104" t="s">
        <v>28</v>
      </c>
      <c r="D3104" t="s">
        <v>16</v>
      </c>
      <c r="E3104" t="s">
        <v>29</v>
      </c>
      <c r="F3104" t="s">
        <v>18</v>
      </c>
    </row>
    <row r="3105" spans="1:13" x14ac:dyDescent="0.2">
      <c r="C3105" t="b">
        <v>0</v>
      </c>
      <c r="D3105">
        <v>3540.58</v>
      </c>
      <c r="E3105" t="s">
        <v>30</v>
      </c>
    </row>
    <row r="3106" spans="1:13" x14ac:dyDescent="0.2">
      <c r="C3106" t="b">
        <v>0</v>
      </c>
      <c r="D3106">
        <v>4000.71</v>
      </c>
      <c r="E3106" t="s">
        <v>30</v>
      </c>
    </row>
    <row r="3107" spans="1:13" x14ac:dyDescent="0.2">
      <c r="C3107" t="b">
        <v>0</v>
      </c>
      <c r="D3107">
        <v>4150.74</v>
      </c>
      <c r="E3107" t="s">
        <v>30</v>
      </c>
    </row>
    <row r="3108" spans="1:13" x14ac:dyDescent="0.2">
      <c r="C3108" t="b">
        <v>0</v>
      </c>
      <c r="D3108">
        <v>4300.82</v>
      </c>
      <c r="E3108" t="s">
        <v>30</v>
      </c>
    </row>
    <row r="3109" spans="1:13" x14ac:dyDescent="0.2">
      <c r="C3109" t="b">
        <v>0</v>
      </c>
      <c r="D3109">
        <v>3860.69</v>
      </c>
      <c r="E3109" t="s">
        <v>30</v>
      </c>
    </row>
    <row r="3110" spans="1:13" x14ac:dyDescent="0.2">
      <c r="C3110" t="b">
        <v>0</v>
      </c>
      <c r="D3110">
        <v>4190.8500000000004</v>
      </c>
      <c r="E3110" t="s">
        <v>30</v>
      </c>
    </row>
    <row r="3111" spans="1:13" x14ac:dyDescent="0.2">
      <c r="C3111" t="b">
        <v>0</v>
      </c>
      <c r="D3111">
        <v>4500.8599999999997</v>
      </c>
      <c r="E3111" t="s">
        <v>30</v>
      </c>
    </row>
    <row r="3112" spans="1:13" x14ac:dyDescent="0.2">
      <c r="A3112" t="s">
        <v>0</v>
      </c>
    </row>
    <row r="3113" spans="1:13" x14ac:dyDescent="0.2">
      <c r="B3113" t="s">
        <v>1</v>
      </c>
      <c r="C3113" t="s">
        <v>2</v>
      </c>
      <c r="D3113" t="s">
        <v>3</v>
      </c>
      <c r="E3113" t="s">
        <v>4</v>
      </c>
      <c r="F3113" t="s">
        <v>5</v>
      </c>
      <c r="G3113" t="s">
        <v>6</v>
      </c>
    </row>
    <row r="3114" spans="1:13" x14ac:dyDescent="0.2">
      <c r="B3114" t="b">
        <v>0</v>
      </c>
      <c r="C3114" t="s">
        <v>220</v>
      </c>
      <c r="D3114" t="s">
        <v>221</v>
      </c>
      <c r="E3114" t="s">
        <v>9</v>
      </c>
      <c r="G3114" t="s">
        <v>212</v>
      </c>
    </row>
    <row r="3115" spans="1:13" x14ac:dyDescent="0.2">
      <c r="B3115" t="s">
        <v>11</v>
      </c>
    </row>
    <row r="3116" spans="1:13" x14ac:dyDescent="0.2">
      <c r="B3116" t="s">
        <v>12</v>
      </c>
      <c r="C3116" t="s">
        <v>13</v>
      </c>
      <c r="D3116" t="s">
        <v>14</v>
      </c>
      <c r="E3116" t="s">
        <v>15</v>
      </c>
      <c r="F3116" t="s">
        <v>16</v>
      </c>
      <c r="G3116" t="s">
        <v>17</v>
      </c>
      <c r="H3116" t="s">
        <v>18</v>
      </c>
      <c r="I3116" t="s">
        <v>19</v>
      </c>
      <c r="J3116" t="s">
        <v>20</v>
      </c>
      <c r="K3116" t="s">
        <v>21</v>
      </c>
      <c r="L3116" t="s">
        <v>22</v>
      </c>
      <c r="M3116" t="s">
        <v>23</v>
      </c>
    </row>
    <row r="3117" spans="1:13" x14ac:dyDescent="0.2">
      <c r="B3117" t="s">
        <v>24</v>
      </c>
      <c r="C3117">
        <v>59</v>
      </c>
      <c r="E3117" t="s">
        <v>25</v>
      </c>
      <c r="F3117">
        <v>172.87</v>
      </c>
      <c r="G3117">
        <v>14.8</v>
      </c>
      <c r="H3117">
        <v>0</v>
      </c>
      <c r="I3117" t="s">
        <v>26</v>
      </c>
      <c r="J3117">
        <v>21.9</v>
      </c>
      <c r="K3117">
        <v>0.1</v>
      </c>
      <c r="L3117">
        <v>7</v>
      </c>
    </row>
    <row r="3118" spans="1:13" x14ac:dyDescent="0.2">
      <c r="C3118" t="s">
        <v>27</v>
      </c>
    </row>
    <row r="3119" spans="1:13" x14ac:dyDescent="0.2">
      <c r="C3119" t="s">
        <v>28</v>
      </c>
      <c r="D3119" t="s">
        <v>16</v>
      </c>
      <c r="E3119" t="s">
        <v>29</v>
      </c>
      <c r="F3119" t="s">
        <v>18</v>
      </c>
    </row>
    <row r="3120" spans="1:13" x14ac:dyDescent="0.2">
      <c r="C3120" t="b">
        <v>0</v>
      </c>
      <c r="D3120">
        <v>180.01</v>
      </c>
      <c r="E3120" t="s">
        <v>30</v>
      </c>
      <c r="F3120">
        <v>0</v>
      </c>
    </row>
    <row r="3121" spans="2:13" x14ac:dyDescent="0.2">
      <c r="C3121" t="b">
        <v>0</v>
      </c>
      <c r="D3121">
        <v>130.01</v>
      </c>
      <c r="E3121" t="s">
        <v>30</v>
      </c>
      <c r="F3121">
        <v>0</v>
      </c>
    </row>
    <row r="3122" spans="2:13" x14ac:dyDescent="0.2">
      <c r="C3122" t="b">
        <v>0</v>
      </c>
      <c r="D3122">
        <v>150.01</v>
      </c>
      <c r="E3122" t="s">
        <v>30</v>
      </c>
      <c r="F3122">
        <v>0</v>
      </c>
    </row>
    <row r="3123" spans="2:13" x14ac:dyDescent="0.2">
      <c r="C3123" t="b">
        <v>0</v>
      </c>
      <c r="D3123">
        <v>200.01</v>
      </c>
      <c r="E3123" t="s">
        <v>30</v>
      </c>
      <c r="F3123">
        <v>0</v>
      </c>
    </row>
    <row r="3124" spans="2:13" x14ac:dyDescent="0.2">
      <c r="C3124" t="b">
        <v>0</v>
      </c>
      <c r="D3124">
        <v>180.01</v>
      </c>
      <c r="E3124" t="s">
        <v>30</v>
      </c>
      <c r="F3124">
        <v>0</v>
      </c>
    </row>
    <row r="3125" spans="2:13" x14ac:dyDescent="0.2">
      <c r="C3125" t="b">
        <v>0</v>
      </c>
      <c r="D3125">
        <v>200.01</v>
      </c>
      <c r="E3125" t="s">
        <v>30</v>
      </c>
      <c r="F3125">
        <v>0</v>
      </c>
    </row>
    <row r="3126" spans="2:13" x14ac:dyDescent="0.2">
      <c r="C3126" t="b">
        <v>0</v>
      </c>
      <c r="D3126">
        <v>170.01</v>
      </c>
      <c r="E3126" t="s">
        <v>30</v>
      </c>
      <c r="F3126">
        <v>0</v>
      </c>
    </row>
    <row r="3127" spans="2:13" x14ac:dyDescent="0.2">
      <c r="B3127" t="s">
        <v>11</v>
      </c>
    </row>
    <row r="3128" spans="2:13" x14ac:dyDescent="0.2">
      <c r="B3128" t="s">
        <v>12</v>
      </c>
      <c r="C3128" t="s">
        <v>13</v>
      </c>
      <c r="D3128" t="s">
        <v>14</v>
      </c>
      <c r="E3128" t="s">
        <v>15</v>
      </c>
      <c r="F3128" t="s">
        <v>16</v>
      </c>
      <c r="G3128" t="s">
        <v>17</v>
      </c>
      <c r="H3128" t="s">
        <v>18</v>
      </c>
      <c r="I3128" t="s">
        <v>19</v>
      </c>
      <c r="J3128" t="s">
        <v>20</v>
      </c>
      <c r="K3128" t="s">
        <v>21</v>
      </c>
      <c r="L3128" t="s">
        <v>22</v>
      </c>
      <c r="M3128" t="s">
        <v>23</v>
      </c>
    </row>
    <row r="3129" spans="2:13" x14ac:dyDescent="0.2">
      <c r="B3129" t="s">
        <v>31</v>
      </c>
      <c r="C3129">
        <v>45</v>
      </c>
      <c r="E3129" t="s">
        <v>25</v>
      </c>
      <c r="F3129">
        <v>1181.52</v>
      </c>
      <c r="G3129">
        <v>23</v>
      </c>
      <c r="K3129">
        <v>0.1</v>
      </c>
      <c r="L3129">
        <v>7</v>
      </c>
      <c r="M3129">
        <v>114.4</v>
      </c>
    </row>
    <row r="3130" spans="2:13" x14ac:dyDescent="0.2">
      <c r="C3130" t="s">
        <v>27</v>
      </c>
    </row>
    <row r="3131" spans="2:13" x14ac:dyDescent="0.2">
      <c r="C3131" t="s">
        <v>28</v>
      </c>
      <c r="D3131" t="s">
        <v>16</v>
      </c>
      <c r="E3131" t="s">
        <v>29</v>
      </c>
      <c r="F3131" t="s">
        <v>18</v>
      </c>
    </row>
    <row r="3132" spans="2:13" x14ac:dyDescent="0.2">
      <c r="C3132" t="b">
        <v>0</v>
      </c>
      <c r="D3132">
        <v>1010.07</v>
      </c>
      <c r="E3132" t="s">
        <v>30</v>
      </c>
    </row>
    <row r="3133" spans="2:13" x14ac:dyDescent="0.2">
      <c r="C3133" t="b">
        <v>0</v>
      </c>
      <c r="D3133">
        <v>940.07</v>
      </c>
      <c r="E3133" t="s">
        <v>30</v>
      </c>
    </row>
    <row r="3134" spans="2:13" x14ac:dyDescent="0.2">
      <c r="C3134" t="b">
        <v>0</v>
      </c>
      <c r="D3134">
        <v>940.06</v>
      </c>
      <c r="E3134" t="s">
        <v>30</v>
      </c>
    </row>
    <row r="3135" spans="2:13" x14ac:dyDescent="0.2">
      <c r="C3135" t="b">
        <v>0</v>
      </c>
      <c r="D3135">
        <v>1070.08</v>
      </c>
      <c r="E3135" t="s">
        <v>30</v>
      </c>
    </row>
    <row r="3136" spans="2:13" x14ac:dyDescent="0.2">
      <c r="C3136" t="b">
        <v>0</v>
      </c>
      <c r="D3136">
        <v>1300.1099999999999</v>
      </c>
      <c r="E3136" t="s">
        <v>30</v>
      </c>
    </row>
    <row r="3137" spans="2:13" x14ac:dyDescent="0.2">
      <c r="C3137" t="b">
        <v>0</v>
      </c>
      <c r="D3137">
        <v>1330.11</v>
      </c>
      <c r="E3137" t="s">
        <v>30</v>
      </c>
    </row>
    <row r="3138" spans="2:13" x14ac:dyDescent="0.2">
      <c r="C3138" t="b">
        <v>0</v>
      </c>
      <c r="D3138">
        <v>1680.15</v>
      </c>
      <c r="E3138" t="s">
        <v>30</v>
      </c>
    </row>
    <row r="3139" spans="2:13" x14ac:dyDescent="0.2">
      <c r="B3139" t="s">
        <v>11</v>
      </c>
    </row>
    <row r="3140" spans="2:13" x14ac:dyDescent="0.2">
      <c r="B3140" t="s">
        <v>12</v>
      </c>
      <c r="C3140" t="s">
        <v>13</v>
      </c>
      <c r="D3140" t="s">
        <v>14</v>
      </c>
      <c r="E3140" t="s">
        <v>15</v>
      </c>
      <c r="F3140" t="s">
        <v>16</v>
      </c>
      <c r="G3140" t="s">
        <v>17</v>
      </c>
      <c r="H3140" t="s">
        <v>18</v>
      </c>
      <c r="I3140" t="s">
        <v>19</v>
      </c>
      <c r="J3140" t="s">
        <v>20</v>
      </c>
      <c r="K3140" t="s">
        <v>21</v>
      </c>
      <c r="L3140" t="s">
        <v>22</v>
      </c>
      <c r="M3140" t="s">
        <v>23</v>
      </c>
    </row>
    <row r="3141" spans="2:13" x14ac:dyDescent="0.2">
      <c r="B3141" t="s">
        <v>32</v>
      </c>
      <c r="C3141">
        <v>72</v>
      </c>
      <c r="E3141" t="s">
        <v>25</v>
      </c>
      <c r="F3141">
        <v>834.34</v>
      </c>
      <c r="G3141">
        <v>11.9</v>
      </c>
      <c r="K3141">
        <v>0.1</v>
      </c>
      <c r="L3141">
        <v>7</v>
      </c>
      <c r="M3141">
        <v>111.9</v>
      </c>
    </row>
    <row r="3142" spans="2:13" x14ac:dyDescent="0.2">
      <c r="C3142" t="s">
        <v>27</v>
      </c>
    </row>
    <row r="3143" spans="2:13" x14ac:dyDescent="0.2">
      <c r="C3143" t="s">
        <v>28</v>
      </c>
      <c r="D3143" t="s">
        <v>16</v>
      </c>
      <c r="E3143" t="s">
        <v>29</v>
      </c>
      <c r="F3143" t="s">
        <v>18</v>
      </c>
    </row>
    <row r="3144" spans="2:13" x14ac:dyDescent="0.2">
      <c r="C3144" t="b">
        <v>0</v>
      </c>
      <c r="D3144">
        <v>790.05</v>
      </c>
      <c r="E3144" t="s">
        <v>30</v>
      </c>
    </row>
    <row r="3145" spans="2:13" x14ac:dyDescent="0.2">
      <c r="C3145" t="b">
        <v>0</v>
      </c>
      <c r="D3145">
        <v>770.05</v>
      </c>
      <c r="E3145" t="s">
        <v>30</v>
      </c>
    </row>
    <row r="3146" spans="2:13" x14ac:dyDescent="0.2">
      <c r="C3146" t="b">
        <v>0</v>
      </c>
      <c r="D3146">
        <v>900.06</v>
      </c>
      <c r="E3146" t="s">
        <v>30</v>
      </c>
    </row>
    <row r="3147" spans="2:13" x14ac:dyDescent="0.2">
      <c r="C3147" t="b">
        <v>0</v>
      </c>
      <c r="D3147">
        <v>700.05</v>
      </c>
      <c r="E3147" t="s">
        <v>30</v>
      </c>
    </row>
    <row r="3148" spans="2:13" x14ac:dyDescent="0.2">
      <c r="C3148" t="b">
        <v>0</v>
      </c>
      <c r="D3148">
        <v>790.05</v>
      </c>
      <c r="E3148" t="s">
        <v>30</v>
      </c>
    </row>
    <row r="3149" spans="2:13" x14ac:dyDescent="0.2">
      <c r="C3149" t="b">
        <v>0</v>
      </c>
      <c r="D3149">
        <v>900.07</v>
      </c>
      <c r="E3149" t="s">
        <v>30</v>
      </c>
    </row>
    <row r="3150" spans="2:13" x14ac:dyDescent="0.2">
      <c r="C3150" t="b">
        <v>0</v>
      </c>
      <c r="D3150">
        <v>990.08</v>
      </c>
      <c r="E3150" t="s">
        <v>30</v>
      </c>
    </row>
    <row r="3151" spans="2:13" x14ac:dyDescent="0.2">
      <c r="B3151" t="s">
        <v>11</v>
      </c>
    </row>
    <row r="3152" spans="2:13" x14ac:dyDescent="0.2">
      <c r="B3152" t="s">
        <v>12</v>
      </c>
      <c r="C3152" t="s">
        <v>13</v>
      </c>
      <c r="D3152" t="s">
        <v>14</v>
      </c>
      <c r="E3152" t="s">
        <v>15</v>
      </c>
      <c r="F3152" t="s">
        <v>16</v>
      </c>
      <c r="G3152" t="s">
        <v>17</v>
      </c>
      <c r="H3152" t="s">
        <v>18</v>
      </c>
      <c r="I3152" t="s">
        <v>19</v>
      </c>
      <c r="J3152" t="s">
        <v>20</v>
      </c>
      <c r="K3152" t="s">
        <v>21</v>
      </c>
      <c r="L3152" t="s">
        <v>22</v>
      </c>
      <c r="M3152" t="s">
        <v>23</v>
      </c>
    </row>
    <row r="3153" spans="2:13" x14ac:dyDescent="0.2">
      <c r="B3153" t="s">
        <v>33</v>
      </c>
      <c r="C3153">
        <v>89</v>
      </c>
      <c r="E3153" t="s">
        <v>25</v>
      </c>
      <c r="F3153">
        <v>4562.3599999999997</v>
      </c>
      <c r="G3153">
        <v>18.2</v>
      </c>
      <c r="K3153">
        <v>0.1</v>
      </c>
      <c r="L3153">
        <v>7</v>
      </c>
      <c r="M3153">
        <v>115.6</v>
      </c>
    </row>
    <row r="3154" spans="2:13" x14ac:dyDescent="0.2">
      <c r="C3154" t="s">
        <v>27</v>
      </c>
    </row>
    <row r="3155" spans="2:13" x14ac:dyDescent="0.2">
      <c r="C3155" t="s">
        <v>28</v>
      </c>
      <c r="D3155" t="s">
        <v>16</v>
      </c>
      <c r="E3155" t="s">
        <v>29</v>
      </c>
      <c r="F3155" t="s">
        <v>18</v>
      </c>
    </row>
    <row r="3156" spans="2:13" x14ac:dyDescent="0.2">
      <c r="C3156" t="b">
        <v>0</v>
      </c>
      <c r="D3156">
        <v>3850.69</v>
      </c>
      <c r="E3156" t="s">
        <v>30</v>
      </c>
    </row>
    <row r="3157" spans="2:13" x14ac:dyDescent="0.2">
      <c r="C3157" t="b">
        <v>0</v>
      </c>
      <c r="D3157">
        <v>4160.79</v>
      </c>
      <c r="E3157" t="s">
        <v>30</v>
      </c>
    </row>
    <row r="3158" spans="2:13" x14ac:dyDescent="0.2">
      <c r="C3158" t="b">
        <v>0</v>
      </c>
      <c r="D3158">
        <v>4040.72</v>
      </c>
      <c r="E3158" t="s">
        <v>30</v>
      </c>
    </row>
    <row r="3159" spans="2:13" x14ac:dyDescent="0.2">
      <c r="C3159" t="b">
        <v>0</v>
      </c>
      <c r="D3159">
        <v>4040.74</v>
      </c>
      <c r="E3159" t="s">
        <v>30</v>
      </c>
    </row>
    <row r="3160" spans="2:13" x14ac:dyDescent="0.2">
      <c r="C3160" t="b">
        <v>0</v>
      </c>
      <c r="D3160">
        <v>4330.84</v>
      </c>
      <c r="E3160" t="s">
        <v>30</v>
      </c>
    </row>
    <row r="3161" spans="2:13" x14ac:dyDescent="0.2">
      <c r="C3161" t="b">
        <v>0</v>
      </c>
      <c r="D3161">
        <v>5631.33</v>
      </c>
      <c r="E3161" t="s">
        <v>30</v>
      </c>
    </row>
    <row r="3162" spans="2:13" x14ac:dyDescent="0.2">
      <c r="C3162" t="b">
        <v>0</v>
      </c>
      <c r="D3162">
        <v>5881.43</v>
      </c>
      <c r="E316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7D1D-1839-BE45-9191-B24E791DFBBE}">
  <dimension ref="A1:O763"/>
  <sheetViews>
    <sheetView workbookViewId="0">
      <selection activeCell="G16" sqref="G16"/>
    </sheetView>
  </sheetViews>
  <sheetFormatPr baseColWidth="10" defaultRowHeight="16" x14ac:dyDescent="0.2"/>
  <cols>
    <col min="1" max="2" width="14.1640625" customWidth="1"/>
    <col min="3" max="3" width="20.6640625" bestFit="1" customWidth="1"/>
    <col min="4" max="4" width="10.1640625" customWidth="1"/>
    <col min="5" max="5" width="9" customWidth="1"/>
    <col min="6" max="6" width="17.83203125" bestFit="1" customWidth="1"/>
    <col min="7" max="7" width="47" bestFit="1" customWidth="1"/>
    <col min="8" max="8" width="12.1640625" bestFit="1" customWidth="1"/>
    <col min="9" max="9" width="11.1640625" bestFit="1" customWidth="1"/>
    <col min="10" max="10" width="7.5" bestFit="1" customWidth="1"/>
    <col min="11" max="11" width="12.1640625" bestFit="1" customWidth="1"/>
    <col min="12" max="12" width="11.1640625" bestFit="1" customWidth="1"/>
    <col min="13" max="13" width="19.1640625" style="6" bestFit="1" customWidth="1"/>
    <col min="14" max="15" width="19.33203125" style="6" bestFit="1" customWidth="1"/>
  </cols>
  <sheetData>
    <row r="1" spans="1:15" x14ac:dyDescent="0.2">
      <c r="A1" s="1"/>
      <c r="B1" s="2"/>
      <c r="C1" s="2"/>
      <c r="D1" s="2"/>
      <c r="E1" s="2"/>
      <c r="F1" s="2"/>
      <c r="G1" s="2"/>
      <c r="H1" s="44" t="s">
        <v>222</v>
      </c>
      <c r="I1" s="45"/>
      <c r="J1" s="3"/>
      <c r="K1" s="44" t="s">
        <v>222</v>
      </c>
      <c r="L1" s="45"/>
      <c r="M1" s="4" t="s">
        <v>223</v>
      </c>
      <c r="N1" s="4" t="s">
        <v>224</v>
      </c>
      <c r="O1" s="4" t="s">
        <v>225</v>
      </c>
    </row>
    <row r="2" spans="1:15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226</v>
      </c>
      <c r="H2" s="4" t="s">
        <v>227</v>
      </c>
      <c r="I2" s="4" t="s">
        <v>16</v>
      </c>
      <c r="J2" s="4" t="s">
        <v>228</v>
      </c>
      <c r="K2" s="4" t="s">
        <v>229</v>
      </c>
      <c r="L2" s="1" t="s">
        <v>16</v>
      </c>
      <c r="M2" s="4" t="s">
        <v>23</v>
      </c>
      <c r="N2" s="4" t="s">
        <v>23</v>
      </c>
      <c r="O2" s="4" t="s">
        <v>23</v>
      </c>
    </row>
    <row r="3" spans="1:15" x14ac:dyDescent="0.2">
      <c r="A3" s="5" t="b">
        <v>0</v>
      </c>
      <c r="B3" s="6" t="s">
        <v>7</v>
      </c>
      <c r="C3" s="6" t="s">
        <v>8</v>
      </c>
      <c r="D3" s="6" t="s">
        <v>9</v>
      </c>
      <c r="E3" s="7"/>
      <c r="F3" s="6" t="s">
        <v>10</v>
      </c>
      <c r="G3" s="6" t="s">
        <v>230</v>
      </c>
      <c r="H3" s="5"/>
      <c r="I3" s="6">
        <v>222.87</v>
      </c>
      <c r="J3" s="6">
        <v>1</v>
      </c>
      <c r="K3" s="6"/>
      <c r="L3" s="5">
        <f>I3*J3*1000</f>
        <v>222870</v>
      </c>
    </row>
    <row r="4" spans="1:15" x14ac:dyDescent="0.2">
      <c r="A4" s="5" t="b">
        <v>0</v>
      </c>
      <c r="B4" s="6" t="s">
        <v>34</v>
      </c>
      <c r="C4" s="6" t="s">
        <v>35</v>
      </c>
      <c r="D4" s="6" t="s">
        <v>9</v>
      </c>
      <c r="E4" s="7"/>
      <c r="F4" s="6" t="s">
        <v>10</v>
      </c>
      <c r="G4" s="6" t="s">
        <v>230</v>
      </c>
      <c r="H4" s="5"/>
      <c r="I4" s="6">
        <v>84.29</v>
      </c>
      <c r="J4" s="6">
        <v>1</v>
      </c>
      <c r="K4" s="6"/>
      <c r="L4" s="5">
        <f t="shared" ref="L4:L18" si="0">I4*J4*1000</f>
        <v>84290</v>
      </c>
    </row>
    <row r="5" spans="1:15" x14ac:dyDescent="0.2">
      <c r="A5" s="5" t="b">
        <v>0</v>
      </c>
      <c r="B5" s="6" t="s">
        <v>36</v>
      </c>
      <c r="C5" s="6" t="s">
        <v>37</v>
      </c>
      <c r="D5" s="6" t="s">
        <v>9</v>
      </c>
      <c r="E5" s="7"/>
      <c r="F5" s="6" t="s">
        <v>10</v>
      </c>
      <c r="G5" s="6" t="s">
        <v>230</v>
      </c>
      <c r="H5" s="5"/>
      <c r="I5" s="6">
        <v>87.14</v>
      </c>
      <c r="J5" s="6">
        <v>1</v>
      </c>
      <c r="K5" s="6"/>
      <c r="L5" s="5">
        <f t="shared" si="0"/>
        <v>87140</v>
      </c>
    </row>
    <row r="6" spans="1:15" x14ac:dyDescent="0.2">
      <c r="A6" s="5" t="b">
        <v>0</v>
      </c>
      <c r="B6" s="6" t="s">
        <v>38</v>
      </c>
      <c r="C6" s="6" t="s">
        <v>39</v>
      </c>
      <c r="D6" s="6" t="s">
        <v>9</v>
      </c>
      <c r="E6" s="7"/>
      <c r="F6" s="6" t="s">
        <v>10</v>
      </c>
      <c r="G6" s="6" t="s">
        <v>230</v>
      </c>
      <c r="H6" s="5"/>
      <c r="I6" s="6">
        <v>64.290000000000006</v>
      </c>
      <c r="J6" s="6">
        <v>1</v>
      </c>
      <c r="K6" s="6"/>
      <c r="L6" s="5">
        <f t="shared" si="0"/>
        <v>64290.000000000007</v>
      </c>
    </row>
    <row r="7" spans="1:15" x14ac:dyDescent="0.2">
      <c r="A7" s="5" t="b">
        <v>0</v>
      </c>
      <c r="B7" s="6" t="s">
        <v>40</v>
      </c>
      <c r="C7" s="6" t="s">
        <v>41</v>
      </c>
      <c r="D7" s="6" t="s">
        <v>9</v>
      </c>
      <c r="E7" s="7"/>
      <c r="F7" s="6" t="s">
        <v>10</v>
      </c>
      <c r="G7" s="6" t="s">
        <v>230</v>
      </c>
      <c r="H7" s="5"/>
      <c r="I7" s="6">
        <v>68.569999999999993</v>
      </c>
      <c r="J7" s="6">
        <v>1</v>
      </c>
      <c r="K7" s="6">
        <f>H7*J7*1000</f>
        <v>0</v>
      </c>
      <c r="L7" s="5">
        <f t="shared" si="0"/>
        <v>68570</v>
      </c>
    </row>
    <row r="8" spans="1:15" x14ac:dyDescent="0.2">
      <c r="A8" s="5" t="b">
        <v>0</v>
      </c>
      <c r="B8" s="6" t="s">
        <v>42</v>
      </c>
      <c r="C8" s="6" t="s">
        <v>43</v>
      </c>
      <c r="D8" s="6" t="s">
        <v>44</v>
      </c>
      <c r="E8" s="7">
        <v>1</v>
      </c>
      <c r="F8" s="6" t="s">
        <v>231</v>
      </c>
      <c r="G8" s="6" t="s">
        <v>232</v>
      </c>
      <c r="H8" s="6">
        <v>0</v>
      </c>
      <c r="I8" s="6">
        <v>55.71</v>
      </c>
      <c r="J8" s="6">
        <v>1</v>
      </c>
      <c r="K8" s="6">
        <f>H8*J8*1000</f>
        <v>0</v>
      </c>
      <c r="L8" s="5">
        <f t="shared" si="0"/>
        <v>55710</v>
      </c>
      <c r="M8" s="6">
        <v>100</v>
      </c>
      <c r="N8" s="6">
        <v>100</v>
      </c>
      <c r="O8" s="6">
        <v>100</v>
      </c>
    </row>
    <row r="9" spans="1:15" x14ac:dyDescent="0.2">
      <c r="A9" s="5" t="b">
        <v>0</v>
      </c>
      <c r="B9" s="6" t="s">
        <v>47</v>
      </c>
      <c r="C9" s="6" t="s">
        <v>48</v>
      </c>
      <c r="D9" s="6" t="s">
        <v>49</v>
      </c>
      <c r="E9" s="7">
        <v>2</v>
      </c>
      <c r="F9" s="6" t="s">
        <v>233</v>
      </c>
      <c r="G9" s="6" t="s">
        <v>234</v>
      </c>
      <c r="H9" s="6">
        <v>1E-3</v>
      </c>
      <c r="I9" s="6">
        <v>2005.93</v>
      </c>
      <c r="J9" s="6">
        <v>1</v>
      </c>
      <c r="K9" s="6">
        <f>H9*J9*1000</f>
        <v>1</v>
      </c>
      <c r="L9" s="5">
        <f t="shared" si="0"/>
        <v>2005930</v>
      </c>
      <c r="M9" s="6">
        <v>92.9</v>
      </c>
      <c r="N9" s="6">
        <v>95.8</v>
      </c>
      <c r="O9" s="6">
        <v>96.8</v>
      </c>
    </row>
    <row r="10" spans="1:15" x14ac:dyDescent="0.2">
      <c r="A10" s="5" t="b">
        <v>0</v>
      </c>
      <c r="B10" s="6" t="s">
        <v>51</v>
      </c>
      <c r="C10" s="6" t="s">
        <v>52</v>
      </c>
      <c r="D10" s="6" t="s">
        <v>49</v>
      </c>
      <c r="E10" s="7">
        <v>3</v>
      </c>
      <c r="F10" s="6" t="s">
        <v>235</v>
      </c>
      <c r="G10" s="6" t="s">
        <v>236</v>
      </c>
      <c r="H10" s="6">
        <v>8.9999999999999993E-3</v>
      </c>
      <c r="I10" s="6">
        <v>20668.57</v>
      </c>
      <c r="J10" s="6">
        <v>1</v>
      </c>
      <c r="K10" s="6">
        <f t="shared" ref="K10:K17" si="1">H10*J10*1000</f>
        <v>9</v>
      </c>
      <c r="L10" s="5">
        <f t="shared" si="0"/>
        <v>20668570</v>
      </c>
      <c r="M10" s="6">
        <v>92</v>
      </c>
      <c r="N10" s="6">
        <v>99.2</v>
      </c>
      <c r="O10" s="6">
        <v>94.7</v>
      </c>
    </row>
    <row r="11" spans="1:15" x14ac:dyDescent="0.2">
      <c r="A11" s="5" t="b">
        <v>0</v>
      </c>
      <c r="B11" s="6" t="s">
        <v>54</v>
      </c>
      <c r="C11" s="6" t="s">
        <v>55</v>
      </c>
      <c r="D11" s="6" t="s">
        <v>49</v>
      </c>
      <c r="E11" s="7">
        <v>4</v>
      </c>
      <c r="F11" s="6" t="s">
        <v>237</v>
      </c>
      <c r="G11" s="6" t="s">
        <v>238</v>
      </c>
      <c r="H11" s="6">
        <v>4.8000000000000001E-2</v>
      </c>
      <c r="I11" s="6">
        <v>108732.01</v>
      </c>
      <c r="J11" s="6">
        <v>1</v>
      </c>
      <c r="K11" s="6">
        <f>H11*J11*1000</f>
        <v>48</v>
      </c>
      <c r="L11" s="5">
        <f t="shared" si="0"/>
        <v>108732010</v>
      </c>
      <c r="M11" s="6">
        <v>110.8</v>
      </c>
      <c r="N11" s="6">
        <v>106.7</v>
      </c>
      <c r="O11" s="6">
        <v>112.1</v>
      </c>
    </row>
    <row r="12" spans="1:15" x14ac:dyDescent="0.2">
      <c r="A12" s="5" t="b">
        <v>0</v>
      </c>
      <c r="B12" s="6" t="s">
        <v>57</v>
      </c>
      <c r="C12" s="6" t="s">
        <v>58</v>
      </c>
      <c r="D12" s="6" t="s">
        <v>49</v>
      </c>
      <c r="E12" s="7">
        <v>5</v>
      </c>
      <c r="F12" s="6" t="s">
        <v>239</v>
      </c>
      <c r="G12" s="6" t="s">
        <v>240</v>
      </c>
      <c r="H12" s="6">
        <v>9.1999999999999998E-2</v>
      </c>
      <c r="I12" s="6">
        <v>205859.08</v>
      </c>
      <c r="J12" s="6">
        <v>1</v>
      </c>
      <c r="K12" s="6">
        <f t="shared" si="1"/>
        <v>92</v>
      </c>
      <c r="L12" s="5">
        <f t="shared" si="0"/>
        <v>205859080</v>
      </c>
      <c r="M12" s="6">
        <v>106.2</v>
      </c>
      <c r="N12" s="6">
        <v>110</v>
      </c>
      <c r="O12" s="6">
        <v>112.2</v>
      </c>
    </row>
    <row r="13" spans="1:15" x14ac:dyDescent="0.2">
      <c r="A13" s="5" t="b">
        <v>0</v>
      </c>
      <c r="B13" s="6" t="s">
        <v>61</v>
      </c>
      <c r="C13" s="6" t="s">
        <v>62</v>
      </c>
      <c r="D13" s="6" t="s">
        <v>49</v>
      </c>
      <c r="E13" s="7">
        <v>6</v>
      </c>
      <c r="F13" s="6" t="s">
        <v>241</v>
      </c>
      <c r="G13" s="6" t="s">
        <v>242</v>
      </c>
      <c r="H13" s="6">
        <v>0.496</v>
      </c>
      <c r="I13" s="6">
        <v>1114340.04</v>
      </c>
      <c r="J13" s="6">
        <v>1</v>
      </c>
      <c r="K13" s="6">
        <f t="shared" si="1"/>
        <v>496</v>
      </c>
      <c r="L13" s="5">
        <f t="shared" si="0"/>
        <v>1114340040</v>
      </c>
      <c r="M13" s="6">
        <v>109.8</v>
      </c>
      <c r="N13" s="6">
        <v>110</v>
      </c>
      <c r="O13" s="6">
        <v>122</v>
      </c>
    </row>
    <row r="14" spans="1:15" x14ac:dyDescent="0.2">
      <c r="A14" s="5" t="b">
        <v>0</v>
      </c>
      <c r="B14" s="6" t="s">
        <v>64</v>
      </c>
      <c r="C14" s="6" t="s">
        <v>65</v>
      </c>
      <c r="D14" s="6" t="s">
        <v>49</v>
      </c>
      <c r="E14" s="7">
        <v>7</v>
      </c>
      <c r="F14" s="6" t="s">
        <v>243</v>
      </c>
      <c r="G14" s="6" t="s">
        <v>244</v>
      </c>
      <c r="H14" s="6">
        <v>1.077</v>
      </c>
      <c r="I14" s="6">
        <v>2421724.7599999998</v>
      </c>
      <c r="J14" s="6">
        <v>1</v>
      </c>
      <c r="K14" s="6">
        <f t="shared" si="1"/>
        <v>1077</v>
      </c>
      <c r="L14" s="5">
        <f t="shared" si="0"/>
        <v>2421724760</v>
      </c>
      <c r="M14" s="6">
        <v>111.3</v>
      </c>
      <c r="N14" s="6">
        <v>118.2</v>
      </c>
      <c r="O14" s="6">
        <v>110.5</v>
      </c>
    </row>
    <row r="15" spans="1:15" x14ac:dyDescent="0.2">
      <c r="A15" s="5" t="b">
        <v>0</v>
      </c>
      <c r="B15" s="6" t="s">
        <v>68</v>
      </c>
      <c r="C15" s="6" t="s">
        <v>69</v>
      </c>
      <c r="D15" s="6" t="s">
        <v>49</v>
      </c>
      <c r="E15" s="7">
        <v>8</v>
      </c>
      <c r="F15" s="6" t="s">
        <v>245</v>
      </c>
      <c r="G15" s="6" t="s">
        <v>246</v>
      </c>
      <c r="H15" s="6">
        <v>9.7129999999999992</v>
      </c>
      <c r="I15" s="6">
        <v>21837173.600000001</v>
      </c>
      <c r="J15" s="6">
        <v>1</v>
      </c>
      <c r="K15" s="6">
        <f t="shared" si="1"/>
        <v>9713</v>
      </c>
      <c r="L15" s="5">
        <f t="shared" si="0"/>
        <v>21837173600</v>
      </c>
      <c r="M15" s="6">
        <v>103.9</v>
      </c>
      <c r="N15" s="6">
        <v>105.7</v>
      </c>
      <c r="O15" s="6">
        <v>108.3</v>
      </c>
    </row>
    <row r="16" spans="1:15" x14ac:dyDescent="0.2">
      <c r="A16" s="5" t="b">
        <v>0</v>
      </c>
      <c r="B16" s="6" t="s">
        <v>71</v>
      </c>
      <c r="C16" s="6" t="s">
        <v>72</v>
      </c>
      <c r="D16" s="6" t="s">
        <v>49</v>
      </c>
      <c r="E16" s="7">
        <v>9</v>
      </c>
      <c r="F16" s="6" t="s">
        <v>247</v>
      </c>
      <c r="G16" s="6" t="s">
        <v>248</v>
      </c>
      <c r="H16" s="6">
        <v>50.055999999999997</v>
      </c>
      <c r="I16" s="6">
        <v>112533001.18000001</v>
      </c>
      <c r="J16" s="6">
        <v>1</v>
      </c>
      <c r="K16" s="6">
        <f>H16*J16*1000</f>
        <v>50056</v>
      </c>
      <c r="L16" s="5">
        <f t="shared" si="0"/>
        <v>112533001180</v>
      </c>
      <c r="M16" s="6">
        <v>93.8</v>
      </c>
      <c r="N16" s="6">
        <v>108.6</v>
      </c>
      <c r="O16" s="6">
        <v>103.5</v>
      </c>
    </row>
    <row r="17" spans="1:15" x14ac:dyDescent="0.2">
      <c r="A17" s="5" t="b">
        <v>0</v>
      </c>
      <c r="B17" s="6" t="s">
        <v>74</v>
      </c>
      <c r="C17" s="6" t="s">
        <v>75</v>
      </c>
      <c r="D17" s="6" t="s">
        <v>9</v>
      </c>
      <c r="E17" s="7"/>
      <c r="F17" s="6" t="s">
        <v>10</v>
      </c>
      <c r="G17" s="6" t="s">
        <v>230</v>
      </c>
      <c r="H17" s="6">
        <v>0</v>
      </c>
      <c r="I17" s="6">
        <v>312.87</v>
      </c>
      <c r="J17" s="6">
        <v>1</v>
      </c>
      <c r="K17" s="6">
        <f t="shared" si="1"/>
        <v>0</v>
      </c>
      <c r="L17" s="5">
        <f t="shared" si="0"/>
        <v>312870</v>
      </c>
      <c r="M17" s="6">
        <v>98.2</v>
      </c>
      <c r="N17" s="6">
        <v>88.5</v>
      </c>
      <c r="O17" s="6">
        <v>101.3</v>
      </c>
    </row>
    <row r="18" spans="1:15" x14ac:dyDescent="0.2">
      <c r="A18" s="5" t="b">
        <v>0</v>
      </c>
      <c r="B18" s="6" t="s">
        <v>77</v>
      </c>
      <c r="C18" s="6" t="s">
        <v>78</v>
      </c>
      <c r="D18" s="6" t="s">
        <v>9</v>
      </c>
      <c r="E18" s="7"/>
      <c r="F18" s="6" t="s">
        <v>10</v>
      </c>
      <c r="G18" s="6" t="s">
        <v>230</v>
      </c>
      <c r="H18" s="6">
        <v>0</v>
      </c>
      <c r="I18" s="6">
        <v>135.72</v>
      </c>
      <c r="J18" s="6">
        <v>1</v>
      </c>
      <c r="K18" s="6">
        <f>H18*J18*1000</f>
        <v>0</v>
      </c>
      <c r="L18" s="5">
        <f t="shared" si="0"/>
        <v>135720</v>
      </c>
      <c r="M18" s="6">
        <v>88.2</v>
      </c>
      <c r="N18" s="6">
        <v>99.6</v>
      </c>
      <c r="O18" s="6">
        <v>101.2</v>
      </c>
    </row>
    <row r="19" spans="1:15" x14ac:dyDescent="0.2">
      <c r="A19" s="5" t="b">
        <v>0</v>
      </c>
      <c r="B19" s="6" t="s">
        <v>79</v>
      </c>
      <c r="C19" s="6" t="s">
        <v>80</v>
      </c>
      <c r="D19" s="6" t="s">
        <v>0</v>
      </c>
      <c r="E19" s="7"/>
      <c r="F19" s="6" t="s">
        <v>81</v>
      </c>
      <c r="G19" s="6" t="s">
        <v>252</v>
      </c>
      <c r="H19" s="6">
        <v>8.9999999999999993E-3</v>
      </c>
      <c r="I19" s="6">
        <v>20127.810000000001</v>
      </c>
      <c r="J19" s="6">
        <v>10</v>
      </c>
      <c r="K19" s="6">
        <f t="shared" ref="K19:K64" si="2">H19*J19*1000</f>
        <v>90</v>
      </c>
      <c r="L19" s="5">
        <f t="shared" ref="L19:L64" si="3">I19*J19</f>
        <v>201278.1</v>
      </c>
      <c r="M19" s="6">
        <v>88.4</v>
      </c>
      <c r="N19" s="6">
        <v>94.4</v>
      </c>
      <c r="O19" s="6">
        <v>91.1</v>
      </c>
    </row>
    <row r="20" spans="1:15" x14ac:dyDescent="0.2">
      <c r="A20" s="5" t="b">
        <v>0</v>
      </c>
      <c r="B20" s="6" t="s">
        <v>82</v>
      </c>
      <c r="C20" s="6" t="s">
        <v>83</v>
      </c>
      <c r="D20" s="6" t="s">
        <v>0</v>
      </c>
      <c r="E20" s="7"/>
      <c r="F20" s="6" t="s">
        <v>84</v>
      </c>
      <c r="G20" s="6" t="s">
        <v>253</v>
      </c>
      <c r="H20" s="6">
        <v>8.0000000000000002E-3</v>
      </c>
      <c r="I20" s="6">
        <v>18598.54</v>
      </c>
      <c r="J20" s="6">
        <v>10</v>
      </c>
      <c r="K20" s="6">
        <f t="shared" si="2"/>
        <v>80</v>
      </c>
      <c r="L20" s="5">
        <f t="shared" si="3"/>
        <v>185985.40000000002</v>
      </c>
      <c r="M20" s="6">
        <v>101.7</v>
      </c>
      <c r="N20" s="6">
        <v>108.2</v>
      </c>
      <c r="O20" s="6">
        <v>103.9</v>
      </c>
    </row>
    <row r="21" spans="1:15" x14ac:dyDescent="0.2">
      <c r="A21" s="5" t="b">
        <v>0</v>
      </c>
      <c r="B21" s="6" t="s">
        <v>85</v>
      </c>
      <c r="C21" s="6" t="s">
        <v>86</v>
      </c>
      <c r="D21" s="6" t="s">
        <v>0</v>
      </c>
      <c r="E21" s="7"/>
      <c r="F21" s="6" t="s">
        <v>87</v>
      </c>
      <c r="G21" s="6" t="s">
        <v>278</v>
      </c>
      <c r="H21" s="6">
        <v>8.9999999999999993E-3</v>
      </c>
      <c r="I21" s="6">
        <v>19913.25</v>
      </c>
      <c r="J21" s="6">
        <v>10</v>
      </c>
      <c r="K21" s="6">
        <f t="shared" si="2"/>
        <v>90</v>
      </c>
      <c r="L21" s="5">
        <f t="shared" si="3"/>
        <v>199132.5</v>
      </c>
      <c r="M21" s="6">
        <v>92.1</v>
      </c>
      <c r="N21" s="6">
        <v>110.5</v>
      </c>
      <c r="O21" s="6">
        <v>107.9</v>
      </c>
    </row>
    <row r="22" spans="1:15" x14ac:dyDescent="0.2">
      <c r="A22" s="5" t="b">
        <v>0</v>
      </c>
      <c r="B22" s="6" t="s">
        <v>88</v>
      </c>
      <c r="C22" s="6" t="s">
        <v>89</v>
      </c>
      <c r="D22" s="6" t="s">
        <v>0</v>
      </c>
      <c r="E22" s="7"/>
      <c r="F22" s="6" t="s">
        <v>90</v>
      </c>
      <c r="G22" s="6" t="s">
        <v>279</v>
      </c>
      <c r="H22" s="6">
        <v>8.0000000000000002E-3</v>
      </c>
      <c r="I22" s="6">
        <v>18575.59</v>
      </c>
      <c r="J22" s="6">
        <v>10</v>
      </c>
      <c r="K22" s="6">
        <f>H22*J22*1000</f>
        <v>80</v>
      </c>
      <c r="L22" s="5">
        <f t="shared" si="3"/>
        <v>185755.9</v>
      </c>
      <c r="M22" s="6">
        <v>85.8</v>
      </c>
      <c r="N22" s="6">
        <v>96.7</v>
      </c>
      <c r="O22" s="6">
        <v>92.8</v>
      </c>
    </row>
    <row r="23" spans="1:15" x14ac:dyDescent="0.2">
      <c r="A23" s="5" t="b">
        <v>0</v>
      </c>
      <c r="B23" s="6" t="s">
        <v>91</v>
      </c>
      <c r="C23" s="6" t="s">
        <v>92</v>
      </c>
      <c r="D23" s="6" t="s">
        <v>0</v>
      </c>
      <c r="E23" s="7"/>
      <c r="F23" s="6" t="s">
        <v>93</v>
      </c>
      <c r="G23" s="6" t="s">
        <v>280</v>
      </c>
      <c r="H23" s="6">
        <v>8.0000000000000002E-3</v>
      </c>
      <c r="I23" s="6">
        <v>18087.84</v>
      </c>
      <c r="J23" s="6">
        <v>10</v>
      </c>
      <c r="K23" s="6">
        <f>H23*J23*1000</f>
        <v>80</v>
      </c>
      <c r="L23" s="5">
        <f t="shared" si="3"/>
        <v>180878.4</v>
      </c>
      <c r="M23" s="6">
        <v>95.6</v>
      </c>
      <c r="N23" s="6">
        <v>103.6</v>
      </c>
      <c r="O23" s="6">
        <v>104.8</v>
      </c>
    </row>
    <row r="24" spans="1:15" x14ac:dyDescent="0.2">
      <c r="A24" s="5" t="b">
        <v>0</v>
      </c>
      <c r="B24" s="6" t="s">
        <v>94</v>
      </c>
      <c r="C24" s="6" t="s">
        <v>95</v>
      </c>
      <c r="D24" s="6" t="s">
        <v>0</v>
      </c>
      <c r="E24" s="7"/>
      <c r="F24" s="6" t="s">
        <v>96</v>
      </c>
      <c r="G24" s="6" t="s">
        <v>281</v>
      </c>
      <c r="H24" s="6">
        <v>8.0000000000000002E-3</v>
      </c>
      <c r="I24" s="6">
        <v>18519.830000000002</v>
      </c>
      <c r="J24" s="6">
        <v>10</v>
      </c>
      <c r="K24" s="6">
        <f t="shared" si="2"/>
        <v>80</v>
      </c>
      <c r="L24" s="5">
        <f t="shared" si="3"/>
        <v>185198.30000000002</v>
      </c>
      <c r="M24" s="6">
        <v>100.1</v>
      </c>
      <c r="N24" s="6">
        <v>105</v>
      </c>
      <c r="O24" s="6">
        <v>99.1</v>
      </c>
    </row>
    <row r="25" spans="1:15" x14ac:dyDescent="0.2">
      <c r="A25" s="5" t="b">
        <v>0</v>
      </c>
      <c r="B25" s="6" t="s">
        <v>97</v>
      </c>
      <c r="C25" s="6" t="s">
        <v>98</v>
      </c>
      <c r="D25" s="6" t="s">
        <v>0</v>
      </c>
      <c r="E25" s="7"/>
      <c r="F25" s="6" t="s">
        <v>99</v>
      </c>
      <c r="G25" s="6" t="s">
        <v>282</v>
      </c>
      <c r="H25" s="6">
        <v>8.0000000000000002E-3</v>
      </c>
      <c r="I25" s="6">
        <v>18538.43</v>
      </c>
      <c r="J25" s="6">
        <v>10</v>
      </c>
      <c r="K25" s="6">
        <f t="shared" si="2"/>
        <v>80</v>
      </c>
      <c r="L25" s="5">
        <f t="shared" si="3"/>
        <v>185384.3</v>
      </c>
      <c r="M25" s="6">
        <v>95.7</v>
      </c>
      <c r="N25" s="6">
        <v>93.9</v>
      </c>
      <c r="O25" s="6">
        <v>96.5</v>
      </c>
    </row>
    <row r="26" spans="1:15" x14ac:dyDescent="0.2">
      <c r="A26" s="5" t="b">
        <v>0</v>
      </c>
      <c r="B26" s="6" t="s">
        <v>100</v>
      </c>
      <c r="C26" s="6" t="s">
        <v>101</v>
      </c>
      <c r="D26" s="6" t="s">
        <v>0</v>
      </c>
      <c r="E26" s="7"/>
      <c r="F26" s="6" t="s">
        <v>102</v>
      </c>
      <c r="G26" s="6" t="s">
        <v>283</v>
      </c>
      <c r="H26" s="6">
        <v>8.0000000000000002E-3</v>
      </c>
      <c r="I26" s="6">
        <v>18492.66</v>
      </c>
      <c r="J26" s="6">
        <v>10</v>
      </c>
      <c r="K26" s="6">
        <f t="shared" si="2"/>
        <v>80</v>
      </c>
      <c r="L26" s="5">
        <f t="shared" si="3"/>
        <v>184926.6</v>
      </c>
      <c r="M26" s="6">
        <v>118.3</v>
      </c>
      <c r="N26" s="6">
        <v>117.1</v>
      </c>
      <c r="O26" s="6">
        <v>116.9</v>
      </c>
    </row>
    <row r="27" spans="1:15" x14ac:dyDescent="0.2">
      <c r="A27" s="5" t="b">
        <v>0</v>
      </c>
      <c r="B27" s="6" t="s">
        <v>103</v>
      </c>
      <c r="C27" s="6" t="s">
        <v>104</v>
      </c>
      <c r="D27" s="6" t="s">
        <v>0</v>
      </c>
      <c r="E27" s="7"/>
      <c r="F27" s="6" t="s">
        <v>105</v>
      </c>
      <c r="G27" s="6" t="s">
        <v>255</v>
      </c>
      <c r="H27" s="6">
        <v>1.7000000000000001E-2</v>
      </c>
      <c r="I27" s="6">
        <v>38642.49</v>
      </c>
      <c r="J27" s="6">
        <v>10</v>
      </c>
      <c r="K27" s="6">
        <f t="shared" si="2"/>
        <v>170</v>
      </c>
      <c r="L27" s="5">
        <f t="shared" si="3"/>
        <v>386424.89999999997</v>
      </c>
      <c r="M27" s="6">
        <v>105.7</v>
      </c>
      <c r="N27" s="6">
        <v>91.2</v>
      </c>
      <c r="O27" s="6">
        <v>87.1</v>
      </c>
    </row>
    <row r="28" spans="1:15" x14ac:dyDescent="0.2">
      <c r="A28" s="5" t="b">
        <v>0</v>
      </c>
      <c r="B28" s="6" t="s">
        <v>107</v>
      </c>
      <c r="C28" s="6" t="s">
        <v>108</v>
      </c>
      <c r="D28" s="6" t="s">
        <v>0</v>
      </c>
      <c r="E28" s="7"/>
      <c r="F28" s="6" t="s">
        <v>109</v>
      </c>
      <c r="G28" s="6" t="s">
        <v>256</v>
      </c>
      <c r="H28" s="6">
        <v>1.7000000000000001E-2</v>
      </c>
      <c r="I28" s="6">
        <v>37745.620000000003</v>
      </c>
      <c r="J28" s="6">
        <v>10</v>
      </c>
      <c r="K28" s="6">
        <f t="shared" si="2"/>
        <v>170</v>
      </c>
      <c r="L28" s="5">
        <f t="shared" si="3"/>
        <v>377456.2</v>
      </c>
      <c r="M28" s="6">
        <v>128.1</v>
      </c>
      <c r="N28" s="6">
        <v>115.5</v>
      </c>
      <c r="O28" s="6">
        <v>112.5</v>
      </c>
    </row>
    <row r="29" spans="1:15" x14ac:dyDescent="0.2">
      <c r="A29" s="5" t="b">
        <v>0</v>
      </c>
      <c r="B29" s="6" t="s">
        <v>110</v>
      </c>
      <c r="C29" s="6" t="s">
        <v>111</v>
      </c>
      <c r="D29" s="6" t="s">
        <v>0</v>
      </c>
      <c r="E29" s="7"/>
      <c r="F29" s="6" t="s">
        <v>112</v>
      </c>
      <c r="G29" s="6" t="s">
        <v>254</v>
      </c>
      <c r="H29" s="6">
        <v>1.7000000000000001E-2</v>
      </c>
      <c r="I29" s="6">
        <v>38662.410000000003</v>
      </c>
      <c r="J29" s="6">
        <v>10</v>
      </c>
      <c r="K29" s="6">
        <f t="shared" si="2"/>
        <v>170</v>
      </c>
      <c r="L29" s="5">
        <f t="shared" si="3"/>
        <v>386624.10000000003</v>
      </c>
      <c r="M29" s="6">
        <v>99</v>
      </c>
      <c r="N29" s="6">
        <v>104.4</v>
      </c>
      <c r="O29" s="6">
        <v>106.1</v>
      </c>
    </row>
    <row r="30" spans="1:15" x14ac:dyDescent="0.2">
      <c r="A30" s="5" t="b">
        <v>0</v>
      </c>
      <c r="B30" s="6" t="s">
        <v>113</v>
      </c>
      <c r="C30" s="6" t="s">
        <v>114</v>
      </c>
      <c r="D30" s="6" t="s">
        <v>0</v>
      </c>
      <c r="E30" s="7"/>
      <c r="F30" s="6" t="s">
        <v>115</v>
      </c>
      <c r="G30" s="6" t="s">
        <v>257</v>
      </c>
      <c r="H30" s="6">
        <v>1.7000000000000001E-2</v>
      </c>
      <c r="I30" s="6">
        <v>37495.01</v>
      </c>
      <c r="J30" s="6">
        <v>10</v>
      </c>
      <c r="K30" s="6">
        <f t="shared" si="2"/>
        <v>170</v>
      </c>
      <c r="L30" s="5">
        <f t="shared" si="3"/>
        <v>374950.10000000003</v>
      </c>
      <c r="M30" s="6">
        <v>95.7</v>
      </c>
      <c r="N30" s="6">
        <v>109</v>
      </c>
      <c r="O30" s="6">
        <v>97.3</v>
      </c>
    </row>
    <row r="31" spans="1:15" x14ac:dyDescent="0.2">
      <c r="A31" s="5" t="b">
        <v>0</v>
      </c>
      <c r="B31" s="6" t="s">
        <v>116</v>
      </c>
      <c r="C31" s="6" t="s">
        <v>117</v>
      </c>
      <c r="D31" s="6" t="s">
        <v>0</v>
      </c>
      <c r="E31" s="7"/>
      <c r="F31" s="6" t="s">
        <v>118</v>
      </c>
      <c r="G31" s="6" t="s">
        <v>258</v>
      </c>
      <c r="H31" s="6">
        <v>1.7000000000000001E-2</v>
      </c>
      <c r="I31" s="6">
        <v>38092.230000000003</v>
      </c>
      <c r="J31" s="6">
        <v>10</v>
      </c>
      <c r="K31" s="6">
        <f t="shared" si="2"/>
        <v>170</v>
      </c>
      <c r="L31" s="5">
        <f t="shared" si="3"/>
        <v>380922.30000000005</v>
      </c>
      <c r="M31" s="6">
        <v>107.9</v>
      </c>
      <c r="N31" s="6">
        <v>104.2</v>
      </c>
      <c r="O31" s="6">
        <v>101.3</v>
      </c>
    </row>
    <row r="32" spans="1:15" x14ac:dyDescent="0.2">
      <c r="A32" s="5" t="b">
        <v>0</v>
      </c>
      <c r="B32" s="6" t="s">
        <v>120</v>
      </c>
      <c r="C32" s="6" t="s">
        <v>121</v>
      </c>
      <c r="D32" s="6" t="s">
        <v>0</v>
      </c>
      <c r="E32" s="7"/>
      <c r="F32" s="6" t="s">
        <v>122</v>
      </c>
      <c r="G32" s="6" t="s">
        <v>259</v>
      </c>
      <c r="H32" s="6">
        <v>1.7000000000000001E-2</v>
      </c>
      <c r="I32" s="6">
        <v>37459.050000000003</v>
      </c>
      <c r="J32" s="6">
        <v>10</v>
      </c>
      <c r="K32" s="6">
        <f t="shared" si="2"/>
        <v>170</v>
      </c>
      <c r="L32" s="5">
        <f t="shared" si="3"/>
        <v>374590.5</v>
      </c>
      <c r="M32" s="6">
        <v>121.3</v>
      </c>
      <c r="N32" s="6">
        <v>90.8</v>
      </c>
      <c r="O32" s="6">
        <v>96</v>
      </c>
    </row>
    <row r="33" spans="1:15" x14ac:dyDescent="0.2">
      <c r="A33" s="5" t="b">
        <v>0</v>
      </c>
      <c r="B33" s="6" t="s">
        <v>123</v>
      </c>
      <c r="C33" s="6" t="s">
        <v>124</v>
      </c>
      <c r="D33" s="6" t="s">
        <v>0</v>
      </c>
      <c r="E33" s="7"/>
      <c r="F33" s="6" t="s">
        <v>125</v>
      </c>
      <c r="G33" s="6" t="s">
        <v>260</v>
      </c>
      <c r="H33" s="6">
        <v>8.8999999999999996E-2</v>
      </c>
      <c r="I33" s="6">
        <v>199946.6</v>
      </c>
      <c r="J33" s="6">
        <v>10</v>
      </c>
      <c r="K33" s="6">
        <f t="shared" si="2"/>
        <v>889.99999999999989</v>
      </c>
      <c r="L33" s="5">
        <f t="shared" si="3"/>
        <v>1999466</v>
      </c>
      <c r="M33" s="6">
        <v>112.4</v>
      </c>
      <c r="N33" s="6">
        <v>102.9</v>
      </c>
      <c r="O33" s="6">
        <v>94.2</v>
      </c>
    </row>
    <row r="34" spans="1:15" x14ac:dyDescent="0.2">
      <c r="A34" s="5" t="b">
        <v>0</v>
      </c>
      <c r="B34" s="6" t="s">
        <v>127</v>
      </c>
      <c r="C34" s="6" t="s">
        <v>128</v>
      </c>
      <c r="D34" s="6" t="s">
        <v>0</v>
      </c>
      <c r="E34" s="7"/>
      <c r="F34" s="6" t="s">
        <v>129</v>
      </c>
      <c r="G34" s="6" t="s">
        <v>261</v>
      </c>
      <c r="H34" s="6">
        <v>9.2999999999999999E-2</v>
      </c>
      <c r="I34" s="6">
        <v>208780.63</v>
      </c>
      <c r="J34" s="6">
        <v>10</v>
      </c>
      <c r="K34" s="6">
        <f t="shared" si="2"/>
        <v>929.99999999999989</v>
      </c>
      <c r="L34" s="5">
        <f t="shared" si="3"/>
        <v>2087806.3</v>
      </c>
      <c r="M34" s="6">
        <v>126</v>
      </c>
      <c r="N34" s="6">
        <v>92.7</v>
      </c>
      <c r="O34" s="6">
        <v>91.1</v>
      </c>
    </row>
    <row r="35" spans="1:15" x14ac:dyDescent="0.2">
      <c r="A35" s="5" t="b">
        <v>0</v>
      </c>
      <c r="B35" s="6" t="s">
        <v>130</v>
      </c>
      <c r="C35" s="6" t="s">
        <v>131</v>
      </c>
      <c r="D35" s="6" t="s">
        <v>0</v>
      </c>
      <c r="E35" s="7"/>
      <c r="F35" s="6" t="s">
        <v>132</v>
      </c>
      <c r="G35" s="6" t="s">
        <v>262</v>
      </c>
      <c r="H35" s="6">
        <v>9.0999999999999998E-2</v>
      </c>
      <c r="I35" s="6">
        <v>204463.66</v>
      </c>
      <c r="J35" s="6">
        <v>10</v>
      </c>
      <c r="K35" s="6">
        <f t="shared" si="2"/>
        <v>909.99999999999989</v>
      </c>
      <c r="L35" s="5">
        <f t="shared" si="3"/>
        <v>2044636.6</v>
      </c>
      <c r="M35" s="6">
        <v>109</v>
      </c>
      <c r="N35" s="6">
        <v>105.9</v>
      </c>
      <c r="O35" s="6">
        <v>101.7</v>
      </c>
    </row>
    <row r="36" spans="1:15" x14ac:dyDescent="0.2">
      <c r="A36" s="5" t="b">
        <v>0</v>
      </c>
      <c r="B36" s="6" t="s">
        <v>134</v>
      </c>
      <c r="C36" s="6" t="s">
        <v>135</v>
      </c>
      <c r="D36" s="6" t="s">
        <v>0</v>
      </c>
      <c r="E36" s="7"/>
      <c r="F36" s="6" t="s">
        <v>136</v>
      </c>
      <c r="G36" s="6" t="s">
        <v>263</v>
      </c>
      <c r="H36" s="6">
        <v>9.6000000000000002E-2</v>
      </c>
      <c r="I36" s="6">
        <v>216922.52</v>
      </c>
      <c r="J36" s="6">
        <v>10</v>
      </c>
      <c r="K36" s="6">
        <f t="shared" si="2"/>
        <v>960</v>
      </c>
      <c r="L36" s="5">
        <f t="shared" si="3"/>
        <v>2169225.1999999997</v>
      </c>
      <c r="M36" s="6">
        <v>122</v>
      </c>
      <c r="N36" s="6">
        <v>110.3</v>
      </c>
      <c r="O36" s="6">
        <v>108.3</v>
      </c>
    </row>
    <row r="37" spans="1:15" x14ac:dyDescent="0.2">
      <c r="A37" s="5" t="b">
        <v>0</v>
      </c>
      <c r="B37" s="6" t="s">
        <v>137</v>
      </c>
      <c r="C37" s="6" t="s">
        <v>138</v>
      </c>
      <c r="D37" s="6" t="s">
        <v>0</v>
      </c>
      <c r="E37" s="7"/>
      <c r="F37" s="6" t="s">
        <v>139</v>
      </c>
      <c r="G37" s="6" t="s">
        <v>264</v>
      </c>
      <c r="H37" s="6">
        <v>8.5000000000000006E-2</v>
      </c>
      <c r="I37" s="6">
        <v>191915.32</v>
      </c>
      <c r="J37" s="6">
        <v>10</v>
      </c>
      <c r="K37" s="6">
        <f t="shared" si="2"/>
        <v>850.00000000000011</v>
      </c>
      <c r="L37" s="5">
        <f t="shared" si="3"/>
        <v>1919153.2000000002</v>
      </c>
      <c r="M37" s="6">
        <v>102.5</v>
      </c>
      <c r="N37" s="6">
        <v>101.5</v>
      </c>
      <c r="O37" s="6">
        <v>98.5</v>
      </c>
    </row>
    <row r="38" spans="1:15" x14ac:dyDescent="0.2">
      <c r="A38" s="5" t="b">
        <v>0</v>
      </c>
      <c r="B38" s="6" t="s">
        <v>141</v>
      </c>
      <c r="C38" s="6" t="s">
        <v>142</v>
      </c>
      <c r="D38" s="6" t="s">
        <v>0</v>
      </c>
      <c r="E38" s="7"/>
      <c r="F38" s="6" t="s">
        <v>143</v>
      </c>
      <c r="G38" s="6" t="s">
        <v>265</v>
      </c>
      <c r="H38" s="6">
        <v>9.5000000000000001E-2</v>
      </c>
      <c r="I38" s="6">
        <v>212674.87</v>
      </c>
      <c r="J38" s="6">
        <v>10</v>
      </c>
      <c r="K38" s="6">
        <f t="shared" si="2"/>
        <v>950</v>
      </c>
      <c r="L38" s="5">
        <f t="shared" si="3"/>
        <v>2126748.7000000002</v>
      </c>
      <c r="M38" s="6">
        <v>130.6</v>
      </c>
      <c r="N38" s="6">
        <v>104.6</v>
      </c>
      <c r="O38" s="6">
        <v>94.1</v>
      </c>
    </row>
    <row r="39" spans="1:15" x14ac:dyDescent="0.2">
      <c r="A39" s="5" t="b">
        <v>0</v>
      </c>
      <c r="B39" s="6" t="s">
        <v>144</v>
      </c>
      <c r="C39" s="6" t="s">
        <v>145</v>
      </c>
      <c r="D39" s="6" t="s">
        <v>9</v>
      </c>
      <c r="E39" s="7"/>
      <c r="F39" s="6" t="s">
        <v>10</v>
      </c>
      <c r="G39" s="6" t="s">
        <v>230</v>
      </c>
      <c r="H39" s="6">
        <v>0</v>
      </c>
      <c r="I39" s="6">
        <v>197.15</v>
      </c>
      <c r="J39" s="6">
        <v>1</v>
      </c>
      <c r="K39" s="6">
        <f t="shared" si="2"/>
        <v>0</v>
      </c>
      <c r="L39" s="5">
        <f t="shared" si="3"/>
        <v>197.15</v>
      </c>
      <c r="M39" s="6">
        <v>84.9</v>
      </c>
      <c r="N39" s="6">
        <v>119.7</v>
      </c>
      <c r="O39" s="6">
        <v>107.3</v>
      </c>
    </row>
    <row r="40" spans="1:15" x14ac:dyDescent="0.2">
      <c r="A40" s="5" t="b">
        <v>0</v>
      </c>
      <c r="B40" s="6" t="s">
        <v>148</v>
      </c>
      <c r="C40" s="6" t="s">
        <v>149</v>
      </c>
      <c r="D40" s="6" t="s">
        <v>150</v>
      </c>
      <c r="E40" s="7"/>
      <c r="F40" s="6" t="s">
        <v>150</v>
      </c>
      <c r="G40" s="6" t="s">
        <v>240</v>
      </c>
      <c r="H40" s="6">
        <v>9.5000000000000001E-2</v>
      </c>
      <c r="I40" s="6">
        <v>214448.18</v>
      </c>
      <c r="J40" s="6">
        <v>1</v>
      </c>
      <c r="K40" s="6">
        <f t="shared" si="2"/>
        <v>95</v>
      </c>
      <c r="L40" s="5">
        <f t="shared" si="3"/>
        <v>214448.18</v>
      </c>
      <c r="M40" s="6">
        <v>114.4</v>
      </c>
      <c r="N40" s="6">
        <v>140</v>
      </c>
      <c r="O40" s="6">
        <v>145.4</v>
      </c>
    </row>
    <row r="41" spans="1:15" x14ac:dyDescent="0.2">
      <c r="A41" s="5" t="b">
        <v>0</v>
      </c>
      <c r="B41" s="6" t="s">
        <v>152</v>
      </c>
      <c r="C41" s="6" t="s">
        <v>153</v>
      </c>
      <c r="D41" s="6" t="s">
        <v>9</v>
      </c>
      <c r="E41" s="7"/>
      <c r="F41" s="6" t="s">
        <v>10</v>
      </c>
      <c r="G41" s="6" t="s">
        <v>230</v>
      </c>
      <c r="H41" s="6">
        <v>0</v>
      </c>
      <c r="I41" s="6">
        <v>132.86000000000001</v>
      </c>
      <c r="J41" s="6">
        <v>1</v>
      </c>
      <c r="K41" s="6">
        <f t="shared" si="2"/>
        <v>0</v>
      </c>
      <c r="L41" s="5">
        <f t="shared" si="3"/>
        <v>132.86000000000001</v>
      </c>
      <c r="M41" s="6">
        <v>86.9</v>
      </c>
      <c r="N41" s="6">
        <v>94.6</v>
      </c>
      <c r="O41" s="6">
        <v>96.1</v>
      </c>
    </row>
    <row r="42" spans="1:15" x14ac:dyDescent="0.2">
      <c r="A42" s="5" t="b">
        <v>0</v>
      </c>
      <c r="B42" s="6" t="s">
        <v>154</v>
      </c>
      <c r="C42" s="6" t="s">
        <v>155</v>
      </c>
      <c r="D42" s="6" t="s">
        <v>0</v>
      </c>
      <c r="E42" s="7"/>
      <c r="F42" s="6" t="s">
        <v>156</v>
      </c>
      <c r="G42" s="6" t="s">
        <v>266</v>
      </c>
      <c r="H42" s="6">
        <v>0.44600000000000001</v>
      </c>
      <c r="I42" s="6">
        <v>1003312.89</v>
      </c>
      <c r="J42" s="6">
        <v>20</v>
      </c>
      <c r="K42" s="6">
        <f t="shared" si="2"/>
        <v>8920</v>
      </c>
      <c r="L42" s="5">
        <f t="shared" si="3"/>
        <v>20066257.800000001</v>
      </c>
      <c r="M42" s="6">
        <v>102.6</v>
      </c>
      <c r="N42" s="6">
        <v>112.5</v>
      </c>
      <c r="O42" s="6">
        <v>105.9</v>
      </c>
    </row>
    <row r="43" spans="1:15" x14ac:dyDescent="0.2">
      <c r="A43" s="5" t="b">
        <v>0</v>
      </c>
      <c r="B43" s="6" t="s">
        <v>158</v>
      </c>
      <c r="C43" s="6" t="s">
        <v>159</v>
      </c>
      <c r="D43" s="6" t="s">
        <v>0</v>
      </c>
      <c r="E43" s="7"/>
      <c r="F43" s="6" t="s">
        <v>160</v>
      </c>
      <c r="G43" s="6" t="s">
        <v>267</v>
      </c>
      <c r="H43" s="6">
        <v>0.503</v>
      </c>
      <c r="I43" s="6">
        <v>1131268.1299999999</v>
      </c>
      <c r="J43" s="6">
        <v>20</v>
      </c>
      <c r="K43" s="6">
        <f t="shared" si="2"/>
        <v>10060</v>
      </c>
      <c r="L43" s="5">
        <f t="shared" si="3"/>
        <v>22625362.599999998</v>
      </c>
      <c r="M43" s="6">
        <v>124.6</v>
      </c>
      <c r="N43" s="6">
        <v>111.1</v>
      </c>
      <c r="O43" s="6">
        <v>115</v>
      </c>
    </row>
    <row r="44" spans="1:15" x14ac:dyDescent="0.2">
      <c r="A44" s="5" t="b">
        <v>0</v>
      </c>
      <c r="B44" s="6" t="s">
        <v>161</v>
      </c>
      <c r="C44" s="6" t="s">
        <v>162</v>
      </c>
      <c r="D44" s="6" t="s">
        <v>0</v>
      </c>
      <c r="E44" s="7"/>
      <c r="F44" s="6" t="s">
        <v>163</v>
      </c>
      <c r="G44" s="6" t="s">
        <v>268</v>
      </c>
      <c r="H44" s="6">
        <v>0.46800000000000003</v>
      </c>
      <c r="I44" s="6">
        <v>1053217.02</v>
      </c>
      <c r="J44" s="6">
        <v>20</v>
      </c>
      <c r="K44" s="6">
        <f t="shared" si="2"/>
        <v>9360.0000000000018</v>
      </c>
      <c r="L44" s="5">
        <f t="shared" si="3"/>
        <v>21064340.399999999</v>
      </c>
      <c r="M44" s="6">
        <v>84.5</v>
      </c>
      <c r="N44" s="6">
        <v>101.9</v>
      </c>
      <c r="O44" s="6">
        <v>87.2</v>
      </c>
    </row>
    <row r="45" spans="1:15" x14ac:dyDescent="0.2">
      <c r="A45" s="5" t="b">
        <v>0</v>
      </c>
      <c r="B45" s="6" t="s">
        <v>165</v>
      </c>
      <c r="C45" s="6" t="s">
        <v>166</v>
      </c>
      <c r="D45" s="6" t="s">
        <v>0</v>
      </c>
      <c r="E45" s="7"/>
      <c r="F45" s="6" t="s">
        <v>167</v>
      </c>
      <c r="G45" s="6" t="s">
        <v>269</v>
      </c>
      <c r="H45" s="6">
        <v>0.48</v>
      </c>
      <c r="I45" s="6">
        <v>1078157.02</v>
      </c>
      <c r="J45" s="6">
        <v>20</v>
      </c>
      <c r="K45" s="6">
        <f t="shared" si="2"/>
        <v>9600</v>
      </c>
      <c r="L45" s="5">
        <f t="shared" si="3"/>
        <v>21563140.399999999</v>
      </c>
      <c r="M45" s="6">
        <v>129.9</v>
      </c>
      <c r="N45" s="6">
        <v>110.3</v>
      </c>
      <c r="O45" s="6">
        <v>109.1</v>
      </c>
    </row>
    <row r="46" spans="1:15" x14ac:dyDescent="0.2">
      <c r="A46" s="5" t="b">
        <v>0</v>
      </c>
      <c r="B46" s="6" t="s">
        <v>168</v>
      </c>
      <c r="C46" s="6" t="s">
        <v>169</v>
      </c>
      <c r="D46" s="6" t="s">
        <v>0</v>
      </c>
      <c r="E46" s="7"/>
      <c r="F46" s="6" t="s">
        <v>170</v>
      </c>
      <c r="G46" s="6" t="s">
        <v>270</v>
      </c>
      <c r="H46" s="6">
        <v>0.46200000000000002</v>
      </c>
      <c r="I46" s="6">
        <v>1037757.96</v>
      </c>
      <c r="J46" s="6">
        <v>20</v>
      </c>
      <c r="K46" s="6">
        <f t="shared" si="2"/>
        <v>9240</v>
      </c>
      <c r="L46" s="5">
        <f t="shared" si="3"/>
        <v>20755159.199999999</v>
      </c>
      <c r="M46" s="6">
        <v>91.6</v>
      </c>
      <c r="N46" s="6">
        <v>102.1</v>
      </c>
      <c r="O46" s="6">
        <v>103</v>
      </c>
    </row>
    <row r="47" spans="1:15" x14ac:dyDescent="0.2">
      <c r="A47" s="5" t="b">
        <v>0</v>
      </c>
      <c r="B47" s="6" t="s">
        <v>171</v>
      </c>
      <c r="C47" s="6" t="s">
        <v>172</v>
      </c>
      <c r="D47" s="6" t="s">
        <v>0</v>
      </c>
      <c r="E47" s="7"/>
      <c r="F47" s="6" t="s">
        <v>173</v>
      </c>
      <c r="G47" s="6" t="s">
        <v>271</v>
      </c>
      <c r="H47" s="6">
        <v>0.46899999999999997</v>
      </c>
      <c r="I47" s="6">
        <v>1054590.45</v>
      </c>
      <c r="J47" s="6">
        <v>20</v>
      </c>
      <c r="K47" s="6">
        <f t="shared" si="2"/>
        <v>9379.9999999999982</v>
      </c>
      <c r="L47" s="5">
        <f t="shared" si="3"/>
        <v>21091809</v>
      </c>
      <c r="M47" s="6">
        <v>114.7</v>
      </c>
      <c r="N47" s="6">
        <v>94.1</v>
      </c>
      <c r="O47" s="6">
        <v>96.9</v>
      </c>
    </row>
    <row r="48" spans="1:15" x14ac:dyDescent="0.2">
      <c r="A48" s="5" t="b">
        <v>0</v>
      </c>
      <c r="B48" s="6" t="s">
        <v>174</v>
      </c>
      <c r="C48" s="6" t="s">
        <v>175</v>
      </c>
      <c r="D48" s="6" t="s">
        <v>0</v>
      </c>
      <c r="E48" s="7"/>
      <c r="F48" s="6" t="s">
        <v>176</v>
      </c>
      <c r="G48" s="6" t="s">
        <v>272</v>
      </c>
      <c r="H48" s="6">
        <v>3.7450000000000001</v>
      </c>
      <c r="I48" s="6">
        <v>8419250.5899999999</v>
      </c>
      <c r="J48" s="6">
        <v>20</v>
      </c>
      <c r="K48" s="6">
        <f t="shared" si="2"/>
        <v>74900</v>
      </c>
      <c r="L48" s="5">
        <f t="shared" si="3"/>
        <v>168385011.80000001</v>
      </c>
      <c r="M48" s="6">
        <v>91.6</v>
      </c>
      <c r="N48" s="6">
        <v>103.6</v>
      </c>
      <c r="O48" s="6">
        <v>92.5</v>
      </c>
    </row>
    <row r="49" spans="1:15" x14ac:dyDescent="0.2">
      <c r="A49" s="5" t="b">
        <v>0</v>
      </c>
      <c r="B49" s="6" t="s">
        <v>177</v>
      </c>
      <c r="C49" s="6" t="s">
        <v>178</v>
      </c>
      <c r="D49" s="6" t="s">
        <v>0</v>
      </c>
      <c r="E49" s="7"/>
      <c r="F49" s="6" t="s">
        <v>179</v>
      </c>
      <c r="G49" s="6" t="s">
        <v>273</v>
      </c>
      <c r="H49" s="6">
        <v>4.4889999999999999</v>
      </c>
      <c r="I49" s="6">
        <v>10091077.710000001</v>
      </c>
      <c r="J49" s="6">
        <v>20</v>
      </c>
      <c r="K49" s="6">
        <f t="shared" si="2"/>
        <v>89780</v>
      </c>
      <c r="L49" s="5">
        <f t="shared" si="3"/>
        <v>201821554.20000002</v>
      </c>
      <c r="M49" s="6">
        <v>89.1</v>
      </c>
      <c r="N49" s="6">
        <v>97.1</v>
      </c>
      <c r="O49" s="6">
        <v>88.7</v>
      </c>
    </row>
    <row r="50" spans="1:15" x14ac:dyDescent="0.2">
      <c r="A50" s="5" t="b">
        <v>0</v>
      </c>
      <c r="B50" s="6" t="s">
        <v>180</v>
      </c>
      <c r="C50" s="6" t="s">
        <v>181</v>
      </c>
      <c r="D50" s="6" t="s">
        <v>0</v>
      </c>
      <c r="E50" s="7"/>
      <c r="F50" s="6" t="s">
        <v>182</v>
      </c>
      <c r="G50" s="6" t="s">
        <v>274</v>
      </c>
      <c r="H50" s="6">
        <v>3.9729999999999999</v>
      </c>
      <c r="I50" s="6">
        <v>8931799.5099999998</v>
      </c>
      <c r="J50" s="6">
        <v>20</v>
      </c>
      <c r="K50" s="6">
        <f t="shared" si="2"/>
        <v>79460</v>
      </c>
      <c r="L50" s="5">
        <f t="shared" si="3"/>
        <v>178635990.19999999</v>
      </c>
      <c r="M50" s="6">
        <v>85.1</v>
      </c>
      <c r="N50" s="6">
        <v>91.4</v>
      </c>
      <c r="O50" s="6">
        <v>86.4</v>
      </c>
    </row>
    <row r="51" spans="1:15" x14ac:dyDescent="0.2">
      <c r="A51" s="5" t="b">
        <v>0</v>
      </c>
      <c r="B51" s="6" t="s">
        <v>183</v>
      </c>
      <c r="C51" s="6" t="s">
        <v>184</v>
      </c>
      <c r="D51" s="6" t="s">
        <v>0</v>
      </c>
      <c r="E51" s="7"/>
      <c r="F51" s="6" t="s">
        <v>185</v>
      </c>
      <c r="G51" s="6" t="s">
        <v>275</v>
      </c>
      <c r="H51" s="6">
        <v>4.7050000000000001</v>
      </c>
      <c r="I51" s="6">
        <v>10577160.199999999</v>
      </c>
      <c r="J51" s="6">
        <v>20</v>
      </c>
      <c r="K51" s="6">
        <f t="shared" si="2"/>
        <v>94100</v>
      </c>
      <c r="L51" s="5">
        <f t="shared" si="3"/>
        <v>211543204</v>
      </c>
      <c r="M51" s="6">
        <v>95.3</v>
      </c>
      <c r="N51" s="6">
        <v>96.7</v>
      </c>
      <c r="O51" s="6">
        <v>99.9</v>
      </c>
    </row>
    <row r="52" spans="1:15" x14ac:dyDescent="0.2">
      <c r="A52" s="5" t="b">
        <v>0</v>
      </c>
      <c r="B52" s="6" t="s">
        <v>186</v>
      </c>
      <c r="C52" s="6" t="s">
        <v>187</v>
      </c>
      <c r="D52" s="6" t="s">
        <v>0</v>
      </c>
      <c r="E52" s="7"/>
      <c r="F52" s="6" t="s">
        <v>188</v>
      </c>
      <c r="G52" s="6" t="s">
        <v>276</v>
      </c>
      <c r="H52" s="6">
        <v>5.0780000000000003</v>
      </c>
      <c r="I52" s="6">
        <v>11415385.9</v>
      </c>
      <c r="J52" s="6">
        <v>20</v>
      </c>
      <c r="K52" s="6">
        <f t="shared" si="2"/>
        <v>101560</v>
      </c>
      <c r="L52" s="5">
        <f t="shared" si="3"/>
        <v>228307718</v>
      </c>
      <c r="M52" s="6">
        <v>82</v>
      </c>
      <c r="N52" s="6">
        <v>103.1</v>
      </c>
      <c r="O52" s="6">
        <v>93.6</v>
      </c>
    </row>
    <row r="53" spans="1:15" x14ac:dyDescent="0.2">
      <c r="A53" s="5" t="b">
        <v>0</v>
      </c>
      <c r="B53" s="6" t="s">
        <v>189</v>
      </c>
      <c r="C53" s="6" t="s">
        <v>190</v>
      </c>
      <c r="D53" s="6" t="s">
        <v>0</v>
      </c>
      <c r="E53" s="7"/>
      <c r="F53" s="6" t="s">
        <v>191</v>
      </c>
      <c r="G53" s="6" t="s">
        <v>277</v>
      </c>
      <c r="H53" s="6">
        <v>4.7850000000000001</v>
      </c>
      <c r="I53" s="6">
        <v>10756878.77</v>
      </c>
      <c r="J53" s="6">
        <v>20</v>
      </c>
      <c r="K53" s="6">
        <f t="shared" si="2"/>
        <v>95700</v>
      </c>
      <c r="L53" s="5">
        <f t="shared" si="3"/>
        <v>215137575.39999998</v>
      </c>
      <c r="M53" s="6">
        <v>91.4</v>
      </c>
      <c r="N53" s="6">
        <v>100.4</v>
      </c>
      <c r="O53" s="6">
        <v>101.3</v>
      </c>
    </row>
    <row r="54" spans="1:15" x14ac:dyDescent="0.2">
      <c r="A54" s="5" t="b">
        <v>0</v>
      </c>
      <c r="B54" s="6" t="s">
        <v>192</v>
      </c>
      <c r="C54" s="6" t="s">
        <v>193</v>
      </c>
      <c r="D54" s="6" t="s">
        <v>9</v>
      </c>
      <c r="E54" s="7"/>
      <c r="F54" s="6" t="s">
        <v>194</v>
      </c>
      <c r="G54" s="6" t="s">
        <v>230</v>
      </c>
      <c r="H54" s="6">
        <v>1E-3</v>
      </c>
      <c r="I54" s="6">
        <v>1225.81</v>
      </c>
      <c r="J54" s="6">
        <v>1</v>
      </c>
      <c r="K54" s="6">
        <f t="shared" si="2"/>
        <v>1</v>
      </c>
      <c r="L54" s="5">
        <f t="shared" si="3"/>
        <v>1225.81</v>
      </c>
      <c r="M54" s="6">
        <v>103.7</v>
      </c>
      <c r="N54" s="6">
        <v>92.9</v>
      </c>
      <c r="O54" s="6">
        <v>94.6</v>
      </c>
    </row>
    <row r="55" spans="1:15" x14ac:dyDescent="0.2">
      <c r="A55" s="5" t="b">
        <v>0</v>
      </c>
      <c r="B55" s="6" t="s">
        <v>195</v>
      </c>
      <c r="C55" s="6" t="s">
        <v>196</v>
      </c>
      <c r="D55" s="6" t="s">
        <v>0</v>
      </c>
      <c r="E55" s="7"/>
      <c r="F55" s="6" t="s">
        <v>197</v>
      </c>
      <c r="G55" s="6" t="s">
        <v>284</v>
      </c>
      <c r="H55" s="6">
        <v>0</v>
      </c>
      <c r="I55" s="6">
        <v>304.3</v>
      </c>
      <c r="J55" s="6">
        <v>1</v>
      </c>
      <c r="K55" s="6">
        <f t="shared" si="2"/>
        <v>0</v>
      </c>
      <c r="L55" s="5">
        <f t="shared" si="3"/>
        <v>304.3</v>
      </c>
      <c r="M55" s="6">
        <v>85.6</v>
      </c>
      <c r="N55" s="6">
        <v>96.9</v>
      </c>
      <c r="O55" s="6">
        <v>98.6</v>
      </c>
    </row>
    <row r="56" spans="1:15" x14ac:dyDescent="0.2">
      <c r="A56" s="5" t="b">
        <v>0</v>
      </c>
      <c r="B56" s="6" t="s">
        <v>198</v>
      </c>
      <c r="C56" s="6" t="s">
        <v>199</v>
      </c>
      <c r="D56" s="6" t="s">
        <v>0</v>
      </c>
      <c r="E56" s="7"/>
      <c r="F56" s="6" t="s">
        <v>200</v>
      </c>
      <c r="G56" s="6" t="s">
        <v>285</v>
      </c>
      <c r="H56" s="6">
        <v>0.10100000000000001</v>
      </c>
      <c r="I56" s="6">
        <v>228159.45</v>
      </c>
      <c r="J56" s="6">
        <v>1</v>
      </c>
      <c r="K56" s="6">
        <f t="shared" si="2"/>
        <v>101</v>
      </c>
      <c r="L56" s="5">
        <f t="shared" si="3"/>
        <v>228159.45</v>
      </c>
      <c r="M56" s="6">
        <v>82.6</v>
      </c>
      <c r="N56" s="6">
        <v>108.2</v>
      </c>
      <c r="O56" s="6">
        <v>104.6</v>
      </c>
    </row>
    <row r="57" spans="1:15" x14ac:dyDescent="0.2">
      <c r="A57" s="5" t="b">
        <v>0</v>
      </c>
      <c r="B57" s="6" t="s">
        <v>201</v>
      </c>
      <c r="C57" s="6" t="s">
        <v>202</v>
      </c>
      <c r="D57" s="6" t="s">
        <v>0</v>
      </c>
      <c r="E57" s="7"/>
      <c r="F57" s="6" t="s">
        <v>203</v>
      </c>
      <c r="G57" s="19" t="s">
        <v>286</v>
      </c>
      <c r="H57" s="6">
        <v>9.9000000000000005E-2</v>
      </c>
      <c r="I57" s="6">
        <v>223702.31</v>
      </c>
      <c r="J57" s="6">
        <v>10</v>
      </c>
      <c r="K57" s="6">
        <f t="shared" si="2"/>
        <v>990</v>
      </c>
      <c r="L57" s="5">
        <f t="shared" si="3"/>
        <v>2237023.1</v>
      </c>
      <c r="M57" s="6">
        <v>84.4</v>
      </c>
      <c r="N57" s="6">
        <v>112.8</v>
      </c>
      <c r="O57" s="6">
        <v>100.1</v>
      </c>
    </row>
    <row r="58" spans="1:15" x14ac:dyDescent="0.2">
      <c r="A58" s="5" t="b">
        <v>0</v>
      </c>
      <c r="B58" s="6" t="s">
        <v>204</v>
      </c>
      <c r="C58" s="6" t="s">
        <v>205</v>
      </c>
      <c r="D58" s="6" t="s">
        <v>0</v>
      </c>
      <c r="E58" s="7"/>
      <c r="F58" s="6" t="s">
        <v>206</v>
      </c>
      <c r="G58" s="19" t="s">
        <v>287</v>
      </c>
      <c r="H58" s="6">
        <v>0.47899999999999998</v>
      </c>
      <c r="I58" s="6">
        <v>1077288.69</v>
      </c>
      <c r="J58" s="6">
        <v>20</v>
      </c>
      <c r="K58" s="6">
        <f t="shared" si="2"/>
        <v>9580</v>
      </c>
      <c r="L58" s="5">
        <f t="shared" si="3"/>
        <v>21545773.799999997</v>
      </c>
      <c r="M58" s="6">
        <v>85.2</v>
      </c>
      <c r="N58" s="6">
        <v>100.6</v>
      </c>
      <c r="O58" s="6">
        <v>96.3</v>
      </c>
    </row>
    <row r="59" spans="1:15" x14ac:dyDescent="0.2">
      <c r="A59" s="5" t="b">
        <v>0</v>
      </c>
      <c r="B59" s="6" t="s">
        <v>207</v>
      </c>
      <c r="C59" s="6" t="s">
        <v>208</v>
      </c>
      <c r="D59" s="6" t="s">
        <v>0</v>
      </c>
      <c r="E59" s="7"/>
      <c r="F59" s="6" t="s">
        <v>209</v>
      </c>
      <c r="G59" s="19" t="s">
        <v>288</v>
      </c>
      <c r="H59" s="6">
        <v>5.117</v>
      </c>
      <c r="I59" s="6">
        <v>11504051.619999999</v>
      </c>
      <c r="J59" s="6">
        <v>20</v>
      </c>
      <c r="K59" s="6">
        <f t="shared" si="2"/>
        <v>102340</v>
      </c>
      <c r="L59" s="5">
        <f t="shared" si="3"/>
        <v>230081032.39999998</v>
      </c>
      <c r="M59" s="6">
        <v>101</v>
      </c>
      <c r="N59" s="6">
        <v>104.2</v>
      </c>
      <c r="O59" s="6">
        <v>118.5</v>
      </c>
    </row>
    <row r="60" spans="1:15" x14ac:dyDescent="0.2">
      <c r="A60" s="5" t="b">
        <v>0</v>
      </c>
      <c r="B60" s="6" t="s">
        <v>210</v>
      </c>
      <c r="C60" s="6" t="s">
        <v>211</v>
      </c>
      <c r="D60" s="6" t="s">
        <v>9</v>
      </c>
      <c r="E60" s="7"/>
      <c r="F60" s="6" t="s">
        <v>10</v>
      </c>
      <c r="G60" s="6" t="s">
        <v>230</v>
      </c>
      <c r="H60" s="6">
        <v>0</v>
      </c>
      <c r="I60" s="6">
        <v>695.76</v>
      </c>
      <c r="J60" s="6">
        <v>1</v>
      </c>
      <c r="K60" s="6">
        <f t="shared" si="2"/>
        <v>0</v>
      </c>
      <c r="L60" s="5">
        <f t="shared" si="3"/>
        <v>695.76</v>
      </c>
      <c r="M60" s="6">
        <v>84.8</v>
      </c>
      <c r="N60" s="6">
        <v>89.1</v>
      </c>
      <c r="O60" s="6">
        <v>87</v>
      </c>
    </row>
    <row r="61" spans="1:15" x14ac:dyDescent="0.2">
      <c r="A61" s="5" t="b">
        <v>0</v>
      </c>
      <c r="B61" s="6" t="s">
        <v>213</v>
      </c>
      <c r="C61" s="6" t="s">
        <v>214</v>
      </c>
      <c r="D61" s="6" t="s">
        <v>9</v>
      </c>
      <c r="E61" s="7"/>
      <c r="F61" s="6" t="s">
        <v>10</v>
      </c>
      <c r="G61" s="6" t="s">
        <v>230</v>
      </c>
      <c r="H61" s="6">
        <v>0</v>
      </c>
      <c r="I61" s="6">
        <v>278.58999999999997</v>
      </c>
      <c r="J61" s="6">
        <v>1</v>
      </c>
      <c r="K61" s="6">
        <f t="shared" si="2"/>
        <v>0</v>
      </c>
      <c r="L61" s="5">
        <f t="shared" si="3"/>
        <v>278.58999999999997</v>
      </c>
      <c r="M61" s="6">
        <v>99.4</v>
      </c>
      <c r="N61" s="6">
        <v>108.2</v>
      </c>
      <c r="O61" s="6">
        <v>108.4</v>
      </c>
    </row>
    <row r="62" spans="1:15" x14ac:dyDescent="0.2">
      <c r="A62" s="5" t="b">
        <v>0</v>
      </c>
      <c r="B62" s="6" t="s">
        <v>215</v>
      </c>
      <c r="C62" s="6" t="s">
        <v>216</v>
      </c>
      <c r="D62" s="6" t="s">
        <v>249</v>
      </c>
      <c r="E62" s="7"/>
      <c r="F62" s="6" t="s">
        <v>249</v>
      </c>
      <c r="G62" s="6" t="s">
        <v>240</v>
      </c>
      <c r="H62" s="6">
        <v>9.1999999999999998E-2</v>
      </c>
      <c r="I62" s="6">
        <v>207367.06</v>
      </c>
      <c r="J62" s="6">
        <v>1</v>
      </c>
      <c r="K62" s="6">
        <f t="shared" si="2"/>
        <v>92</v>
      </c>
      <c r="L62" s="5">
        <f t="shared" si="3"/>
        <v>207367.06</v>
      </c>
      <c r="M62" s="6">
        <v>84</v>
      </c>
      <c r="N62" s="6">
        <v>97.5</v>
      </c>
      <c r="O62" s="6">
        <v>97.3</v>
      </c>
    </row>
    <row r="63" spans="1:15" x14ac:dyDescent="0.2">
      <c r="A63" s="5" t="b">
        <v>0</v>
      </c>
      <c r="B63" s="6" t="s">
        <v>218</v>
      </c>
      <c r="C63" s="6" t="s">
        <v>219</v>
      </c>
      <c r="D63" s="6" t="s">
        <v>9</v>
      </c>
      <c r="E63" s="7"/>
      <c r="F63" s="6" t="s">
        <v>10</v>
      </c>
      <c r="G63" s="6" t="s">
        <v>230</v>
      </c>
      <c r="H63" s="6">
        <v>0</v>
      </c>
      <c r="I63" s="6">
        <v>158.58000000000001</v>
      </c>
      <c r="J63" s="6">
        <v>1</v>
      </c>
      <c r="K63" s="6">
        <f t="shared" si="2"/>
        <v>0</v>
      </c>
      <c r="L63" s="5">
        <f t="shared" si="3"/>
        <v>158.58000000000001</v>
      </c>
      <c r="M63" s="6">
        <v>85.5</v>
      </c>
      <c r="N63" s="6">
        <v>101.3</v>
      </c>
      <c r="O63" s="6">
        <v>103.4</v>
      </c>
    </row>
    <row r="64" spans="1:15" x14ac:dyDescent="0.2">
      <c r="A64" s="6" t="b">
        <v>0</v>
      </c>
      <c r="B64" s="6" t="s">
        <v>220</v>
      </c>
      <c r="C64" s="6" t="s">
        <v>221</v>
      </c>
      <c r="D64" s="6" t="s">
        <v>9</v>
      </c>
      <c r="E64" s="6"/>
      <c r="F64" s="6" t="s">
        <v>10</v>
      </c>
      <c r="G64" s="6" t="s">
        <v>230</v>
      </c>
      <c r="H64" s="6">
        <v>0</v>
      </c>
      <c r="I64" s="6">
        <v>172.87</v>
      </c>
      <c r="J64" s="6">
        <v>1</v>
      </c>
      <c r="K64" s="6">
        <f t="shared" si="2"/>
        <v>0</v>
      </c>
      <c r="L64" s="5">
        <f t="shared" si="3"/>
        <v>172.87</v>
      </c>
      <c r="M64" s="21">
        <v>114.4</v>
      </c>
      <c r="N64" s="21">
        <v>111.9</v>
      </c>
      <c r="O64" s="21">
        <v>115.6</v>
      </c>
    </row>
    <row r="65" spans="1:15" x14ac:dyDescent="0.2">
      <c r="M65" s="25"/>
      <c r="N65" s="25"/>
      <c r="O65" s="25"/>
    </row>
    <row r="66" spans="1:15" x14ac:dyDescent="0.2">
      <c r="M66"/>
      <c r="N66"/>
      <c r="O66"/>
    </row>
    <row r="67" spans="1:15" x14ac:dyDescent="0.2">
      <c r="M67"/>
      <c r="N67"/>
      <c r="O67"/>
    </row>
    <row r="68" spans="1:15" x14ac:dyDescent="0.2">
      <c r="A68" s="8"/>
      <c r="M68"/>
      <c r="N68"/>
      <c r="O68"/>
    </row>
    <row r="69" spans="1:15" x14ac:dyDescent="0.2">
      <c r="M69"/>
      <c r="N69"/>
      <c r="O69"/>
    </row>
    <row r="70" spans="1:15" x14ac:dyDescent="0.2">
      <c r="M70"/>
      <c r="N70"/>
      <c r="O70"/>
    </row>
    <row r="71" spans="1:15" x14ac:dyDescent="0.2">
      <c r="M71"/>
      <c r="N71"/>
      <c r="O71"/>
    </row>
    <row r="72" spans="1:15" x14ac:dyDescent="0.2">
      <c r="M72"/>
      <c r="N72"/>
      <c r="O72"/>
    </row>
    <row r="73" spans="1:15" x14ac:dyDescent="0.2">
      <c r="M73"/>
      <c r="N73"/>
      <c r="O73"/>
    </row>
    <row r="74" spans="1:15" x14ac:dyDescent="0.2">
      <c r="M74"/>
      <c r="N74"/>
      <c r="O74"/>
    </row>
    <row r="75" spans="1:15" x14ac:dyDescent="0.2">
      <c r="M75"/>
      <c r="N75"/>
      <c r="O75"/>
    </row>
    <row r="76" spans="1:15" x14ac:dyDescent="0.2">
      <c r="M76"/>
      <c r="N76"/>
      <c r="O76"/>
    </row>
    <row r="77" spans="1:15" x14ac:dyDescent="0.2">
      <c r="M77"/>
      <c r="N77"/>
      <c r="O77"/>
    </row>
    <row r="78" spans="1:15" x14ac:dyDescent="0.2">
      <c r="G78" s="8"/>
      <c r="I78" s="8"/>
      <c r="M78"/>
      <c r="N78"/>
      <c r="O78"/>
    </row>
    <row r="79" spans="1:15" x14ac:dyDescent="0.2">
      <c r="G79" s="8"/>
      <c r="M79"/>
      <c r="N79"/>
      <c r="O79"/>
    </row>
    <row r="80" spans="1:15" x14ac:dyDescent="0.2">
      <c r="M80"/>
      <c r="N80"/>
      <c r="O80"/>
    </row>
    <row r="81" spans="3:15" x14ac:dyDescent="0.2">
      <c r="G81" s="8"/>
      <c r="M81"/>
      <c r="N81"/>
      <c r="O81"/>
    </row>
    <row r="82" spans="3:15" x14ac:dyDescent="0.2">
      <c r="G82" s="8"/>
      <c r="M82"/>
      <c r="N82"/>
      <c r="O82"/>
    </row>
    <row r="83" spans="3:15" x14ac:dyDescent="0.2">
      <c r="C83" s="9"/>
      <c r="I83" s="10"/>
      <c r="L83" s="10"/>
      <c r="M83"/>
      <c r="N83"/>
      <c r="O83"/>
    </row>
    <row r="84" spans="3:15" x14ac:dyDescent="0.2">
      <c r="C84" s="9"/>
      <c r="I84" s="10"/>
      <c r="L84" s="10"/>
      <c r="M84"/>
      <c r="N84"/>
      <c r="O84"/>
    </row>
    <row r="85" spans="3:15" x14ac:dyDescent="0.2">
      <c r="C85" s="9"/>
      <c r="I85" s="10"/>
      <c r="L85" s="10"/>
      <c r="M85"/>
      <c r="N85"/>
      <c r="O85"/>
    </row>
    <row r="86" spans="3:15" x14ac:dyDescent="0.2">
      <c r="C86" s="9"/>
      <c r="I86" s="10"/>
      <c r="L86" s="10"/>
      <c r="M86"/>
      <c r="N86"/>
      <c r="O86"/>
    </row>
    <row r="87" spans="3:15" x14ac:dyDescent="0.2">
      <c r="C87" s="9"/>
      <c r="I87" s="10"/>
      <c r="L87" s="10"/>
      <c r="M87"/>
      <c r="N87"/>
      <c r="O87"/>
    </row>
    <row r="88" spans="3:15" x14ac:dyDescent="0.2">
      <c r="C88" s="9"/>
      <c r="I88" s="10"/>
      <c r="L88" s="10"/>
      <c r="M88"/>
      <c r="N88"/>
      <c r="O88"/>
    </row>
    <row r="89" spans="3:15" x14ac:dyDescent="0.2">
      <c r="C89" s="9"/>
      <c r="I89" s="10"/>
      <c r="L89" s="10"/>
      <c r="M89"/>
      <c r="N89"/>
      <c r="O89"/>
    </row>
    <row r="90" spans="3:15" x14ac:dyDescent="0.2">
      <c r="C90" s="9"/>
      <c r="I90" s="10"/>
      <c r="L90" s="10"/>
      <c r="M90"/>
      <c r="N90"/>
      <c r="O90"/>
    </row>
    <row r="91" spans="3:15" x14ac:dyDescent="0.2">
      <c r="C91" s="9"/>
      <c r="I91" s="10"/>
      <c r="L91" s="10"/>
      <c r="M91"/>
      <c r="N91"/>
      <c r="O91"/>
    </row>
    <row r="92" spans="3:15" x14ac:dyDescent="0.2">
      <c r="C92" s="9"/>
      <c r="I92" s="10"/>
      <c r="L92" s="10"/>
      <c r="M92"/>
      <c r="N92"/>
      <c r="O92"/>
    </row>
    <row r="93" spans="3:15" x14ac:dyDescent="0.2">
      <c r="C93" s="9"/>
      <c r="I93" s="10"/>
      <c r="L93" s="10"/>
      <c r="M93"/>
      <c r="N93"/>
      <c r="O93"/>
    </row>
    <row r="94" spans="3:15" x14ac:dyDescent="0.2">
      <c r="C94" s="9"/>
      <c r="I94" s="10"/>
      <c r="L94" s="10"/>
      <c r="M94"/>
      <c r="N94"/>
      <c r="O94"/>
    </row>
    <row r="95" spans="3:15" x14ac:dyDescent="0.2">
      <c r="C95" s="9"/>
      <c r="I95" s="10"/>
      <c r="L95" s="10"/>
      <c r="M95"/>
      <c r="N95"/>
      <c r="O95"/>
    </row>
    <row r="96" spans="3:15" x14ac:dyDescent="0.2">
      <c r="C96" s="9"/>
      <c r="I96" s="10"/>
      <c r="L96" s="10"/>
      <c r="M96"/>
      <c r="N96"/>
      <c r="O96"/>
    </row>
    <row r="97" spans="3:15" x14ac:dyDescent="0.2">
      <c r="C97" s="9"/>
      <c r="I97" s="10"/>
      <c r="L97" s="10"/>
      <c r="M97"/>
      <c r="N97"/>
      <c r="O97"/>
    </row>
    <row r="98" spans="3:15" x14ac:dyDescent="0.2">
      <c r="C98" s="9"/>
      <c r="I98" s="10"/>
      <c r="L98" s="10"/>
      <c r="M98"/>
      <c r="N98"/>
      <c r="O98"/>
    </row>
    <row r="99" spans="3:15" x14ac:dyDescent="0.2">
      <c r="C99" s="9"/>
      <c r="I99" s="10"/>
      <c r="L99" s="10"/>
      <c r="M99"/>
      <c r="N99"/>
      <c r="O99"/>
    </row>
    <row r="100" spans="3:15" x14ac:dyDescent="0.2">
      <c r="C100" s="9"/>
      <c r="I100" s="10"/>
      <c r="L100" s="10"/>
      <c r="M100"/>
      <c r="N100"/>
      <c r="O100"/>
    </row>
    <row r="101" spans="3:15" x14ac:dyDescent="0.2">
      <c r="M101"/>
      <c r="N101"/>
      <c r="O101"/>
    </row>
    <row r="102" spans="3:15" x14ac:dyDescent="0.2">
      <c r="M102"/>
      <c r="N102"/>
      <c r="O102"/>
    </row>
    <row r="103" spans="3:15" x14ac:dyDescent="0.2">
      <c r="M103"/>
      <c r="N103"/>
      <c r="O103"/>
    </row>
    <row r="104" spans="3:15" x14ac:dyDescent="0.2">
      <c r="M104"/>
      <c r="N104"/>
      <c r="O104"/>
    </row>
    <row r="105" spans="3:15" x14ac:dyDescent="0.2">
      <c r="M105"/>
      <c r="N105"/>
      <c r="O105"/>
    </row>
    <row r="106" spans="3:15" x14ac:dyDescent="0.2">
      <c r="M106"/>
      <c r="N106"/>
      <c r="O106"/>
    </row>
    <row r="107" spans="3:15" x14ac:dyDescent="0.2">
      <c r="M107"/>
      <c r="N107"/>
      <c r="O107"/>
    </row>
    <row r="108" spans="3:15" x14ac:dyDescent="0.2">
      <c r="M108"/>
      <c r="N108"/>
      <c r="O108"/>
    </row>
    <row r="109" spans="3:15" x14ac:dyDescent="0.2">
      <c r="M109"/>
      <c r="N109"/>
      <c r="O109"/>
    </row>
    <row r="110" spans="3:15" x14ac:dyDescent="0.2">
      <c r="M110"/>
      <c r="N110"/>
      <c r="O110"/>
    </row>
    <row r="111" spans="3:15" x14ac:dyDescent="0.2">
      <c r="M111"/>
      <c r="N111"/>
      <c r="O111"/>
    </row>
    <row r="112" spans="3:15" x14ac:dyDescent="0.2">
      <c r="M112"/>
      <c r="N112"/>
      <c r="O112"/>
    </row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spans="13:15" x14ac:dyDescent="0.2">
      <c r="M753"/>
      <c r="N753"/>
      <c r="O753"/>
    </row>
    <row r="754" spans="13:15" x14ac:dyDescent="0.2">
      <c r="M754"/>
      <c r="N754"/>
      <c r="O754"/>
    </row>
    <row r="755" spans="13:15" x14ac:dyDescent="0.2">
      <c r="M755"/>
      <c r="N755"/>
      <c r="O755"/>
    </row>
    <row r="756" spans="13:15" x14ac:dyDescent="0.2">
      <c r="M756"/>
      <c r="N756"/>
      <c r="O756"/>
    </row>
    <row r="757" spans="13:15" x14ac:dyDescent="0.2">
      <c r="M757"/>
      <c r="N757"/>
      <c r="O757"/>
    </row>
    <row r="758" spans="13:15" x14ac:dyDescent="0.2">
      <c r="M758"/>
      <c r="N758"/>
      <c r="O758"/>
    </row>
    <row r="759" spans="13:15" x14ac:dyDescent="0.2">
      <c r="M759"/>
      <c r="N759"/>
      <c r="O759"/>
    </row>
    <row r="760" spans="13:15" x14ac:dyDescent="0.2">
      <c r="M760"/>
      <c r="N760"/>
      <c r="O760"/>
    </row>
    <row r="761" spans="13:15" x14ac:dyDescent="0.2">
      <c r="M761"/>
      <c r="N761"/>
      <c r="O761"/>
    </row>
    <row r="762" spans="13:15" x14ac:dyDescent="0.2">
      <c r="M762"/>
      <c r="N762"/>
      <c r="O762"/>
    </row>
    <row r="763" spans="13:15" x14ac:dyDescent="0.2">
      <c r="O763" s="11"/>
    </row>
  </sheetData>
  <mergeCells count="2">
    <mergeCell ref="H1:I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B551-BF26-8842-B641-255CF02F48F4}">
  <dimension ref="A1:E58"/>
  <sheetViews>
    <sheetView workbookViewId="0">
      <selection sqref="A1:E1048576"/>
    </sheetView>
  </sheetViews>
  <sheetFormatPr baseColWidth="10" defaultRowHeight="16" x14ac:dyDescent="0.2"/>
  <cols>
    <col min="2" max="2" width="17.83203125" bestFit="1" customWidth="1"/>
    <col min="3" max="3" width="47" bestFit="1" customWidth="1"/>
    <col min="5" max="5" width="13.33203125" bestFit="1" customWidth="1"/>
  </cols>
  <sheetData>
    <row r="1" spans="1:5" x14ac:dyDescent="0.2">
      <c r="A1" s="12"/>
      <c r="B1" s="46"/>
      <c r="C1" s="46"/>
      <c r="D1" s="47"/>
      <c r="E1" s="15" t="s">
        <v>222</v>
      </c>
    </row>
    <row r="2" spans="1:5" x14ac:dyDescent="0.2">
      <c r="A2" s="16" t="s">
        <v>250</v>
      </c>
      <c r="B2" s="17" t="s">
        <v>6</v>
      </c>
      <c r="C2" s="18" t="s">
        <v>226</v>
      </c>
      <c r="D2" s="18" t="s">
        <v>228</v>
      </c>
      <c r="E2" s="18" t="s">
        <v>251</v>
      </c>
    </row>
    <row r="3" spans="1:5" x14ac:dyDescent="0.2">
      <c r="A3" s="19">
        <v>1</v>
      </c>
      <c r="B3" s="6" t="s">
        <v>81</v>
      </c>
      <c r="C3" s="6" t="s">
        <v>252</v>
      </c>
      <c r="D3" s="6">
        <v>10</v>
      </c>
      <c r="E3" s="6">
        <v>90</v>
      </c>
    </row>
    <row r="4" spans="1:5" x14ac:dyDescent="0.2">
      <c r="A4" s="19">
        <v>2</v>
      </c>
      <c r="B4" s="6" t="s">
        <v>84</v>
      </c>
      <c r="C4" s="6" t="s">
        <v>253</v>
      </c>
      <c r="D4" s="6">
        <v>10</v>
      </c>
      <c r="E4" s="6">
        <v>80</v>
      </c>
    </row>
    <row r="5" spans="1:5" x14ac:dyDescent="0.2">
      <c r="A5" s="19">
        <v>3</v>
      </c>
      <c r="B5" s="6" t="s">
        <v>87</v>
      </c>
      <c r="C5" s="6" t="s">
        <v>278</v>
      </c>
      <c r="D5" s="6">
        <v>10</v>
      </c>
      <c r="E5" s="6">
        <v>90</v>
      </c>
    </row>
    <row r="6" spans="1:5" x14ac:dyDescent="0.2">
      <c r="A6" s="19">
        <v>4</v>
      </c>
      <c r="B6" s="6" t="s">
        <v>90</v>
      </c>
      <c r="C6" s="6" t="s">
        <v>279</v>
      </c>
      <c r="D6" s="6">
        <v>10</v>
      </c>
      <c r="E6" s="6">
        <v>80</v>
      </c>
    </row>
    <row r="7" spans="1:5" x14ac:dyDescent="0.2">
      <c r="A7" s="19">
        <v>5</v>
      </c>
      <c r="B7" s="6" t="s">
        <v>93</v>
      </c>
      <c r="C7" s="6" t="s">
        <v>280</v>
      </c>
      <c r="D7" s="6">
        <v>10</v>
      </c>
      <c r="E7" s="6">
        <v>80</v>
      </c>
    </row>
    <row r="8" spans="1:5" x14ac:dyDescent="0.2">
      <c r="A8" s="19">
        <v>6</v>
      </c>
      <c r="B8" s="6" t="s">
        <v>96</v>
      </c>
      <c r="C8" s="6" t="s">
        <v>281</v>
      </c>
      <c r="D8" s="6">
        <v>10</v>
      </c>
      <c r="E8" s="6">
        <v>80</v>
      </c>
    </row>
    <row r="9" spans="1:5" x14ac:dyDescent="0.2">
      <c r="A9" s="19">
        <v>7</v>
      </c>
      <c r="B9" s="6" t="s">
        <v>99</v>
      </c>
      <c r="C9" s="6" t="s">
        <v>282</v>
      </c>
      <c r="D9" s="6">
        <v>10</v>
      </c>
      <c r="E9" s="6">
        <v>80</v>
      </c>
    </row>
    <row r="10" spans="1:5" x14ac:dyDescent="0.2">
      <c r="A10" s="19">
        <v>8</v>
      </c>
      <c r="B10" s="6" t="s">
        <v>102</v>
      </c>
      <c r="C10" s="6" t="s">
        <v>283</v>
      </c>
      <c r="D10" s="6">
        <v>10</v>
      </c>
      <c r="E10" s="6">
        <v>80</v>
      </c>
    </row>
    <row r="11" spans="1:5" x14ac:dyDescent="0.2">
      <c r="A11" s="19">
        <v>9</v>
      </c>
      <c r="B11" s="6" t="s">
        <v>105</v>
      </c>
      <c r="C11" s="6" t="s">
        <v>255</v>
      </c>
      <c r="D11" s="6">
        <v>10</v>
      </c>
      <c r="E11" s="6">
        <v>170</v>
      </c>
    </row>
    <row r="12" spans="1:5" x14ac:dyDescent="0.2">
      <c r="A12" s="19">
        <v>10</v>
      </c>
      <c r="B12" s="6" t="s">
        <v>109</v>
      </c>
      <c r="C12" s="6" t="s">
        <v>256</v>
      </c>
      <c r="D12" s="6">
        <v>10</v>
      </c>
      <c r="E12" s="6">
        <v>170</v>
      </c>
    </row>
    <row r="13" spans="1:5" x14ac:dyDescent="0.2">
      <c r="A13" s="19">
        <v>11</v>
      </c>
      <c r="B13" s="6" t="s">
        <v>112</v>
      </c>
      <c r="C13" s="6" t="s">
        <v>254</v>
      </c>
      <c r="D13" s="6">
        <v>10</v>
      </c>
      <c r="E13" s="6">
        <v>170</v>
      </c>
    </row>
    <row r="14" spans="1:5" x14ac:dyDescent="0.2">
      <c r="A14" s="19">
        <v>12</v>
      </c>
      <c r="B14" s="6" t="s">
        <v>115</v>
      </c>
      <c r="C14" s="6" t="s">
        <v>257</v>
      </c>
      <c r="D14" s="6">
        <v>10</v>
      </c>
      <c r="E14" s="6">
        <v>170</v>
      </c>
    </row>
    <row r="15" spans="1:5" x14ac:dyDescent="0.2">
      <c r="A15" s="19">
        <v>13</v>
      </c>
      <c r="B15" s="6" t="s">
        <v>118</v>
      </c>
      <c r="C15" s="6" t="s">
        <v>258</v>
      </c>
      <c r="D15" s="6">
        <v>10</v>
      </c>
      <c r="E15" s="6">
        <v>170</v>
      </c>
    </row>
    <row r="16" spans="1:5" x14ac:dyDescent="0.2">
      <c r="A16" s="19">
        <v>14</v>
      </c>
      <c r="B16" s="6" t="s">
        <v>122</v>
      </c>
      <c r="C16" s="6" t="s">
        <v>259</v>
      </c>
      <c r="D16" s="6">
        <v>10</v>
      </c>
      <c r="E16" s="6">
        <v>170</v>
      </c>
    </row>
    <row r="17" spans="1:5" x14ac:dyDescent="0.2">
      <c r="A17" s="19">
        <v>15</v>
      </c>
      <c r="B17" s="6" t="s">
        <v>125</v>
      </c>
      <c r="C17" s="6" t="s">
        <v>260</v>
      </c>
      <c r="D17" s="6">
        <v>10</v>
      </c>
      <c r="E17" s="6">
        <v>889.99999999999989</v>
      </c>
    </row>
    <row r="18" spans="1:5" x14ac:dyDescent="0.2">
      <c r="A18" s="19">
        <v>16</v>
      </c>
      <c r="B18" s="6" t="s">
        <v>129</v>
      </c>
      <c r="C18" s="6" t="s">
        <v>261</v>
      </c>
      <c r="D18" s="6">
        <v>10</v>
      </c>
      <c r="E18" s="6">
        <v>929.99999999999989</v>
      </c>
    </row>
    <row r="19" spans="1:5" x14ac:dyDescent="0.2">
      <c r="A19" s="19">
        <v>17</v>
      </c>
      <c r="B19" s="6" t="s">
        <v>132</v>
      </c>
      <c r="C19" s="6" t="s">
        <v>262</v>
      </c>
      <c r="D19" s="6">
        <v>10</v>
      </c>
      <c r="E19" s="6">
        <v>909.99999999999989</v>
      </c>
    </row>
    <row r="20" spans="1:5" x14ac:dyDescent="0.2">
      <c r="A20" s="19">
        <v>18</v>
      </c>
      <c r="B20" s="6" t="s">
        <v>136</v>
      </c>
      <c r="C20" s="6" t="s">
        <v>263</v>
      </c>
      <c r="D20" s="6">
        <v>10</v>
      </c>
      <c r="E20" s="6">
        <v>960</v>
      </c>
    </row>
    <row r="21" spans="1:5" x14ac:dyDescent="0.2">
      <c r="A21" s="19">
        <v>19</v>
      </c>
      <c r="B21" s="6" t="s">
        <v>139</v>
      </c>
      <c r="C21" s="6" t="s">
        <v>264</v>
      </c>
      <c r="D21" s="6">
        <v>10</v>
      </c>
      <c r="E21" s="6">
        <v>850.00000000000011</v>
      </c>
    </row>
    <row r="22" spans="1:5" x14ac:dyDescent="0.2">
      <c r="A22" s="19">
        <v>20</v>
      </c>
      <c r="B22" s="6" t="s">
        <v>143</v>
      </c>
      <c r="C22" s="6" t="s">
        <v>265</v>
      </c>
      <c r="D22" s="6">
        <v>10</v>
      </c>
      <c r="E22" s="6">
        <v>950</v>
      </c>
    </row>
    <row r="23" spans="1:5" x14ac:dyDescent="0.2">
      <c r="A23" s="19">
        <v>21</v>
      </c>
      <c r="B23" s="6" t="s">
        <v>156</v>
      </c>
      <c r="C23" s="6" t="s">
        <v>266</v>
      </c>
      <c r="D23" s="6">
        <v>20</v>
      </c>
      <c r="E23" s="6">
        <v>8920</v>
      </c>
    </row>
    <row r="24" spans="1:5" x14ac:dyDescent="0.2">
      <c r="A24" s="19">
        <v>22</v>
      </c>
      <c r="B24" s="6" t="s">
        <v>160</v>
      </c>
      <c r="C24" s="6" t="s">
        <v>267</v>
      </c>
      <c r="D24" s="6">
        <v>20</v>
      </c>
      <c r="E24" s="6">
        <v>10060</v>
      </c>
    </row>
    <row r="25" spans="1:5" x14ac:dyDescent="0.2">
      <c r="A25" s="19">
        <v>23</v>
      </c>
      <c r="B25" s="6" t="s">
        <v>163</v>
      </c>
      <c r="C25" s="6" t="s">
        <v>268</v>
      </c>
      <c r="D25" s="6">
        <v>20</v>
      </c>
      <c r="E25" s="6">
        <v>9360.0000000000018</v>
      </c>
    </row>
    <row r="26" spans="1:5" x14ac:dyDescent="0.2">
      <c r="A26" s="19">
        <v>24</v>
      </c>
      <c r="B26" s="6" t="s">
        <v>167</v>
      </c>
      <c r="C26" s="6" t="s">
        <v>269</v>
      </c>
      <c r="D26" s="6">
        <v>20</v>
      </c>
      <c r="E26" s="6">
        <v>9600</v>
      </c>
    </row>
    <row r="27" spans="1:5" x14ac:dyDescent="0.2">
      <c r="A27" s="19">
        <v>25</v>
      </c>
      <c r="B27" s="6" t="s">
        <v>170</v>
      </c>
      <c r="C27" s="6" t="s">
        <v>270</v>
      </c>
      <c r="D27" s="6">
        <v>20</v>
      </c>
      <c r="E27" s="6">
        <v>9240</v>
      </c>
    </row>
    <row r="28" spans="1:5" x14ac:dyDescent="0.2">
      <c r="A28" s="19">
        <v>26</v>
      </c>
      <c r="B28" s="6" t="s">
        <v>173</v>
      </c>
      <c r="C28" s="6" t="s">
        <v>271</v>
      </c>
      <c r="D28" s="6">
        <v>20</v>
      </c>
      <c r="E28" s="6">
        <v>9379.9999999999982</v>
      </c>
    </row>
    <row r="29" spans="1:5" x14ac:dyDescent="0.2">
      <c r="A29" s="19">
        <v>27</v>
      </c>
      <c r="B29" s="6" t="s">
        <v>176</v>
      </c>
      <c r="C29" s="6" t="s">
        <v>272</v>
      </c>
      <c r="D29" s="6">
        <v>20</v>
      </c>
      <c r="E29" s="6">
        <v>74900</v>
      </c>
    </row>
    <row r="30" spans="1:5" x14ac:dyDescent="0.2">
      <c r="A30" s="19">
        <v>28</v>
      </c>
      <c r="B30" s="6" t="s">
        <v>179</v>
      </c>
      <c r="C30" s="6" t="s">
        <v>273</v>
      </c>
      <c r="D30" s="6">
        <v>20</v>
      </c>
      <c r="E30" s="6">
        <v>89780</v>
      </c>
    </row>
    <row r="31" spans="1:5" x14ac:dyDescent="0.2">
      <c r="A31" s="19">
        <v>29</v>
      </c>
      <c r="B31" s="6" t="s">
        <v>182</v>
      </c>
      <c r="C31" s="6" t="s">
        <v>274</v>
      </c>
      <c r="D31" s="6">
        <v>20</v>
      </c>
      <c r="E31" s="6">
        <v>79460</v>
      </c>
    </row>
    <row r="32" spans="1:5" x14ac:dyDescent="0.2">
      <c r="A32" s="19">
        <v>30</v>
      </c>
      <c r="B32" s="6" t="s">
        <v>185</v>
      </c>
      <c r="C32" s="6" t="s">
        <v>275</v>
      </c>
      <c r="D32" s="6">
        <v>20</v>
      </c>
      <c r="E32" s="6">
        <v>94100</v>
      </c>
    </row>
    <row r="33" spans="1:5" x14ac:dyDescent="0.2">
      <c r="A33" s="19">
        <v>31</v>
      </c>
      <c r="B33" s="6" t="s">
        <v>188</v>
      </c>
      <c r="C33" s="6" t="s">
        <v>276</v>
      </c>
      <c r="D33" s="6">
        <v>20</v>
      </c>
      <c r="E33" s="6">
        <v>101560</v>
      </c>
    </row>
    <row r="34" spans="1:5" x14ac:dyDescent="0.2">
      <c r="A34" s="19">
        <v>32</v>
      </c>
      <c r="B34" s="6" t="s">
        <v>191</v>
      </c>
      <c r="C34" s="6" t="s">
        <v>277</v>
      </c>
      <c r="D34" s="6">
        <v>20</v>
      </c>
      <c r="E34" s="6">
        <v>95700</v>
      </c>
    </row>
    <row r="35" spans="1:5" x14ac:dyDescent="0.2">
      <c r="A35" s="19">
        <v>33</v>
      </c>
      <c r="B35" s="6" t="s">
        <v>197</v>
      </c>
      <c r="C35" s="6" t="s">
        <v>284</v>
      </c>
      <c r="D35" s="6">
        <v>1</v>
      </c>
      <c r="E35" s="6">
        <v>0</v>
      </c>
    </row>
    <row r="36" spans="1:5" x14ac:dyDescent="0.2">
      <c r="A36" s="19">
        <v>34</v>
      </c>
      <c r="B36" s="6" t="s">
        <v>200</v>
      </c>
      <c r="C36" s="6" t="s">
        <v>285</v>
      </c>
      <c r="D36" s="6">
        <v>1</v>
      </c>
      <c r="E36" s="6">
        <v>101</v>
      </c>
    </row>
    <row r="37" spans="1:5" x14ac:dyDescent="0.2">
      <c r="A37" s="19">
        <v>35</v>
      </c>
      <c r="B37" s="6" t="s">
        <v>203</v>
      </c>
      <c r="C37" s="19" t="s">
        <v>286</v>
      </c>
      <c r="D37" s="6">
        <v>10</v>
      </c>
      <c r="E37" s="6">
        <v>990</v>
      </c>
    </row>
    <row r="38" spans="1:5" x14ac:dyDescent="0.2">
      <c r="A38" s="19">
        <v>36</v>
      </c>
      <c r="B38" s="6" t="s">
        <v>206</v>
      </c>
      <c r="C38" s="19" t="s">
        <v>287</v>
      </c>
      <c r="D38" s="6">
        <v>20</v>
      </c>
      <c r="E38" s="6">
        <v>9580</v>
      </c>
    </row>
    <row r="39" spans="1:5" x14ac:dyDescent="0.2">
      <c r="A39" s="19">
        <v>37</v>
      </c>
      <c r="B39" s="6" t="s">
        <v>209</v>
      </c>
      <c r="C39" s="19" t="s">
        <v>288</v>
      </c>
      <c r="D39" s="6">
        <v>20</v>
      </c>
      <c r="E39" s="6">
        <v>102340</v>
      </c>
    </row>
    <row r="40" spans="1:5" x14ac:dyDescent="0.2">
      <c r="A40" s="8"/>
      <c r="D40" s="24"/>
    </row>
    <row r="41" spans="1:5" x14ac:dyDescent="0.2">
      <c r="A41" s="8"/>
      <c r="D41" s="24"/>
    </row>
    <row r="42" spans="1:5" x14ac:dyDescent="0.2">
      <c r="A42" s="8"/>
      <c r="D42" s="24"/>
    </row>
    <row r="43" spans="1:5" x14ac:dyDescent="0.2">
      <c r="A43" s="8"/>
      <c r="D43" s="24"/>
    </row>
    <row r="44" spans="1:5" x14ac:dyDescent="0.2">
      <c r="A44" s="8"/>
      <c r="D44" s="24"/>
    </row>
    <row r="45" spans="1:5" x14ac:dyDescent="0.2">
      <c r="A45" s="8"/>
      <c r="D45" s="24"/>
    </row>
    <row r="46" spans="1:5" x14ac:dyDescent="0.2">
      <c r="A46" s="8"/>
      <c r="D46" s="24"/>
    </row>
    <row r="47" spans="1:5" x14ac:dyDescent="0.2">
      <c r="A47" s="8"/>
      <c r="D47" s="20"/>
      <c r="E47" s="20"/>
    </row>
    <row r="48" spans="1:5" x14ac:dyDescent="0.2">
      <c r="A48" s="8"/>
      <c r="D48" s="20"/>
      <c r="E48" s="20"/>
    </row>
    <row r="49" spans="1:5" x14ac:dyDescent="0.2">
      <c r="A49" s="8"/>
      <c r="D49" s="20"/>
      <c r="E49" s="20"/>
    </row>
    <row r="50" spans="1:5" x14ac:dyDescent="0.2">
      <c r="A50" s="8"/>
      <c r="D50" s="20"/>
      <c r="E50" s="20"/>
    </row>
    <row r="51" spans="1:5" x14ac:dyDescent="0.2">
      <c r="A51" s="8"/>
      <c r="D51" s="20"/>
      <c r="E51" s="20"/>
    </row>
    <row r="52" spans="1:5" x14ac:dyDescent="0.2">
      <c r="A52" s="8"/>
      <c r="D52" s="20"/>
      <c r="E52" s="20"/>
    </row>
    <row r="53" spans="1:5" x14ac:dyDescent="0.2">
      <c r="A53" s="8"/>
      <c r="D53" s="20"/>
      <c r="E53" s="20"/>
    </row>
    <row r="54" spans="1:5" x14ac:dyDescent="0.2">
      <c r="A54" s="8"/>
      <c r="D54" s="20"/>
      <c r="E54" s="20"/>
    </row>
    <row r="55" spans="1:5" x14ac:dyDescent="0.2">
      <c r="A55" s="8"/>
      <c r="D55" s="20"/>
      <c r="E55" s="20"/>
    </row>
    <row r="56" spans="1:5" x14ac:dyDescent="0.2">
      <c r="A56" s="8"/>
      <c r="D56" s="20"/>
      <c r="E56" s="20"/>
    </row>
    <row r="57" spans="1:5" x14ac:dyDescent="0.2">
      <c r="A57" s="8"/>
      <c r="D57" s="20"/>
      <c r="E57" s="20"/>
    </row>
    <row r="58" spans="1:5" x14ac:dyDescent="0.2">
      <c r="A58" s="8"/>
      <c r="D58" s="20"/>
      <c r="E58" s="20"/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6F88-33C3-4A46-AA08-976BDE8CAD7B}">
  <dimension ref="A1:E6"/>
  <sheetViews>
    <sheetView workbookViewId="0">
      <selection activeCell="E10" sqref="E10"/>
    </sheetView>
  </sheetViews>
  <sheetFormatPr baseColWidth="10" defaultRowHeight="16" x14ac:dyDescent="0.2"/>
  <cols>
    <col min="1" max="1" width="12.83203125" bestFit="1" customWidth="1"/>
    <col min="2" max="2" width="23.5" bestFit="1" customWidth="1"/>
    <col min="4" max="4" width="11.6640625" bestFit="1" customWidth="1"/>
  </cols>
  <sheetData>
    <row r="1" spans="1:5" x14ac:dyDescent="0.2">
      <c r="A1" s="44"/>
      <c r="B1" s="48"/>
      <c r="C1" s="48"/>
      <c r="D1" s="49" t="s">
        <v>222</v>
      </c>
      <c r="E1" s="49"/>
    </row>
    <row r="2" spans="1:5" x14ac:dyDescent="0.2">
      <c r="A2" s="4" t="s">
        <v>6</v>
      </c>
      <c r="B2" s="4" t="s">
        <v>226</v>
      </c>
      <c r="C2" s="4" t="s">
        <v>228</v>
      </c>
      <c r="D2" s="4" t="s">
        <v>251</v>
      </c>
      <c r="E2" s="4" t="s">
        <v>16</v>
      </c>
    </row>
    <row r="3" spans="1:5" x14ac:dyDescent="0.2">
      <c r="A3" s="6" t="s">
        <v>239</v>
      </c>
      <c r="B3" s="19" t="s">
        <v>240</v>
      </c>
      <c r="C3" s="6">
        <v>1</v>
      </c>
      <c r="D3" s="6">
        <v>92</v>
      </c>
      <c r="E3" s="6">
        <v>205859080</v>
      </c>
    </row>
    <row r="4" spans="1:5" x14ac:dyDescent="0.2">
      <c r="A4" s="21" t="s">
        <v>150</v>
      </c>
      <c r="B4" s="22" t="s">
        <v>240</v>
      </c>
      <c r="C4" s="21">
        <v>1</v>
      </c>
      <c r="D4" s="6">
        <v>95</v>
      </c>
      <c r="E4" s="6">
        <v>214448.18</v>
      </c>
    </row>
    <row r="5" spans="1:5" x14ac:dyDescent="0.2">
      <c r="A5" s="21" t="s">
        <v>249</v>
      </c>
      <c r="B5" s="22" t="s">
        <v>240</v>
      </c>
      <c r="C5" s="21">
        <v>1</v>
      </c>
      <c r="D5" s="6">
        <v>92</v>
      </c>
      <c r="E5" s="6">
        <v>207367.06</v>
      </c>
    </row>
    <row r="6" spans="1:5" x14ac:dyDescent="0.2">
      <c r="A6" s="25"/>
      <c r="B6" s="26"/>
      <c r="C6" s="25"/>
      <c r="D6" s="25"/>
      <c r="E6" s="25"/>
    </row>
  </sheetData>
  <mergeCells count="2">
    <mergeCell ref="A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C349-8B25-2B48-80CE-DC564C3FDFE6}">
  <dimension ref="A1:F7"/>
  <sheetViews>
    <sheetView workbookViewId="0">
      <selection activeCell="F23" sqref="F23"/>
    </sheetView>
  </sheetViews>
  <sheetFormatPr baseColWidth="10" defaultRowHeight="16" x14ac:dyDescent="0.2"/>
  <cols>
    <col min="1" max="1" width="17.83203125" bestFit="1" customWidth="1"/>
    <col min="2" max="2" width="47" bestFit="1" customWidth="1"/>
    <col min="4" max="4" width="12.1640625" bestFit="1" customWidth="1"/>
    <col min="5" max="5" width="11" bestFit="1" customWidth="1"/>
  </cols>
  <sheetData>
    <row r="1" spans="1:6" x14ac:dyDescent="0.2">
      <c r="A1" s="13"/>
      <c r="B1" s="13"/>
      <c r="C1" s="14"/>
      <c r="D1" s="50" t="s">
        <v>222</v>
      </c>
      <c r="E1" s="47"/>
      <c r="F1" s="31"/>
    </row>
    <row r="2" spans="1:6" x14ac:dyDescent="0.2">
      <c r="A2" s="17" t="s">
        <v>6</v>
      </c>
      <c r="B2" s="18" t="s">
        <v>226</v>
      </c>
      <c r="C2" s="18" t="s">
        <v>228</v>
      </c>
      <c r="D2" s="29" t="s">
        <v>251</v>
      </c>
      <c r="E2" s="30" t="s">
        <v>289</v>
      </c>
      <c r="F2" s="32"/>
    </row>
    <row r="3" spans="1:6" x14ac:dyDescent="0.2">
      <c r="A3" s="19" t="s">
        <v>197</v>
      </c>
      <c r="B3" s="27" t="s">
        <v>284</v>
      </c>
      <c r="C3" s="27">
        <v>1</v>
      </c>
      <c r="D3" s="28">
        <v>0</v>
      </c>
      <c r="E3" s="6">
        <f>D3/58.933195</f>
        <v>0</v>
      </c>
    </row>
    <row r="4" spans="1:6" x14ac:dyDescent="0.2">
      <c r="A4" s="23" t="s">
        <v>200</v>
      </c>
      <c r="B4" s="28" t="s">
        <v>285</v>
      </c>
      <c r="C4" s="28">
        <v>1</v>
      </c>
      <c r="D4" s="28">
        <v>101</v>
      </c>
      <c r="E4" s="34">
        <f t="shared" ref="E4:E7" si="0">D4/58.933195</f>
        <v>1.7138049277660918</v>
      </c>
    </row>
    <row r="5" spans="1:6" x14ac:dyDescent="0.2">
      <c r="A5" s="23" t="s">
        <v>203</v>
      </c>
      <c r="B5" s="28" t="s">
        <v>286</v>
      </c>
      <c r="C5" s="28">
        <v>10</v>
      </c>
      <c r="D5" s="28">
        <v>990</v>
      </c>
      <c r="E5" s="34">
        <f t="shared" si="0"/>
        <v>16.798681965231989</v>
      </c>
    </row>
    <row r="6" spans="1:6" x14ac:dyDescent="0.2">
      <c r="A6" s="23" t="s">
        <v>206</v>
      </c>
      <c r="B6" s="28" t="s">
        <v>287</v>
      </c>
      <c r="C6" s="28">
        <v>20</v>
      </c>
      <c r="D6" s="28">
        <v>9580</v>
      </c>
      <c r="E6" s="34">
        <f t="shared" si="0"/>
        <v>162.55694265345701</v>
      </c>
    </row>
    <row r="7" spans="1:6" x14ac:dyDescent="0.2">
      <c r="A7" s="23" t="s">
        <v>209</v>
      </c>
      <c r="B7" s="28" t="s">
        <v>288</v>
      </c>
      <c r="C7" s="28">
        <v>20</v>
      </c>
      <c r="D7" s="28">
        <v>102340</v>
      </c>
      <c r="E7" s="34">
        <f t="shared" si="0"/>
        <v>1736.5425376988301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0378-3151-9448-AEB5-FCD42F67D435}">
  <dimension ref="A1:L58"/>
  <sheetViews>
    <sheetView workbookViewId="0">
      <selection activeCell="H7" sqref="H7"/>
    </sheetView>
  </sheetViews>
  <sheetFormatPr baseColWidth="10" defaultRowHeight="16" x14ac:dyDescent="0.2"/>
  <cols>
    <col min="2" max="2" width="17.83203125" bestFit="1" customWidth="1"/>
    <col min="3" max="3" width="47" bestFit="1" customWidth="1"/>
    <col min="5" max="5" width="13.33203125" bestFit="1" customWidth="1"/>
    <col min="6" max="6" width="11" bestFit="1" customWidth="1"/>
    <col min="7" max="7" width="25.5" bestFit="1" customWidth="1"/>
    <col min="8" max="8" width="25.1640625" bestFit="1" customWidth="1"/>
    <col min="9" max="9" width="24" bestFit="1" customWidth="1"/>
    <col min="11" max="11" width="15.33203125" bestFit="1" customWidth="1"/>
    <col min="12" max="12" width="20.83203125" bestFit="1" customWidth="1"/>
  </cols>
  <sheetData>
    <row r="1" spans="1:12" x14ac:dyDescent="0.2">
      <c r="A1" s="12"/>
      <c r="B1" s="46"/>
      <c r="C1" s="46"/>
      <c r="D1" s="47"/>
      <c r="E1" s="50" t="s">
        <v>222</v>
      </c>
      <c r="F1" s="46"/>
      <c r="G1" s="37"/>
      <c r="H1" s="36"/>
      <c r="I1" s="36"/>
      <c r="J1" s="36"/>
      <c r="K1" s="36"/>
      <c r="L1" s="38"/>
    </row>
    <row r="2" spans="1:12" x14ac:dyDescent="0.2">
      <c r="A2" s="16" t="s">
        <v>250</v>
      </c>
      <c r="B2" s="17" t="s">
        <v>6</v>
      </c>
      <c r="C2" s="18" t="s">
        <v>226</v>
      </c>
      <c r="D2" s="18" t="s">
        <v>228</v>
      </c>
      <c r="E2" s="18" t="s">
        <v>251</v>
      </c>
      <c r="F2" s="29" t="s">
        <v>289</v>
      </c>
      <c r="G2" s="35" t="s">
        <v>293</v>
      </c>
      <c r="H2" s="17" t="s">
        <v>292</v>
      </c>
      <c r="I2" s="17" t="s">
        <v>294</v>
      </c>
      <c r="J2" s="29" t="s">
        <v>295</v>
      </c>
      <c r="K2" s="17" t="s">
        <v>296</v>
      </c>
      <c r="L2" s="29" t="s">
        <v>297</v>
      </c>
    </row>
    <row r="3" spans="1:12" x14ac:dyDescent="0.2">
      <c r="A3" s="19">
        <v>1</v>
      </c>
      <c r="B3" s="6" t="s">
        <v>81</v>
      </c>
      <c r="C3" s="6" t="s">
        <v>252</v>
      </c>
      <c r="D3" s="6">
        <v>10</v>
      </c>
      <c r="E3" s="6">
        <v>90</v>
      </c>
      <c r="F3" s="34">
        <f>E3/58.933195</f>
        <v>1.5271529059301809</v>
      </c>
      <c r="G3" s="33">
        <f>F4</f>
        <v>1.3574692497157164</v>
      </c>
      <c r="H3" s="33">
        <f>G3-F3</f>
        <v>-0.16968365621446457</v>
      </c>
      <c r="I3">
        <f>H3/G3*100</f>
        <v>-12.500000000000004</v>
      </c>
    </row>
    <row r="4" spans="1:12" x14ac:dyDescent="0.2">
      <c r="A4" s="19">
        <v>2</v>
      </c>
      <c r="B4" s="6" t="s">
        <v>84</v>
      </c>
      <c r="C4" s="6" t="s">
        <v>253</v>
      </c>
      <c r="D4" s="6">
        <v>10</v>
      </c>
      <c r="E4" s="6">
        <v>80</v>
      </c>
      <c r="F4" s="34">
        <f>E4/58.933195</f>
        <v>1.3574692497157164</v>
      </c>
      <c r="H4" s="33"/>
    </row>
    <row r="5" spans="1:12" x14ac:dyDescent="0.2">
      <c r="A5" s="19">
        <v>3</v>
      </c>
      <c r="B5" s="6" t="s">
        <v>87</v>
      </c>
      <c r="C5" s="6" t="s">
        <v>278</v>
      </c>
      <c r="D5" s="6">
        <v>10</v>
      </c>
      <c r="E5" s="6">
        <v>90</v>
      </c>
      <c r="F5" s="34">
        <f t="shared" ref="F5:F33" si="0">E5/58.933195</f>
        <v>1.5271529059301809</v>
      </c>
      <c r="G5" s="33">
        <f>F6</f>
        <v>1.3574692497157164</v>
      </c>
      <c r="H5" s="33">
        <f>G5-F5</f>
        <v>-0.16968365621446457</v>
      </c>
      <c r="I5">
        <f t="shared" ref="I5:I33" si="1">H5/G5*100</f>
        <v>-12.500000000000004</v>
      </c>
      <c r="J5" s="43">
        <v>4700000000</v>
      </c>
      <c r="K5" s="43">
        <f>H5/J5</f>
        <v>-3.6102905577545653E-11</v>
      </c>
      <c r="L5" t="e">
        <f>LOG10(K5)</f>
        <v>#NUM!</v>
      </c>
    </row>
    <row r="6" spans="1:12" x14ac:dyDescent="0.2">
      <c r="A6" s="19">
        <v>4</v>
      </c>
      <c r="B6" s="6" t="s">
        <v>90</v>
      </c>
      <c r="C6" s="6" t="s">
        <v>279</v>
      </c>
      <c r="D6" s="6">
        <v>10</v>
      </c>
      <c r="E6" s="6">
        <v>80</v>
      </c>
      <c r="F6" s="34">
        <f>E6/58.933195</f>
        <v>1.3574692497157164</v>
      </c>
      <c r="H6" s="33"/>
      <c r="K6" s="43"/>
    </row>
    <row r="7" spans="1:12" x14ac:dyDescent="0.2">
      <c r="A7" s="19">
        <v>5</v>
      </c>
      <c r="B7" s="6" t="s">
        <v>93</v>
      </c>
      <c r="C7" s="6" t="s">
        <v>280</v>
      </c>
      <c r="D7" s="6">
        <v>10</v>
      </c>
      <c r="E7" s="6">
        <v>80</v>
      </c>
      <c r="F7" s="34">
        <f t="shared" si="0"/>
        <v>1.3574692497157164</v>
      </c>
      <c r="G7" s="39">
        <f>F8</f>
        <v>1.3574692497157164</v>
      </c>
      <c r="H7" s="33">
        <f>G7-F7</f>
        <v>0</v>
      </c>
      <c r="I7">
        <f t="shared" si="1"/>
        <v>0</v>
      </c>
      <c r="J7" s="43">
        <v>6500000000</v>
      </c>
      <c r="K7" s="43">
        <f t="shared" ref="K7:K33" si="2">H7/J7</f>
        <v>0</v>
      </c>
      <c r="L7" t="e">
        <f>LOG10(K7)</f>
        <v>#NUM!</v>
      </c>
    </row>
    <row r="8" spans="1:12" x14ac:dyDescent="0.2">
      <c r="A8" s="19">
        <v>6</v>
      </c>
      <c r="B8" s="6" t="s">
        <v>96</v>
      </c>
      <c r="C8" s="6" t="s">
        <v>281</v>
      </c>
      <c r="D8" s="6">
        <v>10</v>
      </c>
      <c r="E8" s="6">
        <v>80</v>
      </c>
      <c r="F8" s="34">
        <f>E8/58.933195</f>
        <v>1.3574692497157164</v>
      </c>
      <c r="H8" s="33"/>
      <c r="K8" s="43"/>
    </row>
    <row r="9" spans="1:12" x14ac:dyDescent="0.2">
      <c r="A9" s="19">
        <v>7</v>
      </c>
      <c r="B9" s="6" t="s">
        <v>99</v>
      </c>
      <c r="C9" s="6" t="s">
        <v>282</v>
      </c>
      <c r="D9" s="6">
        <v>10</v>
      </c>
      <c r="E9" s="6">
        <v>80</v>
      </c>
      <c r="F9" s="34">
        <f t="shared" si="0"/>
        <v>1.3574692497157164</v>
      </c>
      <c r="G9" s="39">
        <f>F10</f>
        <v>1.3574692497157164</v>
      </c>
      <c r="H9" s="33">
        <f>G9-F9</f>
        <v>0</v>
      </c>
      <c r="I9">
        <f t="shared" si="1"/>
        <v>0</v>
      </c>
      <c r="J9" s="43">
        <v>3300000000</v>
      </c>
      <c r="K9" s="43">
        <f t="shared" si="2"/>
        <v>0</v>
      </c>
      <c r="L9" t="e">
        <f>LOG10(K9)</f>
        <v>#NUM!</v>
      </c>
    </row>
    <row r="10" spans="1:12" x14ac:dyDescent="0.2">
      <c r="A10" s="19">
        <v>8</v>
      </c>
      <c r="B10" s="6" t="s">
        <v>102</v>
      </c>
      <c r="C10" s="6" t="s">
        <v>283</v>
      </c>
      <c r="D10" s="6">
        <v>10</v>
      </c>
      <c r="E10" s="6">
        <v>80</v>
      </c>
      <c r="F10" s="34">
        <f>E10/58.933195</f>
        <v>1.3574692497157164</v>
      </c>
      <c r="H10" s="33"/>
      <c r="K10" s="43"/>
    </row>
    <row r="11" spans="1:12" x14ac:dyDescent="0.2">
      <c r="A11" s="19">
        <v>9</v>
      </c>
      <c r="B11" s="6" t="s">
        <v>105</v>
      </c>
      <c r="C11" s="6" t="s">
        <v>255</v>
      </c>
      <c r="D11" s="6">
        <v>10</v>
      </c>
      <c r="E11" s="6">
        <v>170</v>
      </c>
      <c r="F11" s="34">
        <f t="shared" si="0"/>
        <v>2.8846221556458973</v>
      </c>
      <c r="G11" s="39">
        <f>F12</f>
        <v>2.8846221556458973</v>
      </c>
      <c r="H11" s="33">
        <f>G11-F11</f>
        <v>0</v>
      </c>
      <c r="I11">
        <f t="shared" si="1"/>
        <v>0</v>
      </c>
      <c r="J11" s="43">
        <v>2500000000</v>
      </c>
      <c r="K11" s="43">
        <f t="shared" si="2"/>
        <v>0</v>
      </c>
      <c r="L11" t="e">
        <f>LOG10(K11)</f>
        <v>#NUM!</v>
      </c>
    </row>
    <row r="12" spans="1:12" x14ac:dyDescent="0.2">
      <c r="A12" s="19">
        <v>10</v>
      </c>
      <c r="B12" s="6" t="s">
        <v>109</v>
      </c>
      <c r="C12" s="6" t="s">
        <v>256</v>
      </c>
      <c r="D12" s="6">
        <v>10</v>
      </c>
      <c r="E12" s="6">
        <v>170</v>
      </c>
      <c r="F12" s="34">
        <f>E12/58.933195</f>
        <v>2.8846221556458973</v>
      </c>
      <c r="H12" s="33"/>
      <c r="K12" s="43"/>
    </row>
    <row r="13" spans="1:12" x14ac:dyDescent="0.2">
      <c r="A13" s="19">
        <v>11</v>
      </c>
      <c r="B13" s="6" t="s">
        <v>112</v>
      </c>
      <c r="C13" s="6" t="s">
        <v>254</v>
      </c>
      <c r="D13" s="6">
        <v>10</v>
      </c>
      <c r="E13" s="6">
        <v>170</v>
      </c>
      <c r="F13" s="34">
        <f t="shared" si="0"/>
        <v>2.8846221556458973</v>
      </c>
      <c r="G13" s="39">
        <f>F14</f>
        <v>2.8846221556458973</v>
      </c>
      <c r="H13" s="33">
        <f>G13-F13</f>
        <v>0</v>
      </c>
      <c r="I13">
        <f t="shared" si="1"/>
        <v>0</v>
      </c>
      <c r="J13" s="43">
        <v>3800000000</v>
      </c>
      <c r="K13" s="43">
        <f t="shared" si="2"/>
        <v>0</v>
      </c>
      <c r="L13" t="e">
        <f>LOG10(K13)</f>
        <v>#NUM!</v>
      </c>
    </row>
    <row r="14" spans="1:12" x14ac:dyDescent="0.2">
      <c r="A14" s="19">
        <v>12</v>
      </c>
      <c r="B14" s="6" t="s">
        <v>115</v>
      </c>
      <c r="C14" s="6" t="s">
        <v>257</v>
      </c>
      <c r="D14" s="6">
        <v>10</v>
      </c>
      <c r="E14" s="6">
        <v>170</v>
      </c>
      <c r="F14" s="34">
        <f>E14/58.933195</f>
        <v>2.8846221556458973</v>
      </c>
      <c r="H14" s="33"/>
      <c r="K14" s="43"/>
    </row>
    <row r="15" spans="1:12" x14ac:dyDescent="0.2">
      <c r="A15" s="19">
        <v>13</v>
      </c>
      <c r="B15" s="6" t="s">
        <v>118</v>
      </c>
      <c r="C15" s="6" t="s">
        <v>258</v>
      </c>
      <c r="D15" s="6">
        <v>10</v>
      </c>
      <c r="E15" s="6">
        <v>170</v>
      </c>
      <c r="F15" s="34">
        <f t="shared" si="0"/>
        <v>2.8846221556458973</v>
      </c>
      <c r="G15" s="39">
        <f>F16</f>
        <v>2.8846221556458973</v>
      </c>
      <c r="H15" s="33">
        <f>G15-F15</f>
        <v>0</v>
      </c>
      <c r="I15">
        <f t="shared" si="1"/>
        <v>0</v>
      </c>
      <c r="J15" s="43">
        <v>5400000000</v>
      </c>
      <c r="K15" s="43">
        <f t="shared" si="2"/>
        <v>0</v>
      </c>
      <c r="L15" t="e">
        <f>LOG10(K15)</f>
        <v>#NUM!</v>
      </c>
    </row>
    <row r="16" spans="1:12" x14ac:dyDescent="0.2">
      <c r="A16" s="19">
        <v>14</v>
      </c>
      <c r="B16" s="6" t="s">
        <v>122</v>
      </c>
      <c r="C16" s="6" t="s">
        <v>259</v>
      </c>
      <c r="D16" s="6">
        <v>10</v>
      </c>
      <c r="E16" s="6">
        <v>170</v>
      </c>
      <c r="F16" s="34">
        <f>E16/58.933195</f>
        <v>2.8846221556458973</v>
      </c>
      <c r="H16" s="33"/>
      <c r="K16" s="43"/>
    </row>
    <row r="17" spans="1:12" x14ac:dyDescent="0.2">
      <c r="A17" s="19">
        <v>15</v>
      </c>
      <c r="B17" s="6" t="s">
        <v>125</v>
      </c>
      <c r="C17" s="6" t="s">
        <v>260</v>
      </c>
      <c r="D17" s="6">
        <v>10</v>
      </c>
      <c r="E17" s="6">
        <v>889.99999999999989</v>
      </c>
      <c r="F17" s="34">
        <f t="shared" si="0"/>
        <v>15.101845403087342</v>
      </c>
      <c r="G17" s="39">
        <f>F18</f>
        <v>15.7805800279452</v>
      </c>
      <c r="H17" s="33">
        <f>G17-F17</f>
        <v>0.67873462485785829</v>
      </c>
      <c r="I17" s="42">
        <f t="shared" si="1"/>
        <v>4.3010752688172049</v>
      </c>
      <c r="J17" s="43">
        <v>6420000000</v>
      </c>
      <c r="K17" s="43">
        <f t="shared" si="2"/>
        <v>1.0572190418346703E-10</v>
      </c>
      <c r="L17">
        <f>LOG10(K17)</f>
        <v>-9.9758350232841337</v>
      </c>
    </row>
    <row r="18" spans="1:12" x14ac:dyDescent="0.2">
      <c r="A18" s="19">
        <v>16</v>
      </c>
      <c r="B18" s="6" t="s">
        <v>129</v>
      </c>
      <c r="C18" s="6" t="s">
        <v>261</v>
      </c>
      <c r="D18" s="6">
        <v>10</v>
      </c>
      <c r="E18" s="6">
        <v>929.99999999999989</v>
      </c>
      <c r="F18" s="34">
        <f>E18/58.933195</f>
        <v>15.7805800279452</v>
      </c>
      <c r="H18" s="33"/>
      <c r="K18" s="43"/>
    </row>
    <row r="19" spans="1:12" x14ac:dyDescent="0.2">
      <c r="A19" s="19">
        <v>17</v>
      </c>
      <c r="B19" s="6" t="s">
        <v>132</v>
      </c>
      <c r="C19" s="6" t="s">
        <v>262</v>
      </c>
      <c r="D19" s="6">
        <v>10</v>
      </c>
      <c r="E19" s="6">
        <v>909.99999999999989</v>
      </c>
      <c r="F19" s="34">
        <f t="shared" si="0"/>
        <v>15.44121271551627</v>
      </c>
      <c r="G19" s="39">
        <f>F20</f>
        <v>16.289630996588595</v>
      </c>
      <c r="H19" s="33">
        <f>G19-F19</f>
        <v>0.84841828107232509</v>
      </c>
      <c r="I19" s="42">
        <f t="shared" si="1"/>
        <v>5.2083333333333481</v>
      </c>
      <c r="J19" s="43">
        <v>5480000000</v>
      </c>
      <c r="K19" s="43">
        <f t="shared" si="2"/>
        <v>1.5482085421027831E-10</v>
      </c>
      <c r="L19">
        <f>LOG10(K19)</f>
        <v>-9.8101705406915922</v>
      </c>
    </row>
    <row r="20" spans="1:12" x14ac:dyDescent="0.2">
      <c r="A20" s="19">
        <v>18</v>
      </c>
      <c r="B20" s="6" t="s">
        <v>136</v>
      </c>
      <c r="C20" s="6" t="s">
        <v>263</v>
      </c>
      <c r="D20" s="6">
        <v>10</v>
      </c>
      <c r="E20" s="6">
        <v>960</v>
      </c>
      <c r="F20" s="34">
        <f>E20/58.933195</f>
        <v>16.289630996588595</v>
      </c>
      <c r="H20" s="33"/>
      <c r="K20" s="43"/>
    </row>
    <row r="21" spans="1:12" x14ac:dyDescent="0.2">
      <c r="A21" s="19">
        <v>19</v>
      </c>
      <c r="B21" s="6" t="s">
        <v>139</v>
      </c>
      <c r="C21" s="6" t="s">
        <v>264</v>
      </c>
      <c r="D21" s="6">
        <v>10</v>
      </c>
      <c r="E21" s="6">
        <v>850.00000000000011</v>
      </c>
      <c r="F21" s="34">
        <f t="shared" si="0"/>
        <v>14.423110778229487</v>
      </c>
      <c r="G21" s="39">
        <f>F22</f>
        <v>16.119947340374132</v>
      </c>
      <c r="H21" s="33">
        <f>G21-F21</f>
        <v>1.6968365621446448</v>
      </c>
      <c r="I21" s="42">
        <f t="shared" si="1"/>
        <v>10.52631578947368</v>
      </c>
      <c r="J21" s="43">
        <v>5470000000</v>
      </c>
      <c r="K21" s="43">
        <f t="shared" si="2"/>
        <v>3.1020778101364624E-10</v>
      </c>
      <c r="L21">
        <f>LOG10(K21)</f>
        <v>-9.5083473128766745</v>
      </c>
    </row>
    <row r="22" spans="1:12" x14ac:dyDescent="0.2">
      <c r="A22" s="19">
        <v>20</v>
      </c>
      <c r="B22" s="6" t="s">
        <v>143</v>
      </c>
      <c r="C22" s="6" t="s">
        <v>265</v>
      </c>
      <c r="D22" s="6">
        <v>10</v>
      </c>
      <c r="E22" s="6">
        <v>950</v>
      </c>
      <c r="F22" s="34">
        <f>E22/58.933195</f>
        <v>16.119947340374132</v>
      </c>
      <c r="H22" s="33"/>
      <c r="K22" s="43"/>
    </row>
    <row r="23" spans="1:12" x14ac:dyDescent="0.2">
      <c r="A23" s="19">
        <v>21</v>
      </c>
      <c r="B23" s="6" t="s">
        <v>156</v>
      </c>
      <c r="C23" s="6" t="s">
        <v>266</v>
      </c>
      <c r="D23" s="6">
        <v>20</v>
      </c>
      <c r="E23" s="6">
        <v>8920</v>
      </c>
      <c r="F23" s="34">
        <f t="shared" si="0"/>
        <v>151.35782134330236</v>
      </c>
      <c r="G23" s="39">
        <f>F24</f>
        <v>170.70175815175133</v>
      </c>
      <c r="H23" s="33">
        <f>G23-F23</f>
        <v>19.343936808448973</v>
      </c>
      <c r="I23" s="42">
        <f t="shared" si="1"/>
        <v>11.332007952286292</v>
      </c>
      <c r="J23" s="43">
        <v>6720000</v>
      </c>
      <c r="K23" s="43">
        <f t="shared" si="2"/>
        <v>2.8785620250668115E-6</v>
      </c>
      <c r="L23">
        <f>LOG10(K23)</f>
        <v>-5.5408244082605949</v>
      </c>
    </row>
    <row r="24" spans="1:12" x14ac:dyDescent="0.2">
      <c r="A24" s="19">
        <v>22</v>
      </c>
      <c r="B24" s="6" t="s">
        <v>160</v>
      </c>
      <c r="C24" s="6" t="s">
        <v>267</v>
      </c>
      <c r="D24" s="6">
        <v>20</v>
      </c>
      <c r="E24" s="6">
        <v>10060</v>
      </c>
      <c r="F24" s="34">
        <f>E24/58.933195</f>
        <v>170.70175815175133</v>
      </c>
      <c r="H24" s="33"/>
      <c r="K24" s="43"/>
    </row>
    <row r="25" spans="1:12" x14ac:dyDescent="0.2">
      <c r="A25" s="19">
        <v>23</v>
      </c>
      <c r="B25" s="6" t="s">
        <v>163</v>
      </c>
      <c r="C25" s="6" t="s">
        <v>268</v>
      </c>
      <c r="D25" s="6">
        <v>20</v>
      </c>
      <c r="E25" s="6">
        <v>9360.0000000000018</v>
      </c>
      <c r="F25" s="34">
        <f t="shared" si="0"/>
        <v>158.82390221673884</v>
      </c>
      <c r="G25" s="39">
        <f>F26</f>
        <v>162.89630996588596</v>
      </c>
      <c r="H25" s="33">
        <f>G25-F25</f>
        <v>4.0724077491471178</v>
      </c>
      <c r="I25">
        <f t="shared" si="1"/>
        <v>2.4999999999999809</v>
      </c>
      <c r="J25" s="43">
        <v>9990000</v>
      </c>
      <c r="K25" s="43">
        <f t="shared" si="2"/>
        <v>4.0764842333804981E-7</v>
      </c>
      <c r="L25">
        <f>LOG10(K25)</f>
        <v>-6.3897142330576226</v>
      </c>
    </row>
    <row r="26" spans="1:12" x14ac:dyDescent="0.2">
      <c r="A26" s="19">
        <v>24</v>
      </c>
      <c r="B26" s="6" t="s">
        <v>167</v>
      </c>
      <c r="C26" s="6" t="s">
        <v>269</v>
      </c>
      <c r="D26" s="6">
        <v>20</v>
      </c>
      <c r="E26" s="6">
        <v>9600</v>
      </c>
      <c r="F26" s="34">
        <f>E26/58.933195</f>
        <v>162.89630996588596</v>
      </c>
      <c r="H26" s="33"/>
      <c r="K26" s="43"/>
    </row>
    <row r="27" spans="1:12" x14ac:dyDescent="0.2">
      <c r="A27" s="19">
        <v>25</v>
      </c>
      <c r="B27" s="6" t="s">
        <v>170</v>
      </c>
      <c r="C27" s="6" t="s">
        <v>270</v>
      </c>
      <c r="D27" s="6">
        <v>20</v>
      </c>
      <c r="E27" s="6">
        <v>9240</v>
      </c>
      <c r="F27" s="34">
        <f t="shared" si="0"/>
        <v>156.78769834216524</v>
      </c>
      <c r="G27" s="39">
        <f>F28</f>
        <v>159.16326952916771</v>
      </c>
      <c r="H27" s="33">
        <f>G27-F27</f>
        <v>2.3755711870024641</v>
      </c>
      <c r="I27" s="42">
        <f t="shared" si="1"/>
        <v>1.4925373134328113</v>
      </c>
      <c r="J27" s="43">
        <v>3950000</v>
      </c>
      <c r="K27" s="43">
        <f t="shared" si="2"/>
        <v>6.0141042708923142E-7</v>
      </c>
      <c r="L27">
        <f>LOG10(K27)</f>
        <v>-6.2208290464914722</v>
      </c>
    </row>
    <row r="28" spans="1:12" x14ac:dyDescent="0.2">
      <c r="A28" s="19">
        <v>26</v>
      </c>
      <c r="B28" s="6" t="s">
        <v>173</v>
      </c>
      <c r="C28" s="6" t="s">
        <v>271</v>
      </c>
      <c r="D28" s="6">
        <v>20</v>
      </c>
      <c r="E28" s="6">
        <v>9379.9999999999982</v>
      </c>
      <c r="F28" s="34">
        <f>E28/58.933195</f>
        <v>159.16326952916771</v>
      </c>
      <c r="H28" s="33"/>
      <c r="K28" s="43"/>
    </row>
    <row r="29" spans="1:12" x14ac:dyDescent="0.2">
      <c r="A29" s="19">
        <v>27</v>
      </c>
      <c r="B29" s="6" t="s">
        <v>176</v>
      </c>
      <c r="C29" s="6" t="s">
        <v>272</v>
      </c>
      <c r="D29" s="6">
        <v>20</v>
      </c>
      <c r="E29" s="6">
        <v>74900</v>
      </c>
      <c r="F29" s="34">
        <f t="shared" si="0"/>
        <v>1270.9305850463393</v>
      </c>
      <c r="G29" s="39">
        <f>F30</f>
        <v>1523.4198654934626</v>
      </c>
      <c r="H29" s="33">
        <f>G29-F29</f>
        <v>252.48928044712329</v>
      </c>
      <c r="I29" s="42">
        <f t="shared" si="1"/>
        <v>16.573847182000449</v>
      </c>
      <c r="J29" s="43">
        <v>97000000</v>
      </c>
      <c r="K29" s="43">
        <f t="shared" si="2"/>
        <v>2.6029822726507555E-6</v>
      </c>
      <c r="L29">
        <f>LOG10(K29)</f>
        <v>-5.5845287895996281</v>
      </c>
    </row>
    <row r="30" spans="1:12" x14ac:dyDescent="0.2">
      <c r="A30" s="19">
        <v>28</v>
      </c>
      <c r="B30" s="6" t="s">
        <v>179</v>
      </c>
      <c r="C30" s="6" t="s">
        <v>273</v>
      </c>
      <c r="D30" s="6">
        <v>20</v>
      </c>
      <c r="E30" s="6">
        <v>89780</v>
      </c>
      <c r="F30" s="34">
        <f>E30/58.933195</f>
        <v>1523.4198654934626</v>
      </c>
      <c r="H30" s="33"/>
      <c r="K30" s="43"/>
    </row>
    <row r="31" spans="1:12" x14ac:dyDescent="0.2">
      <c r="A31" s="19">
        <v>29</v>
      </c>
      <c r="B31" s="6" t="s">
        <v>182</v>
      </c>
      <c r="C31" s="6" t="s">
        <v>274</v>
      </c>
      <c r="D31" s="6">
        <v>20</v>
      </c>
      <c r="E31" s="6">
        <v>79460</v>
      </c>
      <c r="F31" s="34">
        <f t="shared" si="0"/>
        <v>1348.3063322801352</v>
      </c>
      <c r="G31" s="39">
        <f>F32</f>
        <v>1596.7232049781112</v>
      </c>
      <c r="H31" s="33">
        <f>G31-F31</f>
        <v>248.41687269797603</v>
      </c>
      <c r="I31" s="42">
        <f t="shared" si="1"/>
        <v>15.557917109458023</v>
      </c>
      <c r="J31" s="43">
        <v>19000000</v>
      </c>
      <c r="K31" s="43">
        <f t="shared" si="2"/>
        <v>1.3074572247261896E-5</v>
      </c>
      <c r="L31">
        <f>LOG10(K31)</f>
        <v>-4.8835725107736989</v>
      </c>
    </row>
    <row r="32" spans="1:12" x14ac:dyDescent="0.2">
      <c r="A32" s="19">
        <v>30</v>
      </c>
      <c r="B32" s="6" t="s">
        <v>185</v>
      </c>
      <c r="C32" s="6" t="s">
        <v>275</v>
      </c>
      <c r="D32" s="6">
        <v>20</v>
      </c>
      <c r="E32" s="6">
        <v>94100</v>
      </c>
      <c r="F32" s="34">
        <f>E32/58.933195</f>
        <v>1596.7232049781112</v>
      </c>
      <c r="H32" s="33"/>
      <c r="K32" s="43"/>
    </row>
    <row r="33" spans="1:12" x14ac:dyDescent="0.2">
      <c r="A33" s="19">
        <v>31</v>
      </c>
      <c r="B33" s="6" t="s">
        <v>188</v>
      </c>
      <c r="C33" s="6" t="s">
        <v>276</v>
      </c>
      <c r="D33" s="6">
        <v>20</v>
      </c>
      <c r="E33" s="6">
        <v>101560</v>
      </c>
      <c r="F33" s="34">
        <f t="shared" si="0"/>
        <v>1723.3072125141018</v>
      </c>
      <c r="G33" s="39">
        <f>F34</f>
        <v>1623.8725899724257</v>
      </c>
      <c r="H33" s="33">
        <f>G33-F33</f>
        <v>-99.434622541676163</v>
      </c>
      <c r="I33" s="42">
        <f t="shared" si="1"/>
        <v>-6.1233019853709472</v>
      </c>
      <c r="J33" s="43">
        <v>56000000</v>
      </c>
      <c r="K33" s="43">
        <f t="shared" si="2"/>
        <v>-1.7756182596727886E-6</v>
      </c>
      <c r="L33" t="e">
        <f>LOG10(K33)</f>
        <v>#NUM!</v>
      </c>
    </row>
    <row r="34" spans="1:12" x14ac:dyDescent="0.2">
      <c r="A34" s="22">
        <v>32</v>
      </c>
      <c r="B34" s="21" t="s">
        <v>191</v>
      </c>
      <c r="C34" s="21" t="s">
        <v>277</v>
      </c>
      <c r="D34" s="21">
        <v>20</v>
      </c>
      <c r="E34" s="21">
        <v>95700</v>
      </c>
      <c r="F34" s="40">
        <f>E34/58.933195</f>
        <v>1623.8725899724257</v>
      </c>
      <c r="H34" s="33"/>
      <c r="K34" s="43"/>
    </row>
    <row r="35" spans="1:12" x14ac:dyDescent="0.2">
      <c r="A35" s="26"/>
      <c r="B35" s="25"/>
      <c r="C35" s="25"/>
      <c r="D35" s="25"/>
      <c r="E35" s="25"/>
      <c r="F35" s="41"/>
      <c r="G35" s="39"/>
    </row>
    <row r="36" spans="1:12" x14ac:dyDescent="0.2">
      <c r="A36" s="8"/>
      <c r="F36" s="33"/>
    </row>
    <row r="37" spans="1:12" x14ac:dyDescent="0.2">
      <c r="A37" s="8"/>
      <c r="C37" s="8"/>
      <c r="F37" s="33"/>
    </row>
    <row r="38" spans="1:12" x14ac:dyDescent="0.2">
      <c r="A38" s="8"/>
      <c r="C38" s="8"/>
      <c r="F38" s="33"/>
    </row>
    <row r="39" spans="1:12" x14ac:dyDescent="0.2">
      <c r="A39" s="8"/>
      <c r="C39" s="8"/>
      <c r="F39" s="33"/>
    </row>
    <row r="40" spans="1:12" x14ac:dyDescent="0.2">
      <c r="A40" s="8"/>
      <c r="D40" s="24"/>
    </row>
    <row r="41" spans="1:12" x14ac:dyDescent="0.2">
      <c r="A41" s="8"/>
      <c r="D41" s="24"/>
    </row>
    <row r="42" spans="1:12" x14ac:dyDescent="0.2">
      <c r="A42" s="8"/>
      <c r="D42" s="24"/>
    </row>
    <row r="43" spans="1:12" x14ac:dyDescent="0.2">
      <c r="A43" s="8"/>
      <c r="D43" s="24"/>
    </row>
    <row r="44" spans="1:12" x14ac:dyDescent="0.2">
      <c r="A44" s="8"/>
      <c r="D44" s="24"/>
    </row>
    <row r="45" spans="1:12" x14ac:dyDescent="0.2">
      <c r="A45" s="8"/>
      <c r="D45" s="24"/>
    </row>
    <row r="46" spans="1:12" x14ac:dyDescent="0.2">
      <c r="A46" s="8"/>
      <c r="D46" s="24"/>
    </row>
    <row r="47" spans="1:12" x14ac:dyDescent="0.2">
      <c r="A47" s="8"/>
      <c r="D47" s="20"/>
      <c r="E47" s="20"/>
    </row>
    <row r="48" spans="1:12" x14ac:dyDescent="0.2">
      <c r="A48" s="8"/>
      <c r="D48" s="20"/>
      <c r="E48" s="20"/>
    </row>
    <row r="49" spans="1:5" x14ac:dyDescent="0.2">
      <c r="A49" s="8"/>
      <c r="D49" s="20"/>
      <c r="E49" s="20"/>
    </row>
    <row r="50" spans="1:5" x14ac:dyDescent="0.2">
      <c r="A50" s="8"/>
      <c r="D50" s="20"/>
      <c r="E50" s="20"/>
    </row>
    <row r="51" spans="1:5" x14ac:dyDescent="0.2">
      <c r="A51" s="8"/>
      <c r="D51" s="20"/>
      <c r="E51" s="20"/>
    </row>
    <row r="52" spans="1:5" x14ac:dyDescent="0.2">
      <c r="A52" s="8"/>
      <c r="D52" s="20"/>
      <c r="E52" s="20"/>
    </row>
    <row r="53" spans="1:5" x14ac:dyDescent="0.2">
      <c r="A53" s="8"/>
      <c r="D53" s="20"/>
      <c r="E53" s="20"/>
    </row>
    <row r="54" spans="1:5" x14ac:dyDescent="0.2">
      <c r="A54" s="8"/>
      <c r="D54" s="20"/>
      <c r="E54" s="20"/>
    </row>
    <row r="55" spans="1:5" x14ac:dyDescent="0.2">
      <c r="A55" s="8"/>
      <c r="D55" s="20"/>
      <c r="E55" s="20"/>
    </row>
    <row r="56" spans="1:5" x14ac:dyDescent="0.2">
      <c r="A56" s="8"/>
      <c r="D56" s="20"/>
      <c r="E56" s="20"/>
    </row>
    <row r="57" spans="1:5" x14ac:dyDescent="0.2">
      <c r="A57" s="8"/>
      <c r="D57" s="20"/>
      <c r="E57" s="20"/>
    </row>
    <row r="58" spans="1:5" x14ac:dyDescent="0.2">
      <c r="A58" s="8"/>
      <c r="D58" s="20"/>
      <c r="E58" s="20"/>
    </row>
  </sheetData>
  <mergeCells count="2">
    <mergeCell ref="B1:D1"/>
    <mergeCell ref="E1:F1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CC3F-3175-6E40-80E2-59B9CE772917}">
  <dimension ref="A1:O42"/>
  <sheetViews>
    <sheetView tabSelected="1" topLeftCell="D1" zoomScale="99" workbookViewId="0">
      <selection activeCell="I22" sqref="I22"/>
    </sheetView>
  </sheetViews>
  <sheetFormatPr baseColWidth="10" defaultRowHeight="16" x14ac:dyDescent="0.2"/>
  <cols>
    <col min="1" max="1" width="17.83203125" bestFit="1" customWidth="1"/>
    <col min="2" max="2" width="47" bestFit="1" customWidth="1"/>
    <col min="4" max="4" width="13.33203125" bestFit="1" customWidth="1"/>
    <col min="5" max="5" width="11" bestFit="1" customWidth="1"/>
    <col min="6" max="7" width="11" customWidth="1"/>
    <col min="8" max="8" width="25.5" bestFit="1" customWidth="1"/>
    <col min="9" max="9" width="25.1640625" bestFit="1" customWidth="1"/>
    <col min="10" max="10" width="30.1640625" bestFit="1" customWidth="1"/>
    <col min="11" max="11" width="24" bestFit="1" customWidth="1"/>
    <col min="13" max="13" width="15.33203125" bestFit="1" customWidth="1"/>
    <col min="14" max="14" width="20.83203125" bestFit="1" customWidth="1"/>
  </cols>
  <sheetData>
    <row r="1" spans="1:15" x14ac:dyDescent="0.2">
      <c r="A1" s="46"/>
      <c r="B1" s="46"/>
      <c r="C1" s="47"/>
      <c r="D1" s="50" t="s">
        <v>290</v>
      </c>
      <c r="E1" s="46"/>
      <c r="F1" s="50" t="s">
        <v>291</v>
      </c>
      <c r="G1" s="46"/>
      <c r="H1" s="37"/>
      <c r="I1" s="36"/>
      <c r="J1" s="36"/>
      <c r="K1" s="36"/>
      <c r="L1" s="36"/>
      <c r="M1" s="36"/>
      <c r="N1" s="38"/>
    </row>
    <row r="2" spans="1:15" x14ac:dyDescent="0.2">
      <c r="A2" s="17" t="s">
        <v>6</v>
      </c>
      <c r="B2" s="18" t="s">
        <v>226</v>
      </c>
      <c r="C2" s="18" t="s">
        <v>228</v>
      </c>
      <c r="D2" s="18" t="s">
        <v>251</v>
      </c>
      <c r="E2" s="29" t="s">
        <v>289</v>
      </c>
      <c r="F2" s="18" t="s">
        <v>251</v>
      </c>
      <c r="G2" s="29" t="s">
        <v>289</v>
      </c>
      <c r="H2" s="35" t="s">
        <v>293</v>
      </c>
      <c r="I2" s="17" t="s">
        <v>292</v>
      </c>
      <c r="J2" s="17" t="s">
        <v>298</v>
      </c>
      <c r="K2" s="17" t="s">
        <v>294</v>
      </c>
      <c r="L2" s="29" t="s">
        <v>295</v>
      </c>
      <c r="M2" s="17" t="s">
        <v>296</v>
      </c>
      <c r="N2" s="29" t="s">
        <v>297</v>
      </c>
    </row>
    <row r="3" spans="1:15" x14ac:dyDescent="0.2">
      <c r="A3" s="6" t="s">
        <v>81</v>
      </c>
      <c r="B3" s="6" t="s">
        <v>252</v>
      </c>
      <c r="C3" s="6">
        <v>10</v>
      </c>
      <c r="D3" s="6">
        <v>80</v>
      </c>
      <c r="E3" s="34">
        <f t="shared" ref="E3:E18" si="0">D3/58.933195</f>
        <v>1.3574692497157164</v>
      </c>
      <c r="F3" s="6">
        <v>90</v>
      </c>
      <c r="G3" s="34">
        <f>F3/58.933195</f>
        <v>1.5271529059301809</v>
      </c>
      <c r="H3" s="33">
        <f t="shared" ref="H3:H18" si="1">E3</f>
        <v>1.3574692497157164</v>
      </c>
    </row>
    <row r="4" spans="1:15" x14ac:dyDescent="0.2">
      <c r="A4" s="6" t="s">
        <v>87</v>
      </c>
      <c r="B4" s="6" t="s">
        <v>278</v>
      </c>
      <c r="C4" s="6">
        <v>10</v>
      </c>
      <c r="D4" s="6">
        <v>80</v>
      </c>
      <c r="E4" s="34">
        <f t="shared" si="0"/>
        <v>1.3574692497157164</v>
      </c>
      <c r="F4" s="6">
        <v>90</v>
      </c>
      <c r="G4" s="34">
        <f t="shared" ref="G4:G18" si="2">F4/58.933195</f>
        <v>1.5271529059301809</v>
      </c>
      <c r="H4" s="33">
        <f t="shared" si="1"/>
        <v>1.3574692497157164</v>
      </c>
      <c r="I4" s="33">
        <f>H4-G4</f>
        <v>-0.16968365621446457</v>
      </c>
      <c r="J4">
        <f t="shared" ref="J4:J18" si="3">I4/1000</f>
        <v>-1.6968365621446458E-4</v>
      </c>
      <c r="K4">
        <f t="shared" ref="K4:K18" si="4">I4/H4*100</f>
        <v>-12.500000000000004</v>
      </c>
      <c r="L4" s="43">
        <v>4700000000</v>
      </c>
      <c r="M4" s="43">
        <f>J4/L4</f>
        <v>-3.6102905577545655E-14</v>
      </c>
      <c r="N4" t="e">
        <f t="shared" ref="N4:N18" si="5">LOG10(M4)</f>
        <v>#NUM!</v>
      </c>
      <c r="O4" t="e">
        <f>LN(M4)</f>
        <v>#NUM!</v>
      </c>
    </row>
    <row r="5" spans="1:15" x14ac:dyDescent="0.2">
      <c r="A5" s="6" t="s">
        <v>93</v>
      </c>
      <c r="B5" s="6" t="s">
        <v>280</v>
      </c>
      <c r="C5" s="6">
        <v>10</v>
      </c>
      <c r="D5" s="6">
        <v>80</v>
      </c>
      <c r="E5" s="34">
        <f t="shared" si="0"/>
        <v>1.3574692497157164</v>
      </c>
      <c r="F5" s="6">
        <v>80</v>
      </c>
      <c r="G5" s="34">
        <f t="shared" si="2"/>
        <v>1.3574692497157164</v>
      </c>
      <c r="H5" s="39">
        <f t="shared" si="1"/>
        <v>1.3574692497157164</v>
      </c>
      <c r="I5">
        <f t="shared" ref="I5:I18" si="6">H5-G5</f>
        <v>0</v>
      </c>
      <c r="J5">
        <f t="shared" si="3"/>
        <v>0</v>
      </c>
      <c r="K5">
        <f t="shared" si="4"/>
        <v>0</v>
      </c>
      <c r="L5" s="43">
        <v>6500000000</v>
      </c>
      <c r="M5" s="43">
        <f t="shared" ref="M5:M18" si="7">J5/L5</f>
        <v>0</v>
      </c>
      <c r="N5" t="e">
        <f t="shared" si="5"/>
        <v>#NUM!</v>
      </c>
      <c r="O5" t="e">
        <f t="shared" ref="O5:O18" si="8">LN(M5)</f>
        <v>#NUM!</v>
      </c>
    </row>
    <row r="6" spans="1:15" x14ac:dyDescent="0.2">
      <c r="A6" s="6" t="s">
        <v>99</v>
      </c>
      <c r="B6" s="6" t="s">
        <v>282</v>
      </c>
      <c r="C6" s="6">
        <v>10</v>
      </c>
      <c r="D6" s="6">
        <v>80</v>
      </c>
      <c r="E6" s="34">
        <f t="shared" si="0"/>
        <v>1.3574692497157164</v>
      </c>
      <c r="F6" s="6">
        <v>80</v>
      </c>
      <c r="G6" s="34">
        <f t="shared" si="2"/>
        <v>1.3574692497157164</v>
      </c>
      <c r="H6" s="39">
        <f t="shared" si="1"/>
        <v>1.3574692497157164</v>
      </c>
      <c r="I6">
        <f t="shared" si="6"/>
        <v>0</v>
      </c>
      <c r="J6">
        <f t="shared" si="3"/>
        <v>0</v>
      </c>
      <c r="K6">
        <f t="shared" si="4"/>
        <v>0</v>
      </c>
      <c r="L6" s="43">
        <v>3300000000</v>
      </c>
      <c r="M6" s="43">
        <f t="shared" si="7"/>
        <v>0</v>
      </c>
      <c r="N6" t="e">
        <f t="shared" si="5"/>
        <v>#NUM!</v>
      </c>
      <c r="O6" t="e">
        <f t="shared" si="8"/>
        <v>#NUM!</v>
      </c>
    </row>
    <row r="7" spans="1:15" x14ac:dyDescent="0.2">
      <c r="A7" s="6" t="s">
        <v>105</v>
      </c>
      <c r="B7" s="6" t="s">
        <v>255</v>
      </c>
      <c r="C7" s="6">
        <v>10</v>
      </c>
      <c r="D7" s="6">
        <v>170</v>
      </c>
      <c r="E7" s="34">
        <f t="shared" si="0"/>
        <v>2.8846221556458973</v>
      </c>
      <c r="F7" s="6">
        <v>170</v>
      </c>
      <c r="G7" s="34">
        <f t="shared" si="2"/>
        <v>2.8846221556458973</v>
      </c>
      <c r="H7" s="39">
        <f t="shared" si="1"/>
        <v>2.8846221556458973</v>
      </c>
      <c r="I7">
        <f t="shared" si="6"/>
        <v>0</v>
      </c>
      <c r="J7">
        <f t="shared" si="3"/>
        <v>0</v>
      </c>
      <c r="K7">
        <f t="shared" si="4"/>
        <v>0</v>
      </c>
      <c r="L7" s="43">
        <v>2500000000</v>
      </c>
      <c r="M7" s="43">
        <f t="shared" si="7"/>
        <v>0</v>
      </c>
      <c r="N7" t="e">
        <f t="shared" si="5"/>
        <v>#NUM!</v>
      </c>
      <c r="O7" t="e">
        <f t="shared" si="8"/>
        <v>#NUM!</v>
      </c>
    </row>
    <row r="8" spans="1:15" x14ac:dyDescent="0.2">
      <c r="A8" s="6" t="s">
        <v>112</v>
      </c>
      <c r="B8" s="6" t="s">
        <v>254</v>
      </c>
      <c r="C8" s="6">
        <v>10</v>
      </c>
      <c r="D8" s="6">
        <v>170</v>
      </c>
      <c r="E8" s="34">
        <f t="shared" si="0"/>
        <v>2.8846221556458973</v>
      </c>
      <c r="F8" s="6">
        <v>170</v>
      </c>
      <c r="G8" s="34">
        <f t="shared" si="2"/>
        <v>2.8846221556458973</v>
      </c>
      <c r="H8" s="39">
        <f t="shared" si="1"/>
        <v>2.8846221556458973</v>
      </c>
      <c r="I8">
        <f t="shared" si="6"/>
        <v>0</v>
      </c>
      <c r="J8">
        <f t="shared" si="3"/>
        <v>0</v>
      </c>
      <c r="K8">
        <f t="shared" si="4"/>
        <v>0</v>
      </c>
      <c r="L8" s="43">
        <v>3800000000</v>
      </c>
      <c r="M8" s="43">
        <f t="shared" si="7"/>
        <v>0</v>
      </c>
      <c r="N8" t="e">
        <f t="shared" si="5"/>
        <v>#NUM!</v>
      </c>
      <c r="O8" t="e">
        <f t="shared" si="8"/>
        <v>#NUM!</v>
      </c>
    </row>
    <row r="9" spans="1:15" x14ac:dyDescent="0.2">
      <c r="A9" s="6" t="s">
        <v>118</v>
      </c>
      <c r="B9" s="6" t="s">
        <v>258</v>
      </c>
      <c r="C9" s="6">
        <v>10</v>
      </c>
      <c r="D9" s="6">
        <v>170</v>
      </c>
      <c r="E9" s="34">
        <f t="shared" si="0"/>
        <v>2.8846221556458973</v>
      </c>
      <c r="F9" s="6">
        <v>170</v>
      </c>
      <c r="G9" s="34">
        <f t="shared" si="2"/>
        <v>2.8846221556458973</v>
      </c>
      <c r="H9" s="39">
        <f t="shared" si="1"/>
        <v>2.8846221556458973</v>
      </c>
      <c r="I9">
        <f t="shared" si="6"/>
        <v>0</v>
      </c>
      <c r="J9">
        <f t="shared" si="3"/>
        <v>0</v>
      </c>
      <c r="K9">
        <f t="shared" si="4"/>
        <v>0</v>
      </c>
      <c r="L9" s="43">
        <v>5400000000</v>
      </c>
      <c r="M9" s="43">
        <f t="shared" si="7"/>
        <v>0</v>
      </c>
      <c r="N9" t="e">
        <f t="shared" si="5"/>
        <v>#NUM!</v>
      </c>
      <c r="O9" t="e">
        <f t="shared" si="8"/>
        <v>#NUM!</v>
      </c>
    </row>
    <row r="10" spans="1:15" x14ac:dyDescent="0.2">
      <c r="A10" s="6" t="s">
        <v>125</v>
      </c>
      <c r="B10" s="6" t="s">
        <v>260</v>
      </c>
      <c r="C10" s="6">
        <v>10</v>
      </c>
      <c r="D10" s="6">
        <v>929.99999999999989</v>
      </c>
      <c r="E10" s="34">
        <f t="shared" si="0"/>
        <v>15.7805800279452</v>
      </c>
      <c r="F10" s="6">
        <v>889.99999999999989</v>
      </c>
      <c r="G10" s="34">
        <f t="shared" si="2"/>
        <v>15.101845403087342</v>
      </c>
      <c r="H10" s="39">
        <f t="shared" si="1"/>
        <v>15.7805800279452</v>
      </c>
      <c r="I10" s="33">
        <f>H10-G10</f>
        <v>0.67873462485785829</v>
      </c>
      <c r="J10">
        <f t="shared" si="3"/>
        <v>6.7873462485785834E-4</v>
      </c>
      <c r="K10" s="42">
        <f t="shared" si="4"/>
        <v>4.3010752688172049</v>
      </c>
      <c r="L10" s="43">
        <v>6420000000</v>
      </c>
      <c r="M10" s="43">
        <f t="shared" si="7"/>
        <v>1.0572190418346704E-13</v>
      </c>
      <c r="N10">
        <f t="shared" si="5"/>
        <v>-12.975835023284134</v>
      </c>
      <c r="O10">
        <f t="shared" si="8"/>
        <v>-29.877964293764091</v>
      </c>
    </row>
    <row r="11" spans="1:15" x14ac:dyDescent="0.2">
      <c r="A11" s="6" t="s">
        <v>132</v>
      </c>
      <c r="B11" s="6" t="s">
        <v>262</v>
      </c>
      <c r="C11" s="6">
        <v>10</v>
      </c>
      <c r="D11" s="6">
        <v>960</v>
      </c>
      <c r="E11" s="34">
        <f t="shared" si="0"/>
        <v>16.289630996588595</v>
      </c>
      <c r="F11" s="6">
        <v>909.99999999999989</v>
      </c>
      <c r="G11" s="34">
        <f t="shared" si="2"/>
        <v>15.44121271551627</v>
      </c>
      <c r="H11" s="39">
        <f t="shared" si="1"/>
        <v>16.289630996588595</v>
      </c>
      <c r="I11">
        <f t="shared" si="6"/>
        <v>0.84841828107232509</v>
      </c>
      <c r="J11">
        <f t="shared" si="3"/>
        <v>8.4841828107232512E-4</v>
      </c>
      <c r="K11" s="42">
        <f t="shared" si="4"/>
        <v>5.2083333333333481</v>
      </c>
      <c r="L11" s="43">
        <v>5480000000</v>
      </c>
      <c r="M11" s="43">
        <f t="shared" si="7"/>
        <v>1.5482085421027831E-13</v>
      </c>
      <c r="N11">
        <f t="shared" si="5"/>
        <v>-12.810170540691592</v>
      </c>
      <c r="O11">
        <f t="shared" si="8"/>
        <v>-29.496507725707936</v>
      </c>
    </row>
    <row r="12" spans="1:15" x14ac:dyDescent="0.2">
      <c r="A12" s="6" t="s">
        <v>139</v>
      </c>
      <c r="B12" s="6" t="s">
        <v>264</v>
      </c>
      <c r="C12" s="6">
        <v>10</v>
      </c>
      <c r="D12" s="6">
        <v>950</v>
      </c>
      <c r="E12" s="34">
        <f t="shared" si="0"/>
        <v>16.119947340374132</v>
      </c>
      <c r="F12" s="6">
        <v>850.00000000000011</v>
      </c>
      <c r="G12" s="34">
        <f t="shared" si="2"/>
        <v>14.423110778229487</v>
      </c>
      <c r="H12" s="39">
        <f t="shared" si="1"/>
        <v>16.119947340374132</v>
      </c>
      <c r="I12">
        <f t="shared" si="6"/>
        <v>1.6968365621446448</v>
      </c>
      <c r="J12">
        <f t="shared" si="3"/>
        <v>1.6968365621446448E-3</v>
      </c>
      <c r="K12" s="42">
        <f t="shared" si="4"/>
        <v>10.52631578947368</v>
      </c>
      <c r="L12" s="43">
        <v>5470000000</v>
      </c>
      <c r="M12" s="43">
        <f t="shared" si="7"/>
        <v>3.102077810136462E-13</v>
      </c>
      <c r="N12">
        <f t="shared" si="5"/>
        <v>-12.508347312876674</v>
      </c>
      <c r="O12">
        <f t="shared" si="8"/>
        <v>-28.801534060621957</v>
      </c>
    </row>
    <row r="13" spans="1:15" x14ac:dyDescent="0.2">
      <c r="A13" s="6" t="s">
        <v>156</v>
      </c>
      <c r="B13" s="6" t="s">
        <v>266</v>
      </c>
      <c r="C13" s="6">
        <v>20</v>
      </c>
      <c r="D13" s="6">
        <v>10060</v>
      </c>
      <c r="E13" s="34">
        <f t="shared" si="0"/>
        <v>170.70175815175133</v>
      </c>
      <c r="F13" s="6">
        <v>8920</v>
      </c>
      <c r="G13" s="34">
        <f t="shared" si="2"/>
        <v>151.35782134330236</v>
      </c>
      <c r="H13" s="39">
        <f t="shared" si="1"/>
        <v>170.70175815175133</v>
      </c>
      <c r="I13">
        <f t="shared" si="6"/>
        <v>19.343936808448973</v>
      </c>
      <c r="J13">
        <f t="shared" si="3"/>
        <v>1.9343936808448974E-2</v>
      </c>
      <c r="K13" s="42">
        <f t="shared" si="4"/>
        <v>11.332007952286292</v>
      </c>
      <c r="L13" s="43">
        <v>6720000</v>
      </c>
      <c r="M13" s="43">
        <f t="shared" si="7"/>
        <v>2.8785620250668116E-9</v>
      </c>
      <c r="N13">
        <f t="shared" si="5"/>
        <v>-8.5408244082605957</v>
      </c>
      <c r="O13">
        <f t="shared" si="8"/>
        <v>-19.665974964340538</v>
      </c>
    </row>
    <row r="14" spans="1:15" x14ac:dyDescent="0.2">
      <c r="A14" s="6" t="s">
        <v>163</v>
      </c>
      <c r="B14" s="6" t="s">
        <v>268</v>
      </c>
      <c r="C14" s="6">
        <v>20</v>
      </c>
      <c r="D14" s="6">
        <v>9600</v>
      </c>
      <c r="E14" s="34">
        <f t="shared" si="0"/>
        <v>162.89630996588596</v>
      </c>
      <c r="F14" s="6">
        <v>9360.0000000000018</v>
      </c>
      <c r="G14" s="34">
        <f t="shared" si="2"/>
        <v>158.82390221673884</v>
      </c>
      <c r="H14" s="39">
        <f t="shared" si="1"/>
        <v>162.89630996588596</v>
      </c>
      <c r="I14">
        <f t="shared" si="6"/>
        <v>4.0724077491471178</v>
      </c>
      <c r="J14">
        <f t="shared" si="3"/>
        <v>4.0724077491471177E-3</v>
      </c>
      <c r="K14">
        <f t="shared" si="4"/>
        <v>2.4999999999999809</v>
      </c>
      <c r="L14" s="43">
        <v>9990000</v>
      </c>
      <c r="M14" s="43">
        <f t="shared" si="7"/>
        <v>4.076484233380498E-10</v>
      </c>
      <c r="N14">
        <f t="shared" si="5"/>
        <v>-9.3897142330576226</v>
      </c>
      <c r="O14">
        <f t="shared" si="8"/>
        <v>-21.6206160205125</v>
      </c>
    </row>
    <row r="15" spans="1:15" x14ac:dyDescent="0.2">
      <c r="A15" s="6" t="s">
        <v>170</v>
      </c>
      <c r="B15" s="6" t="s">
        <v>270</v>
      </c>
      <c r="C15" s="6">
        <v>20</v>
      </c>
      <c r="D15" s="6">
        <v>9379.9999999999982</v>
      </c>
      <c r="E15" s="34">
        <f t="shared" si="0"/>
        <v>159.16326952916771</v>
      </c>
      <c r="F15" s="6">
        <v>9240</v>
      </c>
      <c r="G15" s="34">
        <f t="shared" si="2"/>
        <v>156.78769834216524</v>
      </c>
      <c r="H15" s="39">
        <f t="shared" si="1"/>
        <v>159.16326952916771</v>
      </c>
      <c r="I15">
        <f t="shared" si="6"/>
        <v>2.3755711870024641</v>
      </c>
      <c r="J15">
        <f t="shared" si="3"/>
        <v>2.3755711870024642E-3</v>
      </c>
      <c r="K15" s="42">
        <f t="shared" si="4"/>
        <v>1.4925373134328113</v>
      </c>
      <c r="L15" s="43">
        <v>3950000</v>
      </c>
      <c r="M15" s="43">
        <f t="shared" si="7"/>
        <v>6.014104270892314E-10</v>
      </c>
      <c r="N15">
        <f t="shared" si="5"/>
        <v>-9.2208290464914722</v>
      </c>
      <c r="O15">
        <f t="shared" si="8"/>
        <v>-21.231743507497765</v>
      </c>
    </row>
    <row r="16" spans="1:15" x14ac:dyDescent="0.2">
      <c r="A16" s="6" t="s">
        <v>176</v>
      </c>
      <c r="B16" s="6" t="s">
        <v>272</v>
      </c>
      <c r="C16" s="6">
        <v>20</v>
      </c>
      <c r="D16" s="6">
        <v>89780</v>
      </c>
      <c r="E16" s="34">
        <f t="shared" si="0"/>
        <v>1523.4198654934626</v>
      </c>
      <c r="F16" s="6">
        <v>74900</v>
      </c>
      <c r="G16" s="34">
        <f t="shared" si="2"/>
        <v>1270.9305850463393</v>
      </c>
      <c r="H16" s="39">
        <f t="shared" si="1"/>
        <v>1523.4198654934626</v>
      </c>
      <c r="I16">
        <f t="shared" si="6"/>
        <v>252.48928044712329</v>
      </c>
      <c r="J16">
        <f t="shared" si="3"/>
        <v>0.25248928044712327</v>
      </c>
      <c r="K16" s="42">
        <f t="shared" si="4"/>
        <v>16.573847182000449</v>
      </c>
      <c r="L16" s="43">
        <v>97000000</v>
      </c>
      <c r="M16" s="43">
        <f t="shared" si="7"/>
        <v>2.6029822726507553E-9</v>
      </c>
      <c r="N16">
        <f t="shared" si="5"/>
        <v>-8.5845287895996272</v>
      </c>
      <c r="O16">
        <f t="shared" si="8"/>
        <v>-19.766608021310322</v>
      </c>
    </row>
    <row r="17" spans="1:15" x14ac:dyDescent="0.2">
      <c r="A17" s="6" t="s">
        <v>182</v>
      </c>
      <c r="B17" s="6" t="s">
        <v>274</v>
      </c>
      <c r="C17" s="6">
        <v>20</v>
      </c>
      <c r="D17" s="6">
        <v>94100</v>
      </c>
      <c r="E17" s="34">
        <f t="shared" si="0"/>
        <v>1596.7232049781112</v>
      </c>
      <c r="F17" s="6">
        <v>79460</v>
      </c>
      <c r="G17" s="34">
        <f t="shared" si="2"/>
        <v>1348.3063322801352</v>
      </c>
      <c r="H17" s="39">
        <f t="shared" si="1"/>
        <v>1596.7232049781112</v>
      </c>
      <c r="I17">
        <f t="shared" si="6"/>
        <v>248.41687269797603</v>
      </c>
      <c r="J17">
        <f t="shared" si="3"/>
        <v>0.24841687269797602</v>
      </c>
      <c r="K17" s="42">
        <f t="shared" si="4"/>
        <v>15.557917109458023</v>
      </c>
      <c r="L17" s="43">
        <v>19000000</v>
      </c>
      <c r="M17" s="43">
        <f t="shared" si="7"/>
        <v>1.3074572247261896E-8</v>
      </c>
      <c r="N17">
        <f t="shared" si="5"/>
        <v>-7.8835725107736989</v>
      </c>
      <c r="O17">
        <f t="shared" si="8"/>
        <v>-18.15259654284516</v>
      </c>
    </row>
    <row r="18" spans="1:15" x14ac:dyDescent="0.2">
      <c r="A18" s="6" t="s">
        <v>188</v>
      </c>
      <c r="B18" s="6" t="s">
        <v>276</v>
      </c>
      <c r="C18" s="6">
        <v>20</v>
      </c>
      <c r="D18" s="21">
        <v>95700</v>
      </c>
      <c r="E18" s="40">
        <f t="shared" si="0"/>
        <v>1623.8725899724257</v>
      </c>
      <c r="F18" s="6">
        <v>101560</v>
      </c>
      <c r="G18" s="34">
        <f t="shared" si="2"/>
        <v>1723.3072125141018</v>
      </c>
      <c r="H18" s="39">
        <f t="shared" si="1"/>
        <v>1623.8725899724257</v>
      </c>
      <c r="I18">
        <f t="shared" si="6"/>
        <v>-99.434622541676163</v>
      </c>
      <c r="J18">
        <f t="shared" si="3"/>
        <v>-9.9434622541676163E-2</v>
      </c>
      <c r="K18" s="42">
        <f t="shared" si="4"/>
        <v>-6.1233019853709472</v>
      </c>
      <c r="L18" s="43">
        <v>56000000</v>
      </c>
      <c r="M18" s="43">
        <f t="shared" si="7"/>
        <v>-1.7756182596727887E-9</v>
      </c>
      <c r="N18" t="e">
        <f t="shared" si="5"/>
        <v>#NUM!</v>
      </c>
      <c r="O18" t="e">
        <f t="shared" si="8"/>
        <v>#NUM!</v>
      </c>
    </row>
    <row r="19" spans="1:15" x14ac:dyDescent="0.2">
      <c r="A19" s="25"/>
      <c r="B19" s="25"/>
      <c r="C19" s="25"/>
      <c r="D19" s="25"/>
      <c r="E19" s="41"/>
      <c r="F19" s="33"/>
      <c r="G19" s="33"/>
      <c r="H19" s="39"/>
    </row>
    <row r="20" spans="1:15" x14ac:dyDescent="0.2">
      <c r="E20" s="33"/>
      <c r="F20" s="33"/>
      <c r="G20" s="51"/>
      <c r="H20" s="51"/>
      <c r="I20" s="52"/>
    </row>
    <row r="21" spans="1:15" x14ac:dyDescent="0.2">
      <c r="B21" s="8"/>
      <c r="E21" s="33"/>
      <c r="F21" s="33"/>
      <c r="G21" s="52"/>
      <c r="H21" s="51"/>
      <c r="I21" s="52"/>
    </row>
    <row r="22" spans="1:15" x14ac:dyDescent="0.2">
      <c r="B22" s="8"/>
      <c r="E22" s="33"/>
      <c r="F22" s="33"/>
      <c r="G22" s="52"/>
      <c r="H22" s="51"/>
      <c r="I22" s="52"/>
    </row>
    <row r="23" spans="1:15" x14ac:dyDescent="0.2">
      <c r="B23" s="8"/>
      <c r="E23" s="33"/>
      <c r="F23" s="33"/>
      <c r="G23" s="52"/>
      <c r="H23" s="51"/>
      <c r="I23" s="52"/>
    </row>
    <row r="24" spans="1:15" x14ac:dyDescent="0.2">
      <c r="C24" s="24"/>
      <c r="G24" s="52"/>
      <c r="H24" s="51"/>
      <c r="I24" s="52"/>
    </row>
    <row r="25" spans="1:15" x14ac:dyDescent="0.2">
      <c r="C25" s="24"/>
      <c r="G25" s="52"/>
      <c r="H25" s="51"/>
      <c r="I25" s="52"/>
    </row>
    <row r="26" spans="1:15" x14ac:dyDescent="0.2">
      <c r="C26" s="24"/>
      <c r="G26" s="52"/>
      <c r="H26" s="51"/>
      <c r="I26" s="52"/>
    </row>
    <row r="27" spans="1:15" x14ac:dyDescent="0.2">
      <c r="C27" s="24"/>
      <c r="G27" s="52"/>
      <c r="H27" s="51"/>
      <c r="I27" s="52"/>
      <c r="K27" s="33"/>
    </row>
    <row r="28" spans="1:15" x14ac:dyDescent="0.2">
      <c r="C28" s="24"/>
      <c r="G28" s="52"/>
      <c r="H28" s="51"/>
      <c r="I28" s="52"/>
    </row>
    <row r="29" spans="1:15" x14ac:dyDescent="0.2">
      <c r="C29" s="24"/>
      <c r="G29" s="52"/>
      <c r="H29" s="51"/>
      <c r="I29" s="52"/>
    </row>
    <row r="30" spans="1:15" x14ac:dyDescent="0.2">
      <c r="C30" s="24"/>
      <c r="G30" s="52"/>
      <c r="H30" s="51"/>
      <c r="I30" s="52"/>
    </row>
    <row r="31" spans="1:15" x14ac:dyDescent="0.2">
      <c r="C31" s="20"/>
      <c r="D31" s="20"/>
      <c r="G31" s="52"/>
      <c r="H31" s="51"/>
      <c r="I31" s="52"/>
    </row>
    <row r="32" spans="1:15" x14ac:dyDescent="0.2">
      <c r="C32" s="20"/>
      <c r="D32" s="20"/>
      <c r="G32" s="52"/>
      <c r="H32" s="51"/>
      <c r="I32" s="52"/>
    </row>
    <row r="33" spans="3:9" x14ac:dyDescent="0.2">
      <c r="C33" s="20"/>
      <c r="D33" s="20"/>
      <c r="G33" s="52"/>
      <c r="H33" s="51"/>
      <c r="I33" s="52"/>
    </row>
    <row r="34" spans="3:9" x14ac:dyDescent="0.2">
      <c r="C34" s="20"/>
      <c r="D34" s="20"/>
      <c r="G34" s="52"/>
      <c r="H34" s="51"/>
      <c r="I34" s="52"/>
    </row>
    <row r="35" spans="3:9" x14ac:dyDescent="0.2">
      <c r="C35" s="20"/>
      <c r="D35" s="20"/>
      <c r="G35" s="52"/>
      <c r="H35" s="51"/>
      <c r="I35" s="52"/>
    </row>
    <row r="36" spans="3:9" x14ac:dyDescent="0.2">
      <c r="C36" s="20"/>
      <c r="D36" s="20"/>
    </row>
    <row r="37" spans="3:9" x14ac:dyDescent="0.2">
      <c r="C37" s="20"/>
      <c r="D37" s="20"/>
    </row>
    <row r="38" spans="3:9" x14ac:dyDescent="0.2">
      <c r="C38" s="20"/>
      <c r="D38" s="20"/>
    </row>
    <row r="39" spans="3:9" x14ac:dyDescent="0.2">
      <c r="C39" s="20"/>
      <c r="D39" s="20"/>
    </row>
    <row r="40" spans="3:9" x14ac:dyDescent="0.2">
      <c r="C40" s="20"/>
      <c r="D40" s="20"/>
    </row>
    <row r="41" spans="3:9" x14ac:dyDescent="0.2">
      <c r="C41" s="20"/>
      <c r="D41" s="20"/>
    </row>
    <row r="42" spans="3:9" x14ac:dyDescent="0.2">
      <c r="C42" s="20"/>
      <c r="D42" s="20"/>
    </row>
  </sheetData>
  <mergeCells count="3">
    <mergeCell ref="A1:C1"/>
    <mergeCell ref="D1:E1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txt data</vt:lpstr>
      <vt:lpstr>Consolidated Raw data</vt:lpstr>
      <vt:lpstr>Summary</vt:lpstr>
      <vt:lpstr>Check QC</vt:lpstr>
      <vt:lpstr>Check Co(2+) stocks</vt:lpstr>
      <vt:lpstr>Paired analyses</vt:lpstr>
      <vt:lpstr>Paired analyses condensed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2025-12-19T17:50:48Z</dcterms:created>
  <dcterms:modified xsi:type="dcterms:W3CDTF">2026-02-01T14:23:15Z</dcterms:modified>
</cp:coreProperties>
</file>