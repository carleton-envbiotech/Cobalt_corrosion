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ikadejager/Desktop/EBB Lab/R data/"/>
    </mc:Choice>
  </mc:AlternateContent>
  <xr:revisionPtr revIDLastSave="0" documentId="13_ncr:1_{B53536E1-16D4-9D43-B71C-AC69EF873F12}" xr6:coauthVersionLast="47" xr6:coauthVersionMax="47" xr10:uidLastSave="{00000000-0000-0000-0000-000000000000}"/>
  <bookViews>
    <workbookView xWindow="0" yWindow="600" windowWidth="25900" windowHeight="15880" xr2:uid="{45BD917C-BBD7-1A4E-B8CE-899317E990DE}"/>
  </bookViews>
  <sheets>
    <sheet name="Plate_counts" sheetId="11" r:id="rId1"/>
    <sheet name="OD600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1" l="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H38" i="11"/>
  <c r="H73" i="11" l="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17" i="11"/>
  <c r="H11" i="11"/>
  <c r="H12" i="11"/>
  <c r="H13" i="11"/>
  <c r="H14" i="11"/>
  <c r="H15" i="11"/>
  <c r="H16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" i="11"/>
  <c r="H4" i="11"/>
  <c r="H5" i="11"/>
  <c r="H6" i="11"/>
  <c r="H7" i="11"/>
  <c r="H8" i="11"/>
  <c r="H9" i="11"/>
  <c r="H10" i="11"/>
  <c r="H2" i="11"/>
</calcChain>
</file>

<file path=xl/sharedStrings.xml><?xml version="1.0" encoding="utf-8"?>
<sst xmlns="http://schemas.openxmlformats.org/spreadsheetml/2006/main" count="348" uniqueCount="73">
  <si>
    <t>Flask_number</t>
  </si>
  <si>
    <t>Replicate_number</t>
  </si>
  <si>
    <t>Colony_count</t>
  </si>
  <si>
    <t>Volume_plated_mL</t>
  </si>
  <si>
    <t>Dilution_applied</t>
  </si>
  <si>
    <t>CFU_mL</t>
  </si>
  <si>
    <t>Sample_name</t>
  </si>
  <si>
    <t>OD600</t>
  </si>
  <si>
    <t>Comment</t>
  </si>
  <si>
    <t>0-1.1-WT-A</t>
  </si>
  <si>
    <t>2026-03-12_0hr_Wire+10%inoc_Anaerobic_1_A-F</t>
  </si>
  <si>
    <t>0-1.2-WT-A</t>
  </si>
  <si>
    <t>0-1.3-WT-A</t>
  </si>
  <si>
    <t>24-1.1-WT-A</t>
  </si>
  <si>
    <t>2026-03-13_24hr_Wire+10%inoc_Anaerobic_1_A-F</t>
  </si>
  <si>
    <t>24-1.2-WT-A</t>
  </si>
  <si>
    <t>24-1.3-WT-A</t>
  </si>
  <si>
    <t>72-1.1-WT-A</t>
  </si>
  <si>
    <t>2026-03-15_72hr_Wire+10%inoc_Anaerobic_1_A-F</t>
  </si>
  <si>
    <t>72-1.2-WT-A</t>
  </si>
  <si>
    <t>72-1.3-WT-A</t>
  </si>
  <si>
    <t>168-1.1-WT-A</t>
  </si>
  <si>
    <t>2026-03-19_168hr_Wire+10%inoc_Anaerobic_1_A-F</t>
  </si>
  <si>
    <t>168-1.2-WT-A</t>
  </si>
  <si>
    <t>168-1.3-WT-A</t>
  </si>
  <si>
    <t>0-2.1-WT-A</t>
  </si>
  <si>
    <t>0-2.2-WT-A</t>
  </si>
  <si>
    <t>0-2.3-WT-A</t>
  </si>
  <si>
    <t>2026-03-12_0hr_NoWire+10%inoc_Anaerobic_2_A-F</t>
  </si>
  <si>
    <t>24-2.1-WT-A</t>
  </si>
  <si>
    <t>24-2.2-WT-A</t>
  </si>
  <si>
    <t>24-2.3-WT-A</t>
  </si>
  <si>
    <t>2026-03-13_24hr_NoWire+10%inoc_Anaerobic_2_A-F</t>
  </si>
  <si>
    <t>72-2.1-WT-A</t>
  </si>
  <si>
    <t>72-2.2-WT-A</t>
  </si>
  <si>
    <t>72-2.3-WT-A</t>
  </si>
  <si>
    <t>2026-03-15_72hr_NoWire+10%inoc_Anaerobic_2_A-F</t>
  </si>
  <si>
    <t>168-2.1-WT-A</t>
  </si>
  <si>
    <t>168-2.2-WT-A</t>
  </si>
  <si>
    <t>168-2.3-WT-A</t>
  </si>
  <si>
    <t>2026-03-19_168hr_NoWire+10%inoc_Anaerobic_2_A-F</t>
  </si>
  <si>
    <t>0-1.1-WT-AN</t>
  </si>
  <si>
    <t>2026-02-26_0hr_Wire+10%inoc_NO3_Anaerobic_1_A-F</t>
  </si>
  <si>
    <t>0-1.2-WT-AN</t>
  </si>
  <si>
    <t>0-1.3-WT-AN</t>
  </si>
  <si>
    <t>0-2.1-WT-AN</t>
  </si>
  <si>
    <t>2026-02-26_0hr_NoWire+10%inoc_NO3_Anaerobic_2_A-F</t>
  </si>
  <si>
    <t>0-2.2-WT-AN</t>
  </si>
  <si>
    <t>0-2.3-WT-AN</t>
  </si>
  <si>
    <t>24-1.1-WT-AN</t>
  </si>
  <si>
    <t>2026-02-27_24hr_Wire+10%inoc_NO3_Anaerobic_1_A-F</t>
  </si>
  <si>
    <t>24-1.2-WT-AN</t>
  </si>
  <si>
    <t>24-1.3-WT-AN</t>
  </si>
  <si>
    <t>24-2.1-WT-AN</t>
  </si>
  <si>
    <t>2026-02-27_24hr_NoWire+10%inoc_NO3_Anaerobic_2_A-F</t>
  </si>
  <si>
    <t>24-2.2-WT-AN</t>
  </si>
  <si>
    <t>24-2.3-WT-AN</t>
  </si>
  <si>
    <t>72-1.1-WT-AN</t>
  </si>
  <si>
    <t>2026-03-01_72hr_Wire+10%inoc_NO3_Anaerobic_1_A-F</t>
  </si>
  <si>
    <t>72-1.2-WT-AN</t>
  </si>
  <si>
    <t>72-1.3-WT-AN</t>
  </si>
  <si>
    <t>72-2.1-WT-AN</t>
  </si>
  <si>
    <t>2026-03-01_72hr_NoWire+10%inoc_NO3_Anaerobic_2_A-F</t>
  </si>
  <si>
    <t>72-2.2-WT-AN</t>
  </si>
  <si>
    <t>72-2.3-WT-AN</t>
  </si>
  <si>
    <t>168-1.1-WT-AN</t>
  </si>
  <si>
    <t>2026-03-05_168hr_Wire+10%inoc_NO3_Anaerobic_1_A-F</t>
  </si>
  <si>
    <t>168-1.2-WT-AN</t>
  </si>
  <si>
    <t>168-1.3-WT-AN</t>
  </si>
  <si>
    <t>168-2.1-WT-AN</t>
  </si>
  <si>
    <t>2026-03-05_168hr_NoWire+10%inoc_NO3_Anaerobic_2_A-F</t>
  </si>
  <si>
    <t>168-2.2-WT-AN</t>
  </si>
  <si>
    <t>168-2.3-WT-AN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</si>
</sst>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11" fontId="1" fillId="0" borderId="0" xfId="0" applyNumberFormat="1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D4D0-77FD-0841-95DB-0F4C878052E5}">
  <dimension ref="A1:I145"/>
  <sheetViews>
    <sheetView tabSelected="1" workbookViewId="0">
      <selection activeCell="L13" sqref="L13"/>
    </sheetView>
  </sheetViews>
  <sheetFormatPr baseColWidth="10" defaultRowHeight="16" x14ac:dyDescent="0.2"/>
  <cols>
    <col min="1" max="1" width="13" bestFit="1" customWidth="1"/>
    <col min="2" max="2" width="47.5" bestFit="1" customWidth="1"/>
    <col min="3" max="3" width="12.6640625" bestFit="1" customWidth="1"/>
    <col min="4" max="4" width="16.33203125" bestFit="1" customWidth="1"/>
    <col min="5" max="5" width="12" bestFit="1" customWidth="1"/>
    <col min="6" max="6" width="17.33203125" bestFit="1" customWidth="1"/>
    <col min="7" max="7" width="14.5" bestFit="1" customWidth="1"/>
    <col min="8" max="8" width="10.83203125" style="2"/>
  </cols>
  <sheetData>
    <row r="1" spans="1:9" s="1" customFormat="1" x14ac:dyDescent="0.2">
      <c r="A1" s="1" t="s">
        <v>6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3" t="s">
        <v>5</v>
      </c>
    </row>
    <row r="2" spans="1:9" x14ac:dyDescent="0.2">
      <c r="A2" t="s">
        <v>9</v>
      </c>
      <c r="B2" t="s">
        <v>10</v>
      </c>
      <c r="C2" s="4">
        <v>1.1000000000000001</v>
      </c>
      <c r="D2">
        <v>1</v>
      </c>
      <c r="E2">
        <v>54</v>
      </c>
      <c r="F2">
        <v>0.1</v>
      </c>
      <c r="G2" s="2">
        <v>1000000</v>
      </c>
      <c r="H2" s="2">
        <f>(E2*G2)/F2</f>
        <v>540000000</v>
      </c>
      <c r="I2" s="2"/>
    </row>
    <row r="3" spans="1:9" x14ac:dyDescent="0.2">
      <c r="A3" t="s">
        <v>9</v>
      </c>
      <c r="B3" t="s">
        <v>10</v>
      </c>
      <c r="C3" s="4">
        <v>1.1000000000000001</v>
      </c>
      <c r="D3">
        <v>2</v>
      </c>
      <c r="E3">
        <v>65</v>
      </c>
      <c r="F3">
        <v>0.1</v>
      </c>
      <c r="G3" s="2">
        <v>1000000</v>
      </c>
      <c r="H3" s="2">
        <f t="shared" ref="H3:H37" si="0">(E3*G3)/F3</f>
        <v>650000000</v>
      </c>
    </row>
    <row r="4" spans="1:9" x14ac:dyDescent="0.2">
      <c r="A4" t="s">
        <v>9</v>
      </c>
      <c r="B4" t="s">
        <v>10</v>
      </c>
      <c r="C4" s="4">
        <v>1.1000000000000001</v>
      </c>
      <c r="D4">
        <v>3</v>
      </c>
      <c r="E4">
        <v>66</v>
      </c>
      <c r="F4">
        <v>0.1</v>
      </c>
      <c r="G4" s="2">
        <v>1000000</v>
      </c>
      <c r="H4" s="2">
        <f t="shared" si="0"/>
        <v>660000000</v>
      </c>
    </row>
    <row r="5" spans="1:9" x14ac:dyDescent="0.2">
      <c r="A5" t="s">
        <v>11</v>
      </c>
      <c r="B5" t="s">
        <v>10</v>
      </c>
      <c r="C5" s="4">
        <v>1.2</v>
      </c>
      <c r="D5">
        <v>1</v>
      </c>
      <c r="E5">
        <v>45</v>
      </c>
      <c r="F5">
        <v>0.1</v>
      </c>
      <c r="G5" s="2">
        <v>1000000</v>
      </c>
      <c r="H5" s="2">
        <f t="shared" si="0"/>
        <v>450000000</v>
      </c>
    </row>
    <row r="6" spans="1:9" x14ac:dyDescent="0.2">
      <c r="A6" t="s">
        <v>11</v>
      </c>
      <c r="B6" t="s">
        <v>10</v>
      </c>
      <c r="C6" s="4">
        <v>1.2</v>
      </c>
      <c r="D6">
        <v>2</v>
      </c>
      <c r="E6">
        <v>42</v>
      </c>
      <c r="F6">
        <v>0.1</v>
      </c>
      <c r="G6" s="2">
        <v>1000000</v>
      </c>
      <c r="H6" s="2">
        <f t="shared" si="0"/>
        <v>420000000</v>
      </c>
    </row>
    <row r="7" spans="1:9" x14ac:dyDescent="0.2">
      <c r="A7" t="s">
        <v>11</v>
      </c>
      <c r="B7" t="s">
        <v>10</v>
      </c>
      <c r="C7" s="4">
        <v>1.2</v>
      </c>
      <c r="D7">
        <v>3</v>
      </c>
      <c r="E7">
        <v>42</v>
      </c>
      <c r="F7">
        <v>0.1</v>
      </c>
      <c r="G7" s="2">
        <v>1000000</v>
      </c>
      <c r="H7" s="2">
        <f t="shared" si="0"/>
        <v>420000000</v>
      </c>
    </row>
    <row r="8" spans="1:9" x14ac:dyDescent="0.2">
      <c r="A8" t="s">
        <v>12</v>
      </c>
      <c r="B8" t="s">
        <v>10</v>
      </c>
      <c r="C8" s="4">
        <v>1.3</v>
      </c>
      <c r="D8">
        <v>1</v>
      </c>
      <c r="E8">
        <v>32</v>
      </c>
      <c r="F8">
        <v>0.1</v>
      </c>
      <c r="G8" s="2">
        <v>1000000</v>
      </c>
      <c r="H8" s="2">
        <f t="shared" si="0"/>
        <v>320000000</v>
      </c>
    </row>
    <row r="9" spans="1:9" x14ac:dyDescent="0.2">
      <c r="A9" t="s">
        <v>12</v>
      </c>
      <c r="B9" t="s">
        <v>10</v>
      </c>
      <c r="C9" s="4">
        <v>1.3</v>
      </c>
      <c r="D9">
        <v>2</v>
      </c>
      <c r="E9">
        <v>37</v>
      </c>
      <c r="F9">
        <v>0.1</v>
      </c>
      <c r="G9" s="2">
        <v>1000000</v>
      </c>
      <c r="H9" s="2">
        <f t="shared" si="0"/>
        <v>370000000</v>
      </c>
    </row>
    <row r="10" spans="1:9" x14ac:dyDescent="0.2">
      <c r="A10" t="s">
        <v>12</v>
      </c>
      <c r="B10" t="s">
        <v>10</v>
      </c>
      <c r="C10" s="4">
        <v>1.3</v>
      </c>
      <c r="D10">
        <v>3</v>
      </c>
      <c r="E10">
        <v>37</v>
      </c>
      <c r="F10">
        <v>0.1</v>
      </c>
      <c r="G10" s="2">
        <v>1000000</v>
      </c>
      <c r="H10" s="2">
        <f t="shared" si="0"/>
        <v>370000000</v>
      </c>
    </row>
    <row r="11" spans="1:9" x14ac:dyDescent="0.2">
      <c r="A11" t="s">
        <v>25</v>
      </c>
      <c r="B11" t="s">
        <v>28</v>
      </c>
      <c r="C11" s="4">
        <v>2.1</v>
      </c>
      <c r="D11">
        <v>1</v>
      </c>
      <c r="E11">
        <v>22</v>
      </c>
      <c r="F11">
        <v>0.1</v>
      </c>
      <c r="G11" s="2">
        <v>1000000</v>
      </c>
      <c r="H11" s="2">
        <f t="shared" si="0"/>
        <v>220000000</v>
      </c>
    </row>
    <row r="12" spans="1:9" x14ac:dyDescent="0.2">
      <c r="A12" t="s">
        <v>25</v>
      </c>
      <c r="B12" t="s">
        <v>28</v>
      </c>
      <c r="C12" s="4">
        <v>2.1</v>
      </c>
      <c r="D12">
        <v>2</v>
      </c>
      <c r="E12">
        <v>26</v>
      </c>
      <c r="F12">
        <v>0.1</v>
      </c>
      <c r="G12" s="2">
        <v>1000000</v>
      </c>
      <c r="H12" s="2">
        <f t="shared" si="0"/>
        <v>260000000</v>
      </c>
    </row>
    <row r="13" spans="1:9" x14ac:dyDescent="0.2">
      <c r="A13" t="s">
        <v>25</v>
      </c>
      <c r="B13" t="s">
        <v>28</v>
      </c>
      <c r="C13" s="4">
        <v>2.1</v>
      </c>
      <c r="D13">
        <v>3</v>
      </c>
      <c r="E13">
        <v>25</v>
      </c>
      <c r="F13">
        <v>0.1</v>
      </c>
      <c r="G13" s="2">
        <v>1000000</v>
      </c>
      <c r="H13" s="2">
        <f t="shared" si="0"/>
        <v>250000000</v>
      </c>
    </row>
    <row r="14" spans="1:9" x14ac:dyDescent="0.2">
      <c r="A14" t="s">
        <v>26</v>
      </c>
      <c r="B14" t="s">
        <v>28</v>
      </c>
      <c r="C14" s="4">
        <v>2.2000000000000002</v>
      </c>
      <c r="D14">
        <v>1</v>
      </c>
      <c r="E14">
        <v>28</v>
      </c>
      <c r="F14">
        <v>0.1</v>
      </c>
      <c r="G14" s="2">
        <v>1000000</v>
      </c>
      <c r="H14" s="2">
        <f t="shared" si="0"/>
        <v>280000000</v>
      </c>
    </row>
    <row r="15" spans="1:9" x14ac:dyDescent="0.2">
      <c r="A15" t="s">
        <v>26</v>
      </c>
      <c r="B15" t="s">
        <v>28</v>
      </c>
      <c r="C15" s="4">
        <v>2.2000000000000002</v>
      </c>
      <c r="D15">
        <v>2</v>
      </c>
      <c r="E15">
        <v>36</v>
      </c>
      <c r="F15">
        <v>0.1</v>
      </c>
      <c r="G15" s="2">
        <v>1000000</v>
      </c>
      <c r="H15" s="2">
        <f t="shared" si="0"/>
        <v>360000000</v>
      </c>
    </row>
    <row r="16" spans="1:9" x14ac:dyDescent="0.2">
      <c r="A16" t="s">
        <v>26</v>
      </c>
      <c r="B16" t="s">
        <v>28</v>
      </c>
      <c r="C16" s="4">
        <v>2.2000000000000002</v>
      </c>
      <c r="D16">
        <v>3</v>
      </c>
      <c r="E16">
        <v>30</v>
      </c>
      <c r="F16">
        <v>0.1</v>
      </c>
      <c r="G16" s="2">
        <v>1000000</v>
      </c>
      <c r="H16" s="2">
        <f t="shared" si="0"/>
        <v>300000000</v>
      </c>
    </row>
    <row r="17" spans="1:8" x14ac:dyDescent="0.2">
      <c r="A17" t="s">
        <v>27</v>
      </c>
      <c r="B17" t="s">
        <v>28</v>
      </c>
      <c r="C17" s="4">
        <v>2.2999999999999998</v>
      </c>
      <c r="D17">
        <v>1</v>
      </c>
      <c r="E17">
        <v>22</v>
      </c>
      <c r="F17">
        <v>0.1</v>
      </c>
      <c r="G17" s="2">
        <v>1000000</v>
      </c>
      <c r="H17" s="2">
        <f t="shared" si="0"/>
        <v>220000000</v>
      </c>
    </row>
    <row r="18" spans="1:8" x14ac:dyDescent="0.2">
      <c r="A18" t="s">
        <v>27</v>
      </c>
      <c r="B18" t="s">
        <v>28</v>
      </c>
      <c r="C18" s="4">
        <v>2.2999999999999998</v>
      </c>
      <c r="D18">
        <v>2</v>
      </c>
      <c r="E18">
        <v>19</v>
      </c>
      <c r="F18">
        <v>0.1</v>
      </c>
      <c r="G18" s="2">
        <v>1000000</v>
      </c>
      <c r="H18" s="2">
        <f t="shared" si="0"/>
        <v>190000000</v>
      </c>
    </row>
    <row r="19" spans="1:8" x14ac:dyDescent="0.2">
      <c r="A19" t="s">
        <v>27</v>
      </c>
      <c r="B19" t="s">
        <v>28</v>
      </c>
      <c r="C19" s="4">
        <v>2.2999999999999998</v>
      </c>
      <c r="D19">
        <v>3</v>
      </c>
      <c r="E19">
        <v>23</v>
      </c>
      <c r="F19">
        <v>0.1</v>
      </c>
      <c r="G19" s="2">
        <v>1000000</v>
      </c>
      <c r="H19" s="2">
        <f t="shared" si="0"/>
        <v>230000000</v>
      </c>
    </row>
    <row r="20" spans="1:8" x14ac:dyDescent="0.2">
      <c r="A20" t="s">
        <v>13</v>
      </c>
      <c r="B20" t="s">
        <v>14</v>
      </c>
      <c r="C20" s="4">
        <v>1.1000000000000001</v>
      </c>
      <c r="D20">
        <v>1</v>
      </c>
      <c r="E20">
        <v>84</v>
      </c>
      <c r="F20">
        <v>0.1</v>
      </c>
      <c r="G20" s="2">
        <v>1000000</v>
      </c>
      <c r="H20" s="2">
        <f t="shared" si="0"/>
        <v>840000000</v>
      </c>
    </row>
    <row r="21" spans="1:8" x14ac:dyDescent="0.2">
      <c r="A21" t="s">
        <v>13</v>
      </c>
      <c r="B21" t="s">
        <v>14</v>
      </c>
      <c r="C21" s="4">
        <v>1.1000000000000001</v>
      </c>
      <c r="D21">
        <v>2</v>
      </c>
      <c r="E21">
        <v>66</v>
      </c>
      <c r="F21">
        <v>0.1</v>
      </c>
      <c r="G21" s="2">
        <v>1000000</v>
      </c>
      <c r="H21" s="2">
        <f t="shared" si="0"/>
        <v>660000000</v>
      </c>
    </row>
    <row r="22" spans="1:8" x14ac:dyDescent="0.2">
      <c r="A22" t="s">
        <v>13</v>
      </c>
      <c r="B22" t="s">
        <v>14</v>
      </c>
      <c r="C22" s="4">
        <v>1.1000000000000001</v>
      </c>
      <c r="D22">
        <v>3</v>
      </c>
      <c r="E22">
        <v>60</v>
      </c>
      <c r="F22">
        <v>0.1</v>
      </c>
      <c r="G22" s="2">
        <v>1000000</v>
      </c>
      <c r="H22" s="2">
        <f t="shared" si="0"/>
        <v>600000000</v>
      </c>
    </row>
    <row r="23" spans="1:8" x14ac:dyDescent="0.2">
      <c r="A23" t="s">
        <v>15</v>
      </c>
      <c r="B23" t="s">
        <v>14</v>
      </c>
      <c r="C23" s="4">
        <v>1.2</v>
      </c>
      <c r="D23">
        <v>1</v>
      </c>
      <c r="E23">
        <v>40</v>
      </c>
      <c r="F23">
        <v>0.1</v>
      </c>
      <c r="G23" s="2">
        <v>1000000</v>
      </c>
      <c r="H23" s="2">
        <f t="shared" si="0"/>
        <v>400000000</v>
      </c>
    </row>
    <row r="24" spans="1:8" x14ac:dyDescent="0.2">
      <c r="A24" t="s">
        <v>15</v>
      </c>
      <c r="B24" t="s">
        <v>14</v>
      </c>
      <c r="C24" s="4">
        <v>1.2</v>
      </c>
      <c r="D24">
        <v>2</v>
      </c>
      <c r="E24">
        <v>53</v>
      </c>
      <c r="F24">
        <v>0.1</v>
      </c>
      <c r="G24" s="2">
        <v>1000000</v>
      </c>
      <c r="H24" s="2">
        <f t="shared" si="0"/>
        <v>530000000</v>
      </c>
    </row>
    <row r="25" spans="1:8" x14ac:dyDescent="0.2">
      <c r="A25" t="s">
        <v>15</v>
      </c>
      <c r="B25" t="s">
        <v>14</v>
      </c>
      <c r="C25" s="4">
        <v>1.2</v>
      </c>
      <c r="D25">
        <v>3</v>
      </c>
      <c r="E25">
        <v>56</v>
      </c>
      <c r="F25">
        <v>0.1</v>
      </c>
      <c r="G25" s="2">
        <v>1000000</v>
      </c>
      <c r="H25" s="2">
        <f t="shared" si="0"/>
        <v>560000000</v>
      </c>
    </row>
    <row r="26" spans="1:8" x14ac:dyDescent="0.2">
      <c r="A26" t="s">
        <v>16</v>
      </c>
      <c r="B26" t="s">
        <v>14</v>
      </c>
      <c r="C26" s="4">
        <v>1.3</v>
      </c>
      <c r="D26">
        <v>1</v>
      </c>
      <c r="E26">
        <v>53</v>
      </c>
      <c r="F26">
        <v>0.1</v>
      </c>
      <c r="G26" s="2">
        <v>1000000</v>
      </c>
      <c r="H26" s="2">
        <f t="shared" si="0"/>
        <v>530000000</v>
      </c>
    </row>
    <row r="27" spans="1:8" x14ac:dyDescent="0.2">
      <c r="A27" t="s">
        <v>16</v>
      </c>
      <c r="B27" t="s">
        <v>14</v>
      </c>
      <c r="C27" s="4">
        <v>1.3</v>
      </c>
      <c r="D27">
        <v>2</v>
      </c>
      <c r="E27">
        <v>90</v>
      </c>
      <c r="F27">
        <v>0.1</v>
      </c>
      <c r="G27" s="2">
        <v>1000000</v>
      </c>
      <c r="H27" s="2">
        <f t="shared" si="0"/>
        <v>900000000</v>
      </c>
    </row>
    <row r="28" spans="1:8" x14ac:dyDescent="0.2">
      <c r="A28" t="s">
        <v>16</v>
      </c>
      <c r="B28" t="s">
        <v>14</v>
      </c>
      <c r="C28" s="4">
        <v>1.3</v>
      </c>
      <c r="D28">
        <v>3</v>
      </c>
      <c r="E28">
        <v>81</v>
      </c>
      <c r="F28">
        <v>0.1</v>
      </c>
      <c r="G28" s="2">
        <v>1000000</v>
      </c>
      <c r="H28" s="2">
        <f t="shared" si="0"/>
        <v>810000000</v>
      </c>
    </row>
    <row r="29" spans="1:8" x14ac:dyDescent="0.2">
      <c r="A29" t="s">
        <v>29</v>
      </c>
      <c r="B29" t="s">
        <v>32</v>
      </c>
      <c r="C29" s="4">
        <v>2.1</v>
      </c>
      <c r="D29">
        <v>1</v>
      </c>
      <c r="E29">
        <v>26</v>
      </c>
      <c r="F29">
        <v>0.1</v>
      </c>
      <c r="G29" s="2">
        <v>1000000</v>
      </c>
      <c r="H29" s="2">
        <f t="shared" si="0"/>
        <v>260000000</v>
      </c>
    </row>
    <row r="30" spans="1:8" x14ac:dyDescent="0.2">
      <c r="A30" t="s">
        <v>29</v>
      </c>
      <c r="B30" t="s">
        <v>32</v>
      </c>
      <c r="C30" s="4">
        <v>2.1</v>
      </c>
      <c r="D30">
        <v>2</v>
      </c>
      <c r="E30">
        <v>31</v>
      </c>
      <c r="F30">
        <v>0.1</v>
      </c>
      <c r="G30" s="2">
        <v>1000000</v>
      </c>
      <c r="H30" s="2">
        <f t="shared" si="0"/>
        <v>310000000</v>
      </c>
    </row>
    <row r="31" spans="1:8" x14ac:dyDescent="0.2">
      <c r="A31" t="s">
        <v>29</v>
      </c>
      <c r="B31" t="s">
        <v>32</v>
      </c>
      <c r="C31" s="4">
        <v>2.1</v>
      </c>
      <c r="D31">
        <v>3</v>
      </c>
      <c r="E31">
        <v>31</v>
      </c>
      <c r="F31">
        <v>0.1</v>
      </c>
      <c r="G31" s="2">
        <v>1000000</v>
      </c>
      <c r="H31" s="2">
        <f t="shared" si="0"/>
        <v>310000000</v>
      </c>
    </row>
    <row r="32" spans="1:8" x14ac:dyDescent="0.2">
      <c r="A32" t="s">
        <v>30</v>
      </c>
      <c r="B32" t="s">
        <v>32</v>
      </c>
      <c r="C32" s="4">
        <v>2.2000000000000002</v>
      </c>
      <c r="D32">
        <v>1</v>
      </c>
      <c r="E32">
        <v>20</v>
      </c>
      <c r="F32">
        <v>0.1</v>
      </c>
      <c r="G32" s="2">
        <v>1000000</v>
      </c>
      <c r="H32" s="2">
        <f t="shared" si="0"/>
        <v>200000000</v>
      </c>
    </row>
    <row r="33" spans="1:8" x14ac:dyDescent="0.2">
      <c r="A33" t="s">
        <v>30</v>
      </c>
      <c r="B33" t="s">
        <v>32</v>
      </c>
      <c r="C33" s="4">
        <v>2.2000000000000002</v>
      </c>
      <c r="D33">
        <v>2</v>
      </c>
      <c r="E33">
        <v>25</v>
      </c>
      <c r="F33">
        <v>0.1</v>
      </c>
      <c r="G33" s="2">
        <v>1000000</v>
      </c>
      <c r="H33" s="2">
        <f t="shared" si="0"/>
        <v>250000000</v>
      </c>
    </row>
    <row r="34" spans="1:8" x14ac:dyDescent="0.2">
      <c r="A34" t="s">
        <v>30</v>
      </c>
      <c r="B34" t="s">
        <v>32</v>
      </c>
      <c r="C34" s="4">
        <v>2.2000000000000002</v>
      </c>
      <c r="D34">
        <v>3</v>
      </c>
      <c r="E34">
        <v>30</v>
      </c>
      <c r="F34">
        <v>0.1</v>
      </c>
      <c r="G34" s="2">
        <v>1000000</v>
      </c>
      <c r="H34" s="2">
        <f t="shared" si="0"/>
        <v>300000000</v>
      </c>
    </row>
    <row r="35" spans="1:8" x14ac:dyDescent="0.2">
      <c r="A35" t="s">
        <v>31</v>
      </c>
      <c r="B35" t="s">
        <v>32</v>
      </c>
      <c r="C35" s="4">
        <v>2.2999999999999998</v>
      </c>
      <c r="D35">
        <v>1</v>
      </c>
      <c r="E35">
        <v>34</v>
      </c>
      <c r="F35">
        <v>0.1</v>
      </c>
      <c r="G35" s="2">
        <v>1000000</v>
      </c>
      <c r="H35" s="2">
        <f t="shared" si="0"/>
        <v>340000000</v>
      </c>
    </row>
    <row r="36" spans="1:8" x14ac:dyDescent="0.2">
      <c r="A36" t="s">
        <v>31</v>
      </c>
      <c r="B36" t="s">
        <v>32</v>
      </c>
      <c r="C36" s="4">
        <v>2.2999999999999998</v>
      </c>
      <c r="D36">
        <v>2</v>
      </c>
      <c r="E36">
        <v>41</v>
      </c>
      <c r="F36">
        <v>0.1</v>
      </c>
      <c r="G36" s="2">
        <v>1000000</v>
      </c>
      <c r="H36" s="2">
        <f t="shared" si="0"/>
        <v>410000000</v>
      </c>
    </row>
    <row r="37" spans="1:8" x14ac:dyDescent="0.2">
      <c r="A37" t="s">
        <v>31</v>
      </c>
      <c r="B37" t="s">
        <v>32</v>
      </c>
      <c r="C37" s="4">
        <v>2.2999999999999998</v>
      </c>
      <c r="D37">
        <v>3</v>
      </c>
      <c r="E37">
        <v>42</v>
      </c>
      <c r="F37">
        <v>0.1</v>
      </c>
      <c r="G37" s="2">
        <v>1000000</v>
      </c>
      <c r="H37" s="2">
        <f t="shared" si="0"/>
        <v>420000000</v>
      </c>
    </row>
    <row r="38" spans="1:8" x14ac:dyDescent="0.2">
      <c r="A38" t="s">
        <v>17</v>
      </c>
      <c r="B38" t="s">
        <v>18</v>
      </c>
      <c r="C38" s="4">
        <v>1.1000000000000001</v>
      </c>
      <c r="D38">
        <v>1</v>
      </c>
      <c r="E38">
        <v>144</v>
      </c>
      <c r="F38">
        <v>0.1</v>
      </c>
      <c r="G38" s="2">
        <v>100000</v>
      </c>
      <c r="H38" s="2">
        <f t="shared" ref="H38" si="1">(E38*G38)/F38</f>
        <v>144000000</v>
      </c>
    </row>
    <row r="39" spans="1:8" x14ac:dyDescent="0.2">
      <c r="A39" t="s">
        <v>17</v>
      </c>
      <c r="B39" t="s">
        <v>18</v>
      </c>
      <c r="C39" s="4">
        <v>1.1000000000000001</v>
      </c>
      <c r="D39">
        <v>2</v>
      </c>
      <c r="E39">
        <v>100</v>
      </c>
      <c r="F39">
        <v>0.1</v>
      </c>
      <c r="G39" s="2">
        <v>100000</v>
      </c>
      <c r="H39" s="2">
        <f>(E39*G39)/F39</f>
        <v>100000000</v>
      </c>
    </row>
    <row r="40" spans="1:8" x14ac:dyDescent="0.2">
      <c r="A40" t="s">
        <v>17</v>
      </c>
      <c r="B40" t="s">
        <v>18</v>
      </c>
      <c r="C40" s="4">
        <v>1.1000000000000001</v>
      </c>
      <c r="D40">
        <v>3</v>
      </c>
      <c r="E40">
        <v>121</v>
      </c>
      <c r="F40">
        <v>0.1</v>
      </c>
      <c r="G40" s="2">
        <v>100000</v>
      </c>
      <c r="H40" s="2">
        <f t="shared" ref="H40:H73" si="2">(E40*G40)/F40</f>
        <v>121000000</v>
      </c>
    </row>
    <row r="41" spans="1:8" x14ac:dyDescent="0.2">
      <c r="A41" t="s">
        <v>19</v>
      </c>
      <c r="B41" t="s">
        <v>18</v>
      </c>
      <c r="C41" s="4">
        <v>1.2</v>
      </c>
      <c r="D41">
        <v>1</v>
      </c>
      <c r="E41">
        <v>249</v>
      </c>
      <c r="F41">
        <v>0.1</v>
      </c>
      <c r="G41" s="2">
        <v>100000</v>
      </c>
      <c r="H41" s="2">
        <f t="shared" si="2"/>
        <v>249000000</v>
      </c>
    </row>
    <row r="42" spans="1:8" x14ac:dyDescent="0.2">
      <c r="A42" t="s">
        <v>19</v>
      </c>
      <c r="B42" t="s">
        <v>18</v>
      </c>
      <c r="C42" s="4">
        <v>1.2</v>
      </c>
      <c r="D42">
        <v>2</v>
      </c>
      <c r="E42">
        <v>214</v>
      </c>
      <c r="F42">
        <v>0.1</v>
      </c>
      <c r="G42" s="2">
        <v>100000</v>
      </c>
      <c r="H42" s="2">
        <f t="shared" si="2"/>
        <v>214000000</v>
      </c>
    </row>
    <row r="43" spans="1:8" x14ac:dyDescent="0.2">
      <c r="A43" t="s">
        <v>19</v>
      </c>
      <c r="B43" t="s">
        <v>18</v>
      </c>
      <c r="C43" s="4">
        <v>1.2</v>
      </c>
      <c r="D43">
        <v>3</v>
      </c>
      <c r="E43">
        <v>245</v>
      </c>
      <c r="F43">
        <v>0.1</v>
      </c>
      <c r="G43" s="2">
        <v>100000</v>
      </c>
      <c r="H43" s="2">
        <f t="shared" si="2"/>
        <v>245000000</v>
      </c>
    </row>
    <row r="44" spans="1:8" x14ac:dyDescent="0.2">
      <c r="A44" t="s">
        <v>20</v>
      </c>
      <c r="B44" t="s">
        <v>18</v>
      </c>
      <c r="C44" s="4">
        <v>1.3</v>
      </c>
      <c r="D44">
        <v>1</v>
      </c>
      <c r="E44">
        <v>376</v>
      </c>
      <c r="F44">
        <v>0.1</v>
      </c>
      <c r="G44" s="2">
        <v>100000</v>
      </c>
      <c r="H44" s="2">
        <f t="shared" si="2"/>
        <v>376000000</v>
      </c>
    </row>
    <row r="45" spans="1:8" x14ac:dyDescent="0.2">
      <c r="A45" t="s">
        <v>20</v>
      </c>
      <c r="B45" t="s">
        <v>18</v>
      </c>
      <c r="C45" s="4">
        <v>1.3</v>
      </c>
      <c r="D45">
        <v>2</v>
      </c>
      <c r="E45">
        <v>364</v>
      </c>
      <c r="F45">
        <v>0.1</v>
      </c>
      <c r="G45" s="2">
        <v>100000</v>
      </c>
      <c r="H45" s="2">
        <f t="shared" si="2"/>
        <v>364000000</v>
      </c>
    </row>
    <row r="46" spans="1:8" x14ac:dyDescent="0.2">
      <c r="A46" t="s">
        <v>20</v>
      </c>
      <c r="B46" t="s">
        <v>18</v>
      </c>
      <c r="C46" s="4">
        <v>1.3</v>
      </c>
      <c r="D46">
        <v>3</v>
      </c>
      <c r="E46">
        <v>409</v>
      </c>
      <c r="F46">
        <v>0.1</v>
      </c>
      <c r="G46" s="2">
        <v>100000</v>
      </c>
      <c r="H46" s="2">
        <f t="shared" si="2"/>
        <v>409000000</v>
      </c>
    </row>
    <row r="47" spans="1:8" x14ac:dyDescent="0.2">
      <c r="A47" t="s">
        <v>33</v>
      </c>
      <c r="B47" t="s">
        <v>36</v>
      </c>
      <c r="C47" s="4">
        <v>2.1</v>
      </c>
      <c r="D47">
        <v>1</v>
      </c>
      <c r="E47">
        <v>33</v>
      </c>
      <c r="F47">
        <v>0.1</v>
      </c>
      <c r="G47" s="2">
        <v>1000000</v>
      </c>
      <c r="H47" s="2">
        <f t="shared" si="2"/>
        <v>330000000</v>
      </c>
    </row>
    <row r="48" spans="1:8" x14ac:dyDescent="0.2">
      <c r="A48" t="s">
        <v>33</v>
      </c>
      <c r="B48" t="s">
        <v>36</v>
      </c>
      <c r="C48" s="4">
        <v>2.1</v>
      </c>
      <c r="D48">
        <v>2</v>
      </c>
      <c r="E48">
        <v>37</v>
      </c>
      <c r="F48">
        <v>0.1</v>
      </c>
      <c r="G48" s="2">
        <v>1000000</v>
      </c>
      <c r="H48" s="2">
        <f t="shared" si="2"/>
        <v>370000000</v>
      </c>
    </row>
    <row r="49" spans="1:8" x14ac:dyDescent="0.2">
      <c r="A49" t="s">
        <v>33</v>
      </c>
      <c r="B49" t="s">
        <v>36</v>
      </c>
      <c r="C49" s="4">
        <v>2.1</v>
      </c>
      <c r="D49">
        <v>3</v>
      </c>
      <c r="E49">
        <v>32</v>
      </c>
      <c r="F49">
        <v>0.1</v>
      </c>
      <c r="G49" s="2">
        <v>1000000</v>
      </c>
      <c r="H49" s="2">
        <f t="shared" si="2"/>
        <v>320000000</v>
      </c>
    </row>
    <row r="50" spans="1:8" x14ac:dyDescent="0.2">
      <c r="A50" t="s">
        <v>34</v>
      </c>
      <c r="B50" t="s">
        <v>36</v>
      </c>
      <c r="C50" s="4">
        <v>2.2000000000000002</v>
      </c>
      <c r="D50">
        <v>1</v>
      </c>
      <c r="E50">
        <v>26</v>
      </c>
      <c r="F50">
        <v>0.1</v>
      </c>
      <c r="G50" s="2">
        <v>1000000</v>
      </c>
      <c r="H50" s="2">
        <f t="shared" si="2"/>
        <v>260000000</v>
      </c>
    </row>
    <row r="51" spans="1:8" x14ac:dyDescent="0.2">
      <c r="A51" t="s">
        <v>34</v>
      </c>
      <c r="B51" t="s">
        <v>36</v>
      </c>
      <c r="C51" s="4">
        <v>2.2000000000000002</v>
      </c>
      <c r="D51">
        <v>2</v>
      </c>
      <c r="E51">
        <v>11</v>
      </c>
      <c r="F51">
        <v>0.1</v>
      </c>
      <c r="G51" s="2">
        <v>1000000</v>
      </c>
      <c r="H51" s="2">
        <f t="shared" si="2"/>
        <v>110000000</v>
      </c>
    </row>
    <row r="52" spans="1:8" x14ac:dyDescent="0.2">
      <c r="A52" t="s">
        <v>34</v>
      </c>
      <c r="B52" t="s">
        <v>36</v>
      </c>
      <c r="C52" s="4">
        <v>2.2000000000000002</v>
      </c>
      <c r="D52">
        <v>3</v>
      </c>
      <c r="E52">
        <v>19</v>
      </c>
      <c r="F52">
        <v>0.1</v>
      </c>
      <c r="G52" s="2">
        <v>1000000</v>
      </c>
      <c r="H52" s="2">
        <f t="shared" si="2"/>
        <v>190000000</v>
      </c>
    </row>
    <row r="53" spans="1:8" x14ac:dyDescent="0.2">
      <c r="A53" t="s">
        <v>35</v>
      </c>
      <c r="B53" t="s">
        <v>36</v>
      </c>
      <c r="C53" s="4">
        <v>2.2999999999999998</v>
      </c>
      <c r="D53">
        <v>1</v>
      </c>
      <c r="E53">
        <v>37</v>
      </c>
      <c r="F53">
        <v>0.1</v>
      </c>
      <c r="G53" s="2">
        <v>1000000</v>
      </c>
      <c r="H53" s="2">
        <f t="shared" si="2"/>
        <v>370000000</v>
      </c>
    </row>
    <row r="54" spans="1:8" x14ac:dyDescent="0.2">
      <c r="A54" t="s">
        <v>35</v>
      </c>
      <c r="B54" t="s">
        <v>36</v>
      </c>
      <c r="C54" s="4">
        <v>2.2999999999999998</v>
      </c>
      <c r="D54">
        <v>2</v>
      </c>
      <c r="E54">
        <v>42</v>
      </c>
      <c r="F54">
        <v>0.1</v>
      </c>
      <c r="G54" s="2">
        <v>1000000</v>
      </c>
      <c r="H54" s="2">
        <f t="shared" si="2"/>
        <v>420000000</v>
      </c>
    </row>
    <row r="55" spans="1:8" x14ac:dyDescent="0.2">
      <c r="A55" t="s">
        <v>35</v>
      </c>
      <c r="B55" t="s">
        <v>36</v>
      </c>
      <c r="C55" s="4">
        <v>2.2999999999999998</v>
      </c>
      <c r="D55">
        <v>3</v>
      </c>
      <c r="E55">
        <v>54</v>
      </c>
      <c r="F55">
        <v>0.1</v>
      </c>
      <c r="G55" s="2">
        <v>1000000</v>
      </c>
      <c r="H55" s="2">
        <f t="shared" si="2"/>
        <v>540000000</v>
      </c>
    </row>
    <row r="56" spans="1:8" x14ac:dyDescent="0.2">
      <c r="A56" t="s">
        <v>21</v>
      </c>
      <c r="B56" t="s">
        <v>22</v>
      </c>
      <c r="C56" s="4">
        <v>1.1000000000000001</v>
      </c>
      <c r="D56">
        <v>1</v>
      </c>
      <c r="E56">
        <v>36</v>
      </c>
      <c r="F56">
        <v>0.1</v>
      </c>
      <c r="G56" s="2">
        <v>10000</v>
      </c>
      <c r="H56" s="2">
        <f t="shared" si="2"/>
        <v>3600000</v>
      </c>
    </row>
    <row r="57" spans="1:8" x14ac:dyDescent="0.2">
      <c r="A57" t="s">
        <v>21</v>
      </c>
      <c r="B57" t="s">
        <v>22</v>
      </c>
      <c r="C57" s="4">
        <v>1.1000000000000001</v>
      </c>
      <c r="D57">
        <v>2</v>
      </c>
      <c r="E57">
        <v>27</v>
      </c>
      <c r="F57">
        <v>0.1</v>
      </c>
      <c r="G57" s="2">
        <v>10000</v>
      </c>
      <c r="H57" s="2">
        <f t="shared" si="2"/>
        <v>2700000</v>
      </c>
    </row>
    <row r="58" spans="1:8" x14ac:dyDescent="0.2">
      <c r="A58" t="s">
        <v>21</v>
      </c>
      <c r="B58" t="s">
        <v>22</v>
      </c>
      <c r="C58" s="4">
        <v>1.1000000000000001</v>
      </c>
      <c r="D58">
        <v>3</v>
      </c>
      <c r="E58">
        <v>31</v>
      </c>
      <c r="F58">
        <v>0.1</v>
      </c>
      <c r="G58" s="2">
        <v>10000</v>
      </c>
      <c r="H58" s="2">
        <f t="shared" si="2"/>
        <v>3100000</v>
      </c>
    </row>
    <row r="59" spans="1:8" x14ac:dyDescent="0.2">
      <c r="A59" t="s">
        <v>23</v>
      </c>
      <c r="B59" t="s">
        <v>22</v>
      </c>
      <c r="C59" s="4">
        <v>1.2</v>
      </c>
      <c r="D59">
        <v>1</v>
      </c>
      <c r="E59">
        <v>35</v>
      </c>
      <c r="F59">
        <v>0.1</v>
      </c>
      <c r="G59" s="2">
        <v>10000</v>
      </c>
      <c r="H59" s="2">
        <f t="shared" ref="H59:H64" si="3">(E59*G59)/F59</f>
        <v>3500000</v>
      </c>
    </row>
    <row r="60" spans="1:8" x14ac:dyDescent="0.2">
      <c r="A60" t="s">
        <v>23</v>
      </c>
      <c r="B60" t="s">
        <v>22</v>
      </c>
      <c r="C60" s="4">
        <v>1.2</v>
      </c>
      <c r="D60">
        <v>2</v>
      </c>
      <c r="E60">
        <v>21</v>
      </c>
      <c r="F60">
        <v>0.1</v>
      </c>
      <c r="G60" s="2">
        <v>10000</v>
      </c>
      <c r="H60" s="2">
        <f t="shared" si="3"/>
        <v>2100000</v>
      </c>
    </row>
    <row r="61" spans="1:8" x14ac:dyDescent="0.2">
      <c r="A61" t="s">
        <v>23</v>
      </c>
      <c r="B61" t="s">
        <v>22</v>
      </c>
      <c r="C61" s="4">
        <v>1.2</v>
      </c>
      <c r="D61">
        <v>3</v>
      </c>
      <c r="E61">
        <v>43</v>
      </c>
      <c r="F61">
        <v>0.1</v>
      </c>
      <c r="G61" s="2">
        <v>10000</v>
      </c>
      <c r="H61" s="2">
        <f t="shared" si="3"/>
        <v>4300000</v>
      </c>
    </row>
    <row r="62" spans="1:8" x14ac:dyDescent="0.2">
      <c r="A62" t="s">
        <v>24</v>
      </c>
      <c r="B62" t="s">
        <v>22</v>
      </c>
      <c r="C62" s="4">
        <v>1.3</v>
      </c>
      <c r="D62">
        <v>1</v>
      </c>
      <c r="E62">
        <v>59</v>
      </c>
      <c r="F62">
        <v>0.1</v>
      </c>
      <c r="G62" s="2">
        <v>10000</v>
      </c>
      <c r="H62" s="2">
        <f t="shared" si="3"/>
        <v>5900000</v>
      </c>
    </row>
    <row r="63" spans="1:8" x14ac:dyDescent="0.2">
      <c r="A63" t="s">
        <v>24</v>
      </c>
      <c r="B63" t="s">
        <v>22</v>
      </c>
      <c r="C63" s="4">
        <v>1.3</v>
      </c>
      <c r="D63">
        <v>2</v>
      </c>
      <c r="E63">
        <v>46</v>
      </c>
      <c r="F63">
        <v>0.1</v>
      </c>
      <c r="G63" s="2">
        <v>10000</v>
      </c>
      <c r="H63" s="2">
        <f t="shared" si="3"/>
        <v>4600000</v>
      </c>
    </row>
    <row r="64" spans="1:8" x14ac:dyDescent="0.2">
      <c r="A64" t="s">
        <v>24</v>
      </c>
      <c r="B64" t="s">
        <v>22</v>
      </c>
      <c r="C64" s="4">
        <v>1.3</v>
      </c>
      <c r="D64">
        <v>3</v>
      </c>
      <c r="E64">
        <v>60</v>
      </c>
      <c r="F64">
        <v>0.1</v>
      </c>
      <c r="G64" s="2">
        <v>10000</v>
      </c>
      <c r="H64" s="2">
        <f t="shared" si="3"/>
        <v>6000000</v>
      </c>
    </row>
    <row r="65" spans="1:8" x14ac:dyDescent="0.2">
      <c r="A65" t="s">
        <v>37</v>
      </c>
      <c r="B65" t="s">
        <v>40</v>
      </c>
      <c r="C65" s="4">
        <v>2.1</v>
      </c>
      <c r="D65">
        <v>1</v>
      </c>
      <c r="E65">
        <v>74</v>
      </c>
      <c r="F65">
        <v>0.1</v>
      </c>
      <c r="G65" s="2">
        <v>100000</v>
      </c>
      <c r="H65" s="2">
        <f t="shared" si="2"/>
        <v>74000000</v>
      </c>
    </row>
    <row r="66" spans="1:8" x14ac:dyDescent="0.2">
      <c r="A66" t="s">
        <v>37</v>
      </c>
      <c r="B66" t="s">
        <v>40</v>
      </c>
      <c r="C66" s="4">
        <v>2.1</v>
      </c>
      <c r="D66">
        <v>2</v>
      </c>
      <c r="E66">
        <v>67</v>
      </c>
      <c r="F66">
        <v>0.1</v>
      </c>
      <c r="G66" s="2">
        <v>100000</v>
      </c>
      <c r="H66" s="2">
        <f t="shared" si="2"/>
        <v>67000000</v>
      </c>
    </row>
    <row r="67" spans="1:8" x14ac:dyDescent="0.2">
      <c r="A67" t="s">
        <v>37</v>
      </c>
      <c r="B67" t="s">
        <v>40</v>
      </c>
      <c r="C67" s="4">
        <v>2.1</v>
      </c>
      <c r="D67">
        <v>3</v>
      </c>
      <c r="E67">
        <v>50</v>
      </c>
      <c r="F67">
        <v>0.1</v>
      </c>
      <c r="G67" s="2">
        <v>100000</v>
      </c>
      <c r="H67" s="2">
        <f t="shared" si="2"/>
        <v>50000000</v>
      </c>
    </row>
    <row r="68" spans="1:8" x14ac:dyDescent="0.2">
      <c r="A68" t="s">
        <v>38</v>
      </c>
      <c r="B68" t="s">
        <v>40</v>
      </c>
      <c r="C68" s="4">
        <v>2.2000000000000002</v>
      </c>
      <c r="D68">
        <v>1</v>
      </c>
      <c r="E68">
        <v>14</v>
      </c>
      <c r="F68">
        <v>0.1</v>
      </c>
      <c r="G68" s="2">
        <v>100000</v>
      </c>
      <c r="H68" s="2">
        <f t="shared" si="2"/>
        <v>14000000</v>
      </c>
    </row>
    <row r="69" spans="1:8" x14ac:dyDescent="0.2">
      <c r="A69" t="s">
        <v>38</v>
      </c>
      <c r="B69" t="s">
        <v>40</v>
      </c>
      <c r="C69" s="4">
        <v>2.2000000000000002</v>
      </c>
      <c r="D69">
        <v>2</v>
      </c>
      <c r="E69">
        <v>18</v>
      </c>
      <c r="F69">
        <v>0.1</v>
      </c>
      <c r="G69" s="2">
        <v>100000</v>
      </c>
      <c r="H69" s="2">
        <f t="shared" si="2"/>
        <v>18000000</v>
      </c>
    </row>
    <row r="70" spans="1:8" x14ac:dyDescent="0.2">
      <c r="A70" t="s">
        <v>38</v>
      </c>
      <c r="B70" t="s">
        <v>40</v>
      </c>
      <c r="C70" s="4">
        <v>2.2000000000000002</v>
      </c>
      <c r="D70">
        <v>3</v>
      </c>
      <c r="E70">
        <v>22</v>
      </c>
      <c r="F70">
        <v>0.1</v>
      </c>
      <c r="G70" s="2">
        <v>100000</v>
      </c>
      <c r="H70" s="2">
        <f t="shared" si="2"/>
        <v>22000000</v>
      </c>
    </row>
    <row r="71" spans="1:8" x14ac:dyDescent="0.2">
      <c r="A71" t="s">
        <v>39</v>
      </c>
      <c r="B71" t="s">
        <v>40</v>
      </c>
      <c r="C71" s="4">
        <v>2.2999999999999998</v>
      </c>
      <c r="D71">
        <v>1</v>
      </c>
      <c r="E71">
        <v>31</v>
      </c>
      <c r="F71">
        <v>0.1</v>
      </c>
      <c r="G71" s="2">
        <v>100000</v>
      </c>
      <c r="H71" s="2">
        <f t="shared" si="2"/>
        <v>31000000</v>
      </c>
    </row>
    <row r="72" spans="1:8" x14ac:dyDescent="0.2">
      <c r="A72" t="s">
        <v>39</v>
      </c>
      <c r="B72" t="s">
        <v>40</v>
      </c>
      <c r="C72" s="4">
        <v>2.2999999999999998</v>
      </c>
      <c r="D72">
        <v>2</v>
      </c>
      <c r="E72">
        <v>25</v>
      </c>
      <c r="F72">
        <v>0.1</v>
      </c>
      <c r="G72" s="2">
        <v>100000</v>
      </c>
      <c r="H72" s="2">
        <f t="shared" si="2"/>
        <v>25000000</v>
      </c>
    </row>
    <row r="73" spans="1:8" x14ac:dyDescent="0.2">
      <c r="A73" t="s">
        <v>39</v>
      </c>
      <c r="B73" t="s">
        <v>40</v>
      </c>
      <c r="C73" s="4">
        <v>2.2999999999999998</v>
      </c>
      <c r="D73">
        <v>3</v>
      </c>
      <c r="E73">
        <v>40</v>
      </c>
      <c r="F73">
        <v>0.1</v>
      </c>
      <c r="G73" s="2">
        <v>100000</v>
      </c>
      <c r="H73" s="2">
        <f t="shared" si="2"/>
        <v>40000000</v>
      </c>
    </row>
    <row r="74" spans="1:8" x14ac:dyDescent="0.2">
      <c r="A74" t="s">
        <v>41</v>
      </c>
      <c r="B74" t="s">
        <v>42</v>
      </c>
      <c r="C74" s="4">
        <v>1.1000000000000001</v>
      </c>
      <c r="D74">
        <v>1</v>
      </c>
      <c r="E74">
        <v>32</v>
      </c>
      <c r="F74">
        <v>0.1</v>
      </c>
      <c r="G74" s="2">
        <v>1000000</v>
      </c>
      <c r="H74" s="2">
        <f>(E74*G74)/F74</f>
        <v>320000000</v>
      </c>
    </row>
    <row r="75" spans="1:8" x14ac:dyDescent="0.2">
      <c r="A75" t="s">
        <v>41</v>
      </c>
      <c r="B75" t="s">
        <v>42</v>
      </c>
      <c r="C75" s="4">
        <v>1.1000000000000001</v>
      </c>
      <c r="D75">
        <v>2</v>
      </c>
      <c r="E75">
        <v>24</v>
      </c>
      <c r="F75">
        <v>0.1</v>
      </c>
      <c r="G75" s="2">
        <v>1000000</v>
      </c>
      <c r="H75" s="2">
        <f t="shared" ref="H75:H110" si="4">(E75*G75)/F75</f>
        <v>240000000</v>
      </c>
    </row>
    <row r="76" spans="1:8" x14ac:dyDescent="0.2">
      <c r="A76" t="s">
        <v>41</v>
      </c>
      <c r="B76" t="s">
        <v>42</v>
      </c>
      <c r="C76" s="4">
        <v>1.1000000000000001</v>
      </c>
      <c r="D76">
        <v>3</v>
      </c>
      <c r="E76">
        <v>27</v>
      </c>
      <c r="F76">
        <v>0.1</v>
      </c>
      <c r="G76" s="2">
        <v>1000000</v>
      </c>
      <c r="H76" s="2">
        <f t="shared" si="4"/>
        <v>270000000</v>
      </c>
    </row>
    <row r="77" spans="1:8" x14ac:dyDescent="0.2">
      <c r="A77" t="s">
        <v>43</v>
      </c>
      <c r="B77" t="s">
        <v>42</v>
      </c>
      <c r="C77" s="4">
        <v>1.2</v>
      </c>
      <c r="D77">
        <v>1</v>
      </c>
      <c r="E77">
        <v>28</v>
      </c>
      <c r="F77">
        <v>0.1</v>
      </c>
      <c r="G77" s="2">
        <v>1000000</v>
      </c>
      <c r="H77" s="2">
        <f t="shared" si="4"/>
        <v>280000000</v>
      </c>
    </row>
    <row r="78" spans="1:8" x14ac:dyDescent="0.2">
      <c r="A78" t="s">
        <v>43</v>
      </c>
      <c r="B78" t="s">
        <v>42</v>
      </c>
      <c r="C78" s="4">
        <v>1.2</v>
      </c>
      <c r="D78">
        <v>2</v>
      </c>
      <c r="E78">
        <v>21</v>
      </c>
      <c r="F78">
        <v>0.1</v>
      </c>
      <c r="G78" s="2">
        <v>1000000</v>
      </c>
      <c r="H78" s="2">
        <f t="shared" si="4"/>
        <v>210000000</v>
      </c>
    </row>
    <row r="79" spans="1:8" x14ac:dyDescent="0.2">
      <c r="A79" t="s">
        <v>43</v>
      </c>
      <c r="B79" t="s">
        <v>42</v>
      </c>
      <c r="C79" s="4">
        <v>1.2</v>
      </c>
      <c r="D79">
        <v>3</v>
      </c>
      <c r="E79">
        <v>24</v>
      </c>
      <c r="F79">
        <v>0.1</v>
      </c>
      <c r="G79" s="2">
        <v>1000000</v>
      </c>
      <c r="H79" s="2">
        <f t="shared" si="4"/>
        <v>240000000</v>
      </c>
    </row>
    <row r="80" spans="1:8" x14ac:dyDescent="0.2">
      <c r="A80" t="s">
        <v>44</v>
      </c>
      <c r="B80" t="s">
        <v>42</v>
      </c>
      <c r="C80" s="4">
        <v>1.3</v>
      </c>
      <c r="D80">
        <v>1</v>
      </c>
      <c r="E80">
        <v>27</v>
      </c>
      <c r="F80">
        <v>0.1</v>
      </c>
      <c r="G80" s="2">
        <v>1000000</v>
      </c>
      <c r="H80" s="2">
        <f t="shared" si="4"/>
        <v>270000000</v>
      </c>
    </row>
    <row r="81" spans="1:8" x14ac:dyDescent="0.2">
      <c r="A81" t="s">
        <v>44</v>
      </c>
      <c r="B81" t="s">
        <v>42</v>
      </c>
      <c r="C81" s="4">
        <v>1.3</v>
      </c>
      <c r="D81">
        <v>2</v>
      </c>
      <c r="E81">
        <v>37</v>
      </c>
      <c r="F81">
        <v>0.1</v>
      </c>
      <c r="G81" s="2">
        <v>1000000</v>
      </c>
      <c r="H81" s="2">
        <f t="shared" si="4"/>
        <v>370000000</v>
      </c>
    </row>
    <row r="82" spans="1:8" x14ac:dyDescent="0.2">
      <c r="A82" t="s">
        <v>44</v>
      </c>
      <c r="B82" t="s">
        <v>42</v>
      </c>
      <c r="C82" s="4">
        <v>1.3</v>
      </c>
      <c r="D82">
        <v>3</v>
      </c>
      <c r="E82">
        <v>30</v>
      </c>
      <c r="F82">
        <v>0.1</v>
      </c>
      <c r="G82" s="2">
        <v>1000000</v>
      </c>
      <c r="H82" s="2">
        <f t="shared" si="4"/>
        <v>300000000</v>
      </c>
    </row>
    <row r="83" spans="1:8" x14ac:dyDescent="0.2">
      <c r="A83" t="s">
        <v>45</v>
      </c>
      <c r="B83" t="s">
        <v>46</v>
      </c>
      <c r="C83" s="4">
        <v>2.1</v>
      </c>
      <c r="D83">
        <v>1</v>
      </c>
      <c r="E83">
        <v>23</v>
      </c>
      <c r="F83">
        <v>0.1</v>
      </c>
      <c r="G83" s="2">
        <v>1000000</v>
      </c>
      <c r="H83" s="2">
        <f t="shared" si="4"/>
        <v>230000000</v>
      </c>
    </row>
    <row r="84" spans="1:8" x14ac:dyDescent="0.2">
      <c r="A84" t="s">
        <v>45</v>
      </c>
      <c r="B84" t="s">
        <v>46</v>
      </c>
      <c r="C84" s="4">
        <v>2.1</v>
      </c>
      <c r="D84">
        <v>2</v>
      </c>
      <c r="E84">
        <v>27</v>
      </c>
      <c r="F84">
        <v>0.1</v>
      </c>
      <c r="G84" s="2">
        <v>1000000</v>
      </c>
      <c r="H84" s="2">
        <f t="shared" si="4"/>
        <v>270000000</v>
      </c>
    </row>
    <row r="85" spans="1:8" x14ac:dyDescent="0.2">
      <c r="A85" t="s">
        <v>45</v>
      </c>
      <c r="B85" t="s">
        <v>46</v>
      </c>
      <c r="C85" s="4">
        <v>2.1</v>
      </c>
      <c r="D85">
        <v>3</v>
      </c>
      <c r="E85">
        <v>14</v>
      </c>
      <c r="F85">
        <v>0.1</v>
      </c>
      <c r="G85" s="2">
        <v>1000000</v>
      </c>
      <c r="H85" s="2">
        <f t="shared" si="4"/>
        <v>140000000</v>
      </c>
    </row>
    <row r="86" spans="1:8" x14ac:dyDescent="0.2">
      <c r="A86" t="s">
        <v>47</v>
      </c>
      <c r="B86" t="s">
        <v>46</v>
      </c>
      <c r="C86" s="4">
        <v>2.2000000000000002</v>
      </c>
      <c r="D86">
        <v>1</v>
      </c>
      <c r="E86">
        <v>17</v>
      </c>
      <c r="F86">
        <v>0.1</v>
      </c>
      <c r="G86" s="2">
        <v>1000000</v>
      </c>
      <c r="H86" s="2">
        <f t="shared" si="4"/>
        <v>170000000</v>
      </c>
    </row>
    <row r="87" spans="1:8" x14ac:dyDescent="0.2">
      <c r="A87" t="s">
        <v>47</v>
      </c>
      <c r="B87" t="s">
        <v>46</v>
      </c>
      <c r="C87" s="4">
        <v>2.2000000000000002</v>
      </c>
      <c r="D87">
        <v>2</v>
      </c>
      <c r="E87">
        <v>28</v>
      </c>
      <c r="F87">
        <v>0.1</v>
      </c>
      <c r="G87" s="2">
        <v>1000000</v>
      </c>
      <c r="H87" s="2">
        <f t="shared" si="4"/>
        <v>280000000</v>
      </c>
    </row>
    <row r="88" spans="1:8" x14ac:dyDescent="0.2">
      <c r="A88" t="s">
        <v>47</v>
      </c>
      <c r="B88" t="s">
        <v>46</v>
      </c>
      <c r="C88" s="4">
        <v>2.2000000000000002</v>
      </c>
      <c r="D88">
        <v>3</v>
      </c>
      <c r="E88">
        <v>33</v>
      </c>
      <c r="F88">
        <v>0.1</v>
      </c>
      <c r="G88" s="2">
        <v>1000000</v>
      </c>
      <c r="H88" s="2">
        <f t="shared" si="4"/>
        <v>330000000</v>
      </c>
    </row>
    <row r="89" spans="1:8" x14ac:dyDescent="0.2">
      <c r="A89" t="s">
        <v>48</v>
      </c>
      <c r="B89" t="s">
        <v>46</v>
      </c>
      <c r="C89" s="4">
        <v>2.2999999999999998</v>
      </c>
      <c r="D89">
        <v>1</v>
      </c>
      <c r="E89">
        <v>27</v>
      </c>
      <c r="F89">
        <v>0.1</v>
      </c>
      <c r="G89" s="2">
        <v>1000000</v>
      </c>
      <c r="H89" s="2">
        <f t="shared" si="4"/>
        <v>270000000</v>
      </c>
    </row>
    <row r="90" spans="1:8" x14ac:dyDescent="0.2">
      <c r="A90" t="s">
        <v>48</v>
      </c>
      <c r="B90" t="s">
        <v>46</v>
      </c>
      <c r="C90" s="4">
        <v>2.2999999999999998</v>
      </c>
      <c r="D90">
        <v>2</v>
      </c>
      <c r="E90">
        <v>26</v>
      </c>
      <c r="F90">
        <v>0.1</v>
      </c>
      <c r="G90" s="2">
        <v>1000000</v>
      </c>
      <c r="H90" s="2">
        <f t="shared" si="4"/>
        <v>260000000</v>
      </c>
    </row>
    <row r="91" spans="1:8" x14ac:dyDescent="0.2">
      <c r="A91" t="s">
        <v>48</v>
      </c>
      <c r="B91" t="s">
        <v>46</v>
      </c>
      <c r="C91" s="4">
        <v>2.2999999999999998</v>
      </c>
      <c r="D91">
        <v>3</v>
      </c>
      <c r="E91">
        <v>35</v>
      </c>
      <c r="F91">
        <v>0.1</v>
      </c>
      <c r="G91" s="2">
        <v>1000000</v>
      </c>
      <c r="H91" s="2">
        <f t="shared" si="4"/>
        <v>350000000</v>
      </c>
    </row>
    <row r="92" spans="1:8" x14ac:dyDescent="0.2">
      <c r="A92" t="s">
        <v>49</v>
      </c>
      <c r="B92" t="s">
        <v>50</v>
      </c>
      <c r="C92" s="4">
        <v>1.1000000000000001</v>
      </c>
      <c r="D92">
        <v>1</v>
      </c>
      <c r="E92">
        <v>12</v>
      </c>
      <c r="F92">
        <v>0.1</v>
      </c>
      <c r="G92" s="2">
        <v>10000</v>
      </c>
      <c r="H92" s="2">
        <f t="shared" si="4"/>
        <v>1200000</v>
      </c>
    </row>
    <row r="93" spans="1:8" x14ac:dyDescent="0.2">
      <c r="A93" t="s">
        <v>49</v>
      </c>
      <c r="B93" t="s">
        <v>50</v>
      </c>
      <c r="C93" s="4">
        <v>1.1000000000000001</v>
      </c>
      <c r="D93">
        <v>2</v>
      </c>
      <c r="E93">
        <v>20</v>
      </c>
      <c r="F93">
        <v>0.1</v>
      </c>
      <c r="G93" s="2">
        <v>10000</v>
      </c>
      <c r="H93" s="2">
        <f t="shared" si="4"/>
        <v>2000000</v>
      </c>
    </row>
    <row r="94" spans="1:8" x14ac:dyDescent="0.2">
      <c r="A94" t="s">
        <v>49</v>
      </c>
      <c r="B94" t="s">
        <v>50</v>
      </c>
      <c r="C94" s="4">
        <v>1.1000000000000001</v>
      </c>
      <c r="D94">
        <v>3</v>
      </c>
      <c r="E94">
        <v>36</v>
      </c>
      <c r="F94">
        <v>0.1</v>
      </c>
      <c r="G94" s="2">
        <v>10000</v>
      </c>
      <c r="H94" s="2">
        <f t="shared" si="4"/>
        <v>3600000</v>
      </c>
    </row>
    <row r="95" spans="1:8" x14ac:dyDescent="0.2">
      <c r="A95" t="s">
        <v>51</v>
      </c>
      <c r="B95" t="s">
        <v>50</v>
      </c>
      <c r="C95" s="4">
        <v>1.2</v>
      </c>
      <c r="D95">
        <v>1</v>
      </c>
      <c r="E95">
        <v>81</v>
      </c>
      <c r="F95">
        <v>0.1</v>
      </c>
      <c r="G95" s="2">
        <v>10000</v>
      </c>
      <c r="H95" s="2">
        <f t="shared" si="4"/>
        <v>8100000</v>
      </c>
    </row>
    <row r="96" spans="1:8" x14ac:dyDescent="0.2">
      <c r="A96" t="s">
        <v>51</v>
      </c>
      <c r="B96" t="s">
        <v>50</v>
      </c>
      <c r="C96" s="4">
        <v>1.2</v>
      </c>
      <c r="D96">
        <v>2</v>
      </c>
      <c r="E96">
        <v>71</v>
      </c>
      <c r="F96">
        <v>0.1</v>
      </c>
      <c r="G96" s="2">
        <v>10000</v>
      </c>
      <c r="H96" s="2">
        <f t="shared" si="4"/>
        <v>7100000</v>
      </c>
    </row>
    <row r="97" spans="1:8" x14ac:dyDescent="0.2">
      <c r="A97" t="s">
        <v>51</v>
      </c>
      <c r="B97" t="s">
        <v>50</v>
      </c>
      <c r="C97" s="4">
        <v>1.2</v>
      </c>
      <c r="D97">
        <v>3</v>
      </c>
      <c r="E97">
        <v>98</v>
      </c>
      <c r="F97">
        <v>0.1</v>
      </c>
      <c r="G97" s="2">
        <v>10000</v>
      </c>
      <c r="H97" s="2">
        <f t="shared" si="4"/>
        <v>9800000</v>
      </c>
    </row>
    <row r="98" spans="1:8" x14ac:dyDescent="0.2">
      <c r="A98" t="s">
        <v>52</v>
      </c>
      <c r="B98" t="s">
        <v>50</v>
      </c>
      <c r="C98" s="4">
        <v>1.3</v>
      </c>
      <c r="D98">
        <v>1</v>
      </c>
      <c r="E98">
        <v>84</v>
      </c>
      <c r="F98">
        <v>0.1</v>
      </c>
      <c r="G98" s="2">
        <v>10000</v>
      </c>
      <c r="H98" s="2">
        <f t="shared" si="4"/>
        <v>8400000</v>
      </c>
    </row>
    <row r="99" spans="1:8" x14ac:dyDescent="0.2">
      <c r="A99" t="s">
        <v>52</v>
      </c>
      <c r="B99" t="s">
        <v>50</v>
      </c>
      <c r="C99" s="4">
        <v>1.3</v>
      </c>
      <c r="D99">
        <v>2</v>
      </c>
      <c r="E99">
        <v>62</v>
      </c>
      <c r="F99">
        <v>0.1</v>
      </c>
      <c r="G99" s="2">
        <v>10000</v>
      </c>
      <c r="H99" s="2">
        <f t="shared" si="4"/>
        <v>6200000</v>
      </c>
    </row>
    <row r="100" spans="1:8" x14ac:dyDescent="0.2">
      <c r="A100" t="s">
        <v>52</v>
      </c>
      <c r="B100" t="s">
        <v>50</v>
      </c>
      <c r="C100" s="4">
        <v>1.3</v>
      </c>
      <c r="D100">
        <v>3</v>
      </c>
      <c r="E100">
        <v>75</v>
      </c>
      <c r="F100">
        <v>0.1</v>
      </c>
      <c r="G100" s="2">
        <v>10000</v>
      </c>
      <c r="H100" s="2">
        <f t="shared" si="4"/>
        <v>7500000</v>
      </c>
    </row>
    <row r="101" spans="1:8" x14ac:dyDescent="0.2">
      <c r="A101" t="s">
        <v>53</v>
      </c>
      <c r="B101" t="s">
        <v>54</v>
      </c>
      <c r="C101" s="4">
        <v>2.1</v>
      </c>
      <c r="D101">
        <v>1</v>
      </c>
      <c r="E101">
        <v>319</v>
      </c>
      <c r="F101">
        <v>0.1</v>
      </c>
      <c r="G101" s="2">
        <v>100000</v>
      </c>
      <c r="H101" s="2">
        <f t="shared" si="4"/>
        <v>319000000</v>
      </c>
    </row>
    <row r="102" spans="1:8" x14ac:dyDescent="0.2">
      <c r="A102" t="s">
        <v>53</v>
      </c>
      <c r="B102" t="s">
        <v>54</v>
      </c>
      <c r="C102" s="4">
        <v>2.1</v>
      </c>
      <c r="D102">
        <v>2</v>
      </c>
      <c r="E102">
        <v>299</v>
      </c>
      <c r="F102">
        <v>0.1</v>
      </c>
      <c r="G102" s="2">
        <v>100000</v>
      </c>
      <c r="H102" s="2">
        <f t="shared" si="4"/>
        <v>299000000</v>
      </c>
    </row>
    <row r="103" spans="1:8" x14ac:dyDescent="0.2">
      <c r="A103" t="s">
        <v>53</v>
      </c>
      <c r="B103" t="s">
        <v>54</v>
      </c>
      <c r="C103" s="4">
        <v>2.1</v>
      </c>
      <c r="D103">
        <v>3</v>
      </c>
      <c r="E103">
        <v>315</v>
      </c>
      <c r="F103">
        <v>0.1</v>
      </c>
      <c r="G103" s="2">
        <v>100000</v>
      </c>
      <c r="H103" s="2">
        <f t="shared" si="4"/>
        <v>315000000</v>
      </c>
    </row>
    <row r="104" spans="1:8" x14ac:dyDescent="0.2">
      <c r="A104" t="s">
        <v>55</v>
      </c>
      <c r="B104" t="s">
        <v>54</v>
      </c>
      <c r="C104" s="4">
        <v>2.2000000000000002</v>
      </c>
      <c r="D104">
        <v>1</v>
      </c>
      <c r="E104">
        <v>302</v>
      </c>
      <c r="F104">
        <v>0.1</v>
      </c>
      <c r="G104" s="2">
        <v>100000</v>
      </c>
      <c r="H104" s="2">
        <f t="shared" si="4"/>
        <v>302000000</v>
      </c>
    </row>
    <row r="105" spans="1:8" x14ac:dyDescent="0.2">
      <c r="A105" t="s">
        <v>55</v>
      </c>
      <c r="B105" t="s">
        <v>54</v>
      </c>
      <c r="C105" s="4">
        <v>2.2000000000000002</v>
      </c>
      <c r="D105">
        <v>2</v>
      </c>
      <c r="E105">
        <v>322</v>
      </c>
      <c r="F105">
        <v>0.1</v>
      </c>
      <c r="G105" s="2">
        <v>100000</v>
      </c>
      <c r="H105" s="2">
        <f t="shared" si="4"/>
        <v>322000000</v>
      </c>
    </row>
    <row r="106" spans="1:8" x14ac:dyDescent="0.2">
      <c r="A106" t="s">
        <v>55</v>
      </c>
      <c r="B106" t="s">
        <v>54</v>
      </c>
      <c r="C106" s="4">
        <v>2.2000000000000002</v>
      </c>
      <c r="D106">
        <v>3</v>
      </c>
      <c r="E106">
        <v>438</v>
      </c>
      <c r="F106">
        <v>0.1</v>
      </c>
      <c r="G106" s="2">
        <v>100000</v>
      </c>
      <c r="H106" s="2">
        <f t="shared" si="4"/>
        <v>438000000</v>
      </c>
    </row>
    <row r="107" spans="1:8" x14ac:dyDescent="0.2">
      <c r="A107" t="s">
        <v>56</v>
      </c>
      <c r="B107" t="s">
        <v>54</v>
      </c>
      <c r="C107" s="4">
        <v>2.2999999999999998</v>
      </c>
      <c r="D107">
        <v>1</v>
      </c>
      <c r="E107">
        <v>403</v>
      </c>
      <c r="F107">
        <v>0.1</v>
      </c>
      <c r="G107" s="2">
        <v>100000</v>
      </c>
      <c r="H107" s="2">
        <f t="shared" si="4"/>
        <v>403000000</v>
      </c>
    </row>
    <row r="108" spans="1:8" x14ac:dyDescent="0.2">
      <c r="A108" t="s">
        <v>56</v>
      </c>
      <c r="B108" t="s">
        <v>54</v>
      </c>
      <c r="C108" s="4">
        <v>2.2999999999999998</v>
      </c>
      <c r="D108">
        <v>2</v>
      </c>
      <c r="E108">
        <v>385</v>
      </c>
      <c r="F108">
        <v>0.1</v>
      </c>
      <c r="G108" s="2">
        <v>100000</v>
      </c>
      <c r="H108" s="2">
        <f t="shared" si="4"/>
        <v>385000000</v>
      </c>
    </row>
    <row r="109" spans="1:8" x14ac:dyDescent="0.2">
      <c r="A109" t="s">
        <v>56</v>
      </c>
      <c r="B109" t="s">
        <v>54</v>
      </c>
      <c r="C109" s="4">
        <v>2.2999999999999998</v>
      </c>
      <c r="D109">
        <v>3</v>
      </c>
      <c r="E109">
        <v>474</v>
      </c>
      <c r="F109">
        <v>0.1</v>
      </c>
      <c r="G109" s="2">
        <v>100000</v>
      </c>
      <c r="H109" s="2">
        <f t="shared" si="4"/>
        <v>474000000</v>
      </c>
    </row>
    <row r="110" spans="1:8" x14ac:dyDescent="0.2">
      <c r="A110" t="s">
        <v>57</v>
      </c>
      <c r="B110" t="s">
        <v>58</v>
      </c>
      <c r="C110" s="4">
        <v>1.1000000000000001</v>
      </c>
      <c r="D110">
        <v>1</v>
      </c>
      <c r="E110">
        <v>0</v>
      </c>
      <c r="F110">
        <v>0.1</v>
      </c>
      <c r="G110" s="2">
        <v>1</v>
      </c>
      <c r="H110" s="2">
        <f t="shared" si="4"/>
        <v>0</v>
      </c>
    </row>
    <row r="111" spans="1:8" x14ac:dyDescent="0.2">
      <c r="A111" t="s">
        <v>57</v>
      </c>
      <c r="B111" t="s">
        <v>58</v>
      </c>
      <c r="C111" s="4">
        <v>1.1000000000000001</v>
      </c>
      <c r="D111">
        <v>2</v>
      </c>
      <c r="E111">
        <v>2</v>
      </c>
      <c r="F111">
        <v>0.1</v>
      </c>
      <c r="G111" s="2">
        <v>1</v>
      </c>
      <c r="H111" s="2">
        <f>(E111*G111)/F111</f>
        <v>20</v>
      </c>
    </row>
    <row r="112" spans="1:8" x14ac:dyDescent="0.2">
      <c r="A112" t="s">
        <v>57</v>
      </c>
      <c r="B112" t="s">
        <v>58</v>
      </c>
      <c r="C112" s="4">
        <v>1.1000000000000001</v>
      </c>
      <c r="D112">
        <v>3</v>
      </c>
      <c r="E112">
        <v>4</v>
      </c>
      <c r="F112">
        <v>0.1</v>
      </c>
      <c r="G112" s="2">
        <v>1</v>
      </c>
      <c r="H112" s="2">
        <f t="shared" ref="H112:H145" si="5">(E112*G112)/F112</f>
        <v>40</v>
      </c>
    </row>
    <row r="113" spans="1:8" x14ac:dyDescent="0.2">
      <c r="A113" t="s">
        <v>59</v>
      </c>
      <c r="B113" t="s">
        <v>58</v>
      </c>
      <c r="C113" s="4">
        <v>1.2</v>
      </c>
      <c r="D113">
        <v>1</v>
      </c>
      <c r="E113">
        <v>15</v>
      </c>
      <c r="F113">
        <v>0.1</v>
      </c>
      <c r="G113" s="2">
        <v>1</v>
      </c>
      <c r="H113" s="2">
        <f t="shared" si="5"/>
        <v>150</v>
      </c>
    </row>
    <row r="114" spans="1:8" x14ac:dyDescent="0.2">
      <c r="A114" t="s">
        <v>59</v>
      </c>
      <c r="B114" t="s">
        <v>58</v>
      </c>
      <c r="C114" s="4">
        <v>1.2</v>
      </c>
      <c r="D114">
        <v>2</v>
      </c>
      <c r="E114">
        <v>37</v>
      </c>
      <c r="F114">
        <v>0.1</v>
      </c>
      <c r="G114" s="2">
        <v>1</v>
      </c>
      <c r="H114" s="2">
        <f t="shared" si="5"/>
        <v>370</v>
      </c>
    </row>
    <row r="115" spans="1:8" x14ac:dyDescent="0.2">
      <c r="A115" t="s">
        <v>59</v>
      </c>
      <c r="B115" t="s">
        <v>58</v>
      </c>
      <c r="C115" s="4">
        <v>1.2</v>
      </c>
      <c r="D115">
        <v>3</v>
      </c>
      <c r="E115">
        <v>36</v>
      </c>
      <c r="F115">
        <v>0.1</v>
      </c>
      <c r="G115" s="2">
        <v>1</v>
      </c>
      <c r="H115" s="2">
        <f t="shared" si="5"/>
        <v>360</v>
      </c>
    </row>
    <row r="116" spans="1:8" x14ac:dyDescent="0.2">
      <c r="A116" t="s">
        <v>60</v>
      </c>
      <c r="B116" t="s">
        <v>58</v>
      </c>
      <c r="C116" s="4">
        <v>1.3</v>
      </c>
      <c r="D116">
        <v>1</v>
      </c>
      <c r="E116">
        <v>1</v>
      </c>
      <c r="F116">
        <v>0.1</v>
      </c>
      <c r="G116" s="2">
        <v>1</v>
      </c>
      <c r="H116" s="2">
        <f t="shared" si="5"/>
        <v>10</v>
      </c>
    </row>
    <row r="117" spans="1:8" x14ac:dyDescent="0.2">
      <c r="A117" t="s">
        <v>60</v>
      </c>
      <c r="B117" t="s">
        <v>58</v>
      </c>
      <c r="C117" s="4">
        <v>1.3</v>
      </c>
      <c r="D117">
        <v>2</v>
      </c>
      <c r="E117">
        <v>5</v>
      </c>
      <c r="F117">
        <v>0.1</v>
      </c>
      <c r="G117" s="2">
        <v>1</v>
      </c>
      <c r="H117" s="2">
        <f t="shared" si="5"/>
        <v>50</v>
      </c>
    </row>
    <row r="118" spans="1:8" x14ac:dyDescent="0.2">
      <c r="A118" t="s">
        <v>60</v>
      </c>
      <c r="B118" t="s">
        <v>58</v>
      </c>
      <c r="C118" s="4">
        <v>1.3</v>
      </c>
      <c r="D118">
        <v>3</v>
      </c>
      <c r="E118">
        <v>5</v>
      </c>
      <c r="F118">
        <v>0.1</v>
      </c>
      <c r="G118" s="2">
        <v>1</v>
      </c>
      <c r="H118" s="2">
        <f t="shared" si="5"/>
        <v>50</v>
      </c>
    </row>
    <row r="119" spans="1:8" x14ac:dyDescent="0.2">
      <c r="A119" t="s">
        <v>61</v>
      </c>
      <c r="B119" t="s">
        <v>62</v>
      </c>
      <c r="C119" s="4">
        <v>2.1</v>
      </c>
      <c r="D119">
        <v>1</v>
      </c>
      <c r="E119">
        <v>1</v>
      </c>
      <c r="F119">
        <v>0.1</v>
      </c>
      <c r="G119" s="2">
        <v>1000</v>
      </c>
      <c r="H119" s="2">
        <f t="shared" si="5"/>
        <v>10000</v>
      </c>
    </row>
    <row r="120" spans="1:8" x14ac:dyDescent="0.2">
      <c r="A120" t="s">
        <v>61</v>
      </c>
      <c r="B120" t="s">
        <v>62</v>
      </c>
      <c r="C120" s="4">
        <v>2.1</v>
      </c>
      <c r="D120">
        <v>2</v>
      </c>
      <c r="E120">
        <v>1</v>
      </c>
      <c r="F120">
        <v>0.1</v>
      </c>
      <c r="G120" s="2">
        <v>1000</v>
      </c>
      <c r="H120" s="2">
        <f t="shared" si="5"/>
        <v>10000</v>
      </c>
    </row>
    <row r="121" spans="1:8" x14ac:dyDescent="0.2">
      <c r="A121" t="s">
        <v>61</v>
      </c>
      <c r="B121" t="s">
        <v>62</v>
      </c>
      <c r="C121" s="4">
        <v>2.1</v>
      </c>
      <c r="D121">
        <v>3</v>
      </c>
      <c r="E121">
        <v>2</v>
      </c>
      <c r="F121">
        <v>0.1</v>
      </c>
      <c r="G121" s="2">
        <v>1000</v>
      </c>
      <c r="H121" s="2">
        <f t="shared" si="5"/>
        <v>20000</v>
      </c>
    </row>
    <row r="122" spans="1:8" x14ac:dyDescent="0.2">
      <c r="A122" t="s">
        <v>63</v>
      </c>
      <c r="B122" t="s">
        <v>62</v>
      </c>
      <c r="C122" s="4">
        <v>2.2000000000000002</v>
      </c>
      <c r="D122">
        <v>1</v>
      </c>
      <c r="E122">
        <v>362</v>
      </c>
      <c r="F122">
        <v>0.1</v>
      </c>
      <c r="G122" s="2">
        <v>1000</v>
      </c>
      <c r="H122" s="2">
        <f t="shared" si="5"/>
        <v>3620000</v>
      </c>
    </row>
    <row r="123" spans="1:8" x14ac:dyDescent="0.2">
      <c r="A123" t="s">
        <v>63</v>
      </c>
      <c r="B123" t="s">
        <v>62</v>
      </c>
      <c r="C123" s="4">
        <v>2.2000000000000002</v>
      </c>
      <c r="D123">
        <v>2</v>
      </c>
      <c r="E123">
        <v>376</v>
      </c>
      <c r="F123">
        <v>0.1</v>
      </c>
      <c r="G123" s="2">
        <v>1000</v>
      </c>
      <c r="H123" s="2">
        <f t="shared" si="5"/>
        <v>3760000</v>
      </c>
    </row>
    <row r="124" spans="1:8" x14ac:dyDescent="0.2">
      <c r="A124" t="s">
        <v>63</v>
      </c>
      <c r="B124" t="s">
        <v>62</v>
      </c>
      <c r="C124" s="4">
        <v>2.2000000000000002</v>
      </c>
      <c r="D124">
        <v>3</v>
      </c>
      <c r="E124">
        <v>428</v>
      </c>
      <c r="F124">
        <v>0.1</v>
      </c>
      <c r="G124" s="2">
        <v>1000</v>
      </c>
      <c r="H124" s="2">
        <f t="shared" si="5"/>
        <v>4280000</v>
      </c>
    </row>
    <row r="125" spans="1:8" x14ac:dyDescent="0.2">
      <c r="A125" t="s">
        <v>64</v>
      </c>
      <c r="B125" t="s">
        <v>62</v>
      </c>
      <c r="C125" s="4">
        <v>2.2999999999999998</v>
      </c>
      <c r="D125">
        <v>1</v>
      </c>
      <c r="E125">
        <v>536</v>
      </c>
      <c r="F125">
        <v>0.1</v>
      </c>
      <c r="G125" s="2">
        <v>100000</v>
      </c>
      <c r="H125" s="2">
        <f t="shared" si="5"/>
        <v>536000000</v>
      </c>
    </row>
    <row r="126" spans="1:8" x14ac:dyDescent="0.2">
      <c r="A126" t="s">
        <v>64</v>
      </c>
      <c r="B126" t="s">
        <v>62</v>
      </c>
      <c r="C126" s="4">
        <v>2.2999999999999998</v>
      </c>
      <c r="D126">
        <v>2</v>
      </c>
      <c r="E126">
        <v>593</v>
      </c>
      <c r="F126">
        <v>0.1</v>
      </c>
      <c r="G126" s="2">
        <v>100000</v>
      </c>
      <c r="H126" s="2">
        <f t="shared" si="5"/>
        <v>593000000</v>
      </c>
    </row>
    <row r="127" spans="1:8" x14ac:dyDescent="0.2">
      <c r="A127" t="s">
        <v>64</v>
      </c>
      <c r="B127" t="s">
        <v>62</v>
      </c>
      <c r="C127" s="4">
        <v>2.2999999999999998</v>
      </c>
      <c r="D127">
        <v>3</v>
      </c>
      <c r="E127">
        <v>555</v>
      </c>
      <c r="F127">
        <v>0.1</v>
      </c>
      <c r="G127" s="2">
        <v>100000</v>
      </c>
      <c r="H127" s="2">
        <f t="shared" si="5"/>
        <v>555000000</v>
      </c>
    </row>
    <row r="128" spans="1:8" x14ac:dyDescent="0.2">
      <c r="A128" t="s">
        <v>65</v>
      </c>
      <c r="B128" t="s">
        <v>66</v>
      </c>
      <c r="C128" s="4">
        <v>1.1000000000000001</v>
      </c>
      <c r="D128">
        <v>1</v>
      </c>
      <c r="E128">
        <v>0</v>
      </c>
      <c r="F128">
        <v>0.1</v>
      </c>
      <c r="G128" s="2">
        <v>1</v>
      </c>
      <c r="H128" s="2">
        <f t="shared" si="5"/>
        <v>0</v>
      </c>
    </row>
    <row r="129" spans="1:8" x14ac:dyDescent="0.2">
      <c r="A129" t="s">
        <v>65</v>
      </c>
      <c r="B129" t="s">
        <v>66</v>
      </c>
      <c r="C129" s="4">
        <v>1.1000000000000001</v>
      </c>
      <c r="D129">
        <v>2</v>
      </c>
      <c r="E129">
        <v>0</v>
      </c>
      <c r="F129">
        <v>0.1</v>
      </c>
      <c r="G129" s="2">
        <v>1</v>
      </c>
      <c r="H129" s="2">
        <f t="shared" si="5"/>
        <v>0</v>
      </c>
    </row>
    <row r="130" spans="1:8" x14ac:dyDescent="0.2">
      <c r="A130" t="s">
        <v>65</v>
      </c>
      <c r="B130" t="s">
        <v>66</v>
      </c>
      <c r="C130" s="4">
        <v>1.1000000000000001</v>
      </c>
      <c r="D130">
        <v>3</v>
      </c>
      <c r="E130">
        <v>0</v>
      </c>
      <c r="F130">
        <v>0.1</v>
      </c>
      <c r="G130" s="2">
        <v>1</v>
      </c>
      <c r="H130" s="2">
        <f t="shared" si="5"/>
        <v>0</v>
      </c>
    </row>
    <row r="131" spans="1:8" x14ac:dyDescent="0.2">
      <c r="A131" t="s">
        <v>67</v>
      </c>
      <c r="B131" t="s">
        <v>66</v>
      </c>
      <c r="C131" s="4">
        <v>1.2</v>
      </c>
      <c r="D131">
        <v>1</v>
      </c>
      <c r="E131">
        <v>0</v>
      </c>
      <c r="F131">
        <v>0.1</v>
      </c>
      <c r="G131" s="2">
        <v>1</v>
      </c>
      <c r="H131" s="2">
        <f t="shared" si="5"/>
        <v>0</v>
      </c>
    </row>
    <row r="132" spans="1:8" x14ac:dyDescent="0.2">
      <c r="A132" t="s">
        <v>67</v>
      </c>
      <c r="B132" t="s">
        <v>66</v>
      </c>
      <c r="C132" s="4">
        <v>1.2</v>
      </c>
      <c r="D132">
        <v>2</v>
      </c>
      <c r="E132">
        <v>1</v>
      </c>
      <c r="F132">
        <v>0.1</v>
      </c>
      <c r="G132" s="2">
        <v>1</v>
      </c>
      <c r="H132" s="2">
        <f t="shared" si="5"/>
        <v>10</v>
      </c>
    </row>
    <row r="133" spans="1:8" x14ac:dyDescent="0.2">
      <c r="A133" t="s">
        <v>67</v>
      </c>
      <c r="B133" t="s">
        <v>66</v>
      </c>
      <c r="C133" s="4">
        <v>1.2</v>
      </c>
      <c r="D133">
        <v>3</v>
      </c>
      <c r="E133">
        <v>0</v>
      </c>
      <c r="F133">
        <v>0.1</v>
      </c>
      <c r="G133" s="2">
        <v>1</v>
      </c>
      <c r="H133" s="2">
        <f t="shared" si="5"/>
        <v>0</v>
      </c>
    </row>
    <row r="134" spans="1:8" x14ac:dyDescent="0.2">
      <c r="A134" t="s">
        <v>68</v>
      </c>
      <c r="B134" t="s">
        <v>66</v>
      </c>
      <c r="C134" s="4">
        <v>1.3</v>
      </c>
      <c r="D134">
        <v>1</v>
      </c>
      <c r="E134">
        <v>0</v>
      </c>
      <c r="F134">
        <v>0.1</v>
      </c>
      <c r="G134" s="2">
        <v>1</v>
      </c>
      <c r="H134" s="2">
        <f t="shared" si="5"/>
        <v>0</v>
      </c>
    </row>
    <row r="135" spans="1:8" x14ac:dyDescent="0.2">
      <c r="A135" t="s">
        <v>68</v>
      </c>
      <c r="B135" t="s">
        <v>66</v>
      </c>
      <c r="C135" s="4">
        <v>1.3</v>
      </c>
      <c r="D135">
        <v>2</v>
      </c>
      <c r="E135">
        <v>0</v>
      </c>
      <c r="F135">
        <v>0.1</v>
      </c>
      <c r="G135" s="2">
        <v>1</v>
      </c>
      <c r="H135" s="2">
        <f t="shared" si="5"/>
        <v>0</v>
      </c>
    </row>
    <row r="136" spans="1:8" x14ac:dyDescent="0.2">
      <c r="A136" t="s">
        <v>68</v>
      </c>
      <c r="B136" t="s">
        <v>66</v>
      </c>
      <c r="C136" s="4">
        <v>1.3</v>
      </c>
      <c r="D136">
        <v>3</v>
      </c>
      <c r="E136">
        <v>0</v>
      </c>
      <c r="F136">
        <v>0.1</v>
      </c>
      <c r="G136" s="2">
        <v>1</v>
      </c>
      <c r="H136" s="2">
        <f t="shared" si="5"/>
        <v>0</v>
      </c>
    </row>
    <row r="137" spans="1:8" x14ac:dyDescent="0.2">
      <c r="A137" t="s">
        <v>69</v>
      </c>
      <c r="B137" t="s">
        <v>70</v>
      </c>
      <c r="C137" s="4">
        <v>2.1</v>
      </c>
      <c r="D137">
        <v>1</v>
      </c>
      <c r="E137">
        <v>0</v>
      </c>
      <c r="F137">
        <v>0.1</v>
      </c>
      <c r="G137" s="2">
        <v>1</v>
      </c>
      <c r="H137" s="2">
        <f t="shared" si="5"/>
        <v>0</v>
      </c>
    </row>
    <row r="138" spans="1:8" x14ac:dyDescent="0.2">
      <c r="A138" t="s">
        <v>69</v>
      </c>
      <c r="B138" t="s">
        <v>70</v>
      </c>
      <c r="C138" s="4">
        <v>2.1</v>
      </c>
      <c r="D138">
        <v>2</v>
      </c>
      <c r="E138">
        <v>0</v>
      </c>
      <c r="F138">
        <v>0.1</v>
      </c>
      <c r="G138" s="2">
        <v>1</v>
      </c>
      <c r="H138" s="2">
        <f t="shared" si="5"/>
        <v>0</v>
      </c>
    </row>
    <row r="139" spans="1:8" x14ac:dyDescent="0.2">
      <c r="A139" t="s">
        <v>69</v>
      </c>
      <c r="B139" t="s">
        <v>70</v>
      </c>
      <c r="C139" s="4">
        <v>2.1</v>
      </c>
      <c r="D139">
        <v>3</v>
      </c>
      <c r="E139">
        <v>0</v>
      </c>
      <c r="F139">
        <v>0.1</v>
      </c>
      <c r="G139" s="2">
        <v>1</v>
      </c>
      <c r="H139" s="2">
        <f t="shared" si="5"/>
        <v>0</v>
      </c>
    </row>
    <row r="140" spans="1:8" x14ac:dyDescent="0.2">
      <c r="A140" t="s">
        <v>71</v>
      </c>
      <c r="B140" t="s">
        <v>70</v>
      </c>
      <c r="C140" s="4">
        <v>2.2000000000000002</v>
      </c>
      <c r="D140">
        <v>1</v>
      </c>
      <c r="E140">
        <v>0</v>
      </c>
      <c r="F140">
        <v>0.1</v>
      </c>
      <c r="G140" s="2">
        <v>1</v>
      </c>
      <c r="H140" s="2">
        <f t="shared" si="5"/>
        <v>0</v>
      </c>
    </row>
    <row r="141" spans="1:8" x14ac:dyDescent="0.2">
      <c r="A141" t="s">
        <v>71</v>
      </c>
      <c r="B141" t="s">
        <v>70</v>
      </c>
      <c r="C141" s="4">
        <v>2.2000000000000002</v>
      </c>
      <c r="D141">
        <v>2</v>
      </c>
      <c r="E141">
        <v>0</v>
      </c>
      <c r="F141">
        <v>0.1</v>
      </c>
      <c r="G141" s="2">
        <v>1</v>
      </c>
      <c r="H141" s="2">
        <f t="shared" si="5"/>
        <v>0</v>
      </c>
    </row>
    <row r="142" spans="1:8" x14ac:dyDescent="0.2">
      <c r="A142" t="s">
        <v>71</v>
      </c>
      <c r="B142" t="s">
        <v>70</v>
      </c>
      <c r="C142" s="4">
        <v>2.2000000000000002</v>
      </c>
      <c r="D142">
        <v>3</v>
      </c>
      <c r="E142">
        <v>0</v>
      </c>
      <c r="F142">
        <v>0.1</v>
      </c>
      <c r="G142" s="2">
        <v>1</v>
      </c>
      <c r="H142" s="2">
        <f t="shared" si="5"/>
        <v>0</v>
      </c>
    </row>
    <row r="143" spans="1:8" x14ac:dyDescent="0.2">
      <c r="A143" t="s">
        <v>72</v>
      </c>
      <c r="B143" t="s">
        <v>70</v>
      </c>
      <c r="C143" s="4">
        <v>2.2999999999999998</v>
      </c>
      <c r="D143">
        <v>1</v>
      </c>
      <c r="E143">
        <v>708</v>
      </c>
      <c r="F143">
        <v>0.1</v>
      </c>
      <c r="G143" s="2">
        <v>100000</v>
      </c>
      <c r="H143" s="2">
        <f t="shared" si="5"/>
        <v>708000000</v>
      </c>
    </row>
    <row r="144" spans="1:8" x14ac:dyDescent="0.2">
      <c r="A144" t="s">
        <v>72</v>
      </c>
      <c r="B144" t="s">
        <v>70</v>
      </c>
      <c r="C144" s="4">
        <v>2.2999999999999998</v>
      </c>
      <c r="D144">
        <v>2</v>
      </c>
      <c r="E144">
        <v>671</v>
      </c>
      <c r="F144">
        <v>0.1</v>
      </c>
      <c r="G144" s="2">
        <v>100000</v>
      </c>
      <c r="H144" s="2">
        <f t="shared" si="5"/>
        <v>671000000</v>
      </c>
    </row>
    <row r="145" spans="1:8" x14ac:dyDescent="0.2">
      <c r="A145" t="s">
        <v>72</v>
      </c>
      <c r="B145" t="s">
        <v>70</v>
      </c>
      <c r="C145" s="4">
        <v>2.2999999999999998</v>
      </c>
      <c r="D145">
        <v>3</v>
      </c>
      <c r="E145">
        <v>737</v>
      </c>
      <c r="F145">
        <v>0.1</v>
      </c>
      <c r="G145" s="2">
        <v>100000</v>
      </c>
      <c r="H145" s="2">
        <f t="shared" si="5"/>
        <v>737000000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D4D2-85CC-D244-9CC6-191E08583A11}">
  <dimension ref="A1:D33"/>
  <sheetViews>
    <sheetView workbookViewId="0">
      <selection activeCell="A2" sqref="A2:B25"/>
    </sheetView>
  </sheetViews>
  <sheetFormatPr baseColWidth="10" defaultRowHeight="16" x14ac:dyDescent="0.2"/>
  <cols>
    <col min="1" max="1" width="13" bestFit="1" customWidth="1"/>
    <col min="2" max="2" width="47.5" bestFit="1" customWidth="1"/>
    <col min="3" max="3" width="12.6640625" bestFit="1" customWidth="1"/>
  </cols>
  <sheetData>
    <row r="1" spans="1:4" x14ac:dyDescent="0.2">
      <c r="A1" s="1" t="s">
        <v>6</v>
      </c>
      <c r="B1" s="1" t="s">
        <v>8</v>
      </c>
      <c r="C1" s="1" t="s">
        <v>0</v>
      </c>
      <c r="D1" s="1" t="s">
        <v>7</v>
      </c>
    </row>
    <row r="2" spans="1:4" x14ac:dyDescent="0.2">
      <c r="A2" t="s">
        <v>9</v>
      </c>
      <c r="B2" t="s">
        <v>10</v>
      </c>
      <c r="C2" s="4">
        <v>1.1000000000000001</v>
      </c>
      <c r="D2">
        <f>0.222-0.083</f>
        <v>0.13900000000000001</v>
      </c>
    </row>
    <row r="3" spans="1:4" x14ac:dyDescent="0.2">
      <c r="A3" t="s">
        <v>11</v>
      </c>
      <c r="B3" t="s">
        <v>10</v>
      </c>
      <c r="C3" s="4">
        <v>1.2</v>
      </c>
      <c r="D3">
        <f>0.197-0.083</f>
        <v>0.114</v>
      </c>
    </row>
    <row r="4" spans="1:4" x14ac:dyDescent="0.2">
      <c r="A4" t="s">
        <v>12</v>
      </c>
      <c r="B4" t="s">
        <v>10</v>
      </c>
      <c r="C4" s="4">
        <v>1.3</v>
      </c>
      <c r="D4">
        <f>0.208-0.083</f>
        <v>0.12499999999999999</v>
      </c>
    </row>
    <row r="5" spans="1:4" x14ac:dyDescent="0.2">
      <c r="A5" t="s">
        <v>25</v>
      </c>
      <c r="B5" t="s">
        <v>28</v>
      </c>
      <c r="C5" s="4">
        <v>2.1</v>
      </c>
      <c r="D5">
        <f>0.182-0.083</f>
        <v>9.8999999999999991E-2</v>
      </c>
    </row>
    <row r="6" spans="1:4" x14ac:dyDescent="0.2">
      <c r="A6" t="s">
        <v>26</v>
      </c>
      <c r="B6" t="s">
        <v>28</v>
      </c>
      <c r="C6" s="4">
        <v>2.2000000000000002</v>
      </c>
      <c r="D6">
        <f>0.187-0.083</f>
        <v>0.104</v>
      </c>
    </row>
    <row r="7" spans="1:4" x14ac:dyDescent="0.2">
      <c r="A7" t="s">
        <v>27</v>
      </c>
      <c r="B7" t="s">
        <v>28</v>
      </c>
      <c r="C7" s="4">
        <v>2.2999999999999998</v>
      </c>
      <c r="D7">
        <f>0.201-0.083</f>
        <v>0.11800000000000001</v>
      </c>
    </row>
    <row r="8" spans="1:4" x14ac:dyDescent="0.2">
      <c r="A8" t="s">
        <v>13</v>
      </c>
      <c r="B8" t="s">
        <v>14</v>
      </c>
      <c r="C8" s="4">
        <v>1.1000000000000001</v>
      </c>
      <c r="D8">
        <f>0.217-0.085</f>
        <v>0.13200000000000001</v>
      </c>
    </row>
    <row r="9" spans="1:4" x14ac:dyDescent="0.2">
      <c r="A9" t="s">
        <v>15</v>
      </c>
      <c r="B9" t="s">
        <v>14</v>
      </c>
      <c r="C9" s="4">
        <v>1.2</v>
      </c>
      <c r="D9">
        <f>0.185-0.085</f>
        <v>9.9999999999999992E-2</v>
      </c>
    </row>
    <row r="10" spans="1:4" x14ac:dyDescent="0.2">
      <c r="A10" t="s">
        <v>16</v>
      </c>
      <c r="B10" t="s">
        <v>14</v>
      </c>
      <c r="C10" s="4">
        <v>1.3</v>
      </c>
      <c r="D10">
        <f>0.226-0.085</f>
        <v>0.14100000000000001</v>
      </c>
    </row>
    <row r="11" spans="1:4" x14ac:dyDescent="0.2">
      <c r="A11" t="s">
        <v>29</v>
      </c>
      <c r="B11" t="s">
        <v>32</v>
      </c>
      <c r="C11" s="4">
        <v>2.1</v>
      </c>
      <c r="D11">
        <f>0.195-0.085</f>
        <v>0.11</v>
      </c>
    </row>
    <row r="12" spans="1:4" x14ac:dyDescent="0.2">
      <c r="A12" t="s">
        <v>30</v>
      </c>
      <c r="B12" t="s">
        <v>32</v>
      </c>
      <c r="C12" s="4">
        <v>2.2000000000000002</v>
      </c>
      <c r="D12">
        <f>0.166-0.085</f>
        <v>8.1000000000000003E-2</v>
      </c>
    </row>
    <row r="13" spans="1:4" x14ac:dyDescent="0.2">
      <c r="A13" t="s">
        <v>31</v>
      </c>
      <c r="B13" t="s">
        <v>32</v>
      </c>
      <c r="C13" s="4">
        <v>2.2999999999999998</v>
      </c>
      <c r="D13">
        <f>0.223-0.085</f>
        <v>0.13800000000000001</v>
      </c>
    </row>
    <row r="14" spans="1:4" x14ac:dyDescent="0.2">
      <c r="A14" t="s">
        <v>17</v>
      </c>
      <c r="B14" t="s">
        <v>18</v>
      </c>
      <c r="C14" s="4">
        <v>1.1000000000000001</v>
      </c>
      <c r="D14">
        <f>0.204-0.086</f>
        <v>0.11799999999999999</v>
      </c>
    </row>
    <row r="15" spans="1:4" x14ac:dyDescent="0.2">
      <c r="A15" t="s">
        <v>19</v>
      </c>
      <c r="B15" t="s">
        <v>18</v>
      </c>
      <c r="C15" s="4">
        <v>1.2</v>
      </c>
      <c r="D15">
        <f>0.24-0.086</f>
        <v>0.154</v>
      </c>
    </row>
    <row r="16" spans="1:4" x14ac:dyDescent="0.2">
      <c r="A16" t="s">
        <v>20</v>
      </c>
      <c r="B16" t="s">
        <v>18</v>
      </c>
      <c r="C16" s="4">
        <v>1.3</v>
      </c>
      <c r="D16">
        <f>0.238-0.086</f>
        <v>0.152</v>
      </c>
    </row>
    <row r="17" spans="1:4" x14ac:dyDescent="0.2">
      <c r="A17" t="s">
        <v>33</v>
      </c>
      <c r="B17" t="s">
        <v>36</v>
      </c>
      <c r="C17" s="4">
        <v>2.1</v>
      </c>
      <c r="D17">
        <f>0.21-0.086</f>
        <v>0.124</v>
      </c>
    </row>
    <row r="18" spans="1:4" x14ac:dyDescent="0.2">
      <c r="A18" t="s">
        <v>34</v>
      </c>
      <c r="B18" t="s">
        <v>36</v>
      </c>
      <c r="C18" s="4">
        <v>2.2000000000000002</v>
      </c>
      <c r="D18">
        <f>0.223-0.086</f>
        <v>0.13700000000000001</v>
      </c>
    </row>
    <row r="19" spans="1:4" x14ac:dyDescent="0.2">
      <c r="A19" t="s">
        <v>35</v>
      </c>
      <c r="B19" t="s">
        <v>36</v>
      </c>
      <c r="C19" s="4">
        <v>2.2999999999999998</v>
      </c>
      <c r="D19">
        <f>0.243-0.086</f>
        <v>0.157</v>
      </c>
    </row>
    <row r="20" spans="1:4" x14ac:dyDescent="0.2">
      <c r="A20" t="s">
        <v>21</v>
      </c>
      <c r="B20" t="s">
        <v>22</v>
      </c>
      <c r="C20" s="4">
        <v>1.1000000000000001</v>
      </c>
      <c r="D20">
        <f>0.157-0.088</f>
        <v>6.9000000000000006E-2</v>
      </c>
    </row>
    <row r="21" spans="1:4" x14ac:dyDescent="0.2">
      <c r="A21" t="s">
        <v>23</v>
      </c>
      <c r="B21" t="s">
        <v>22</v>
      </c>
      <c r="C21" s="4">
        <v>1.2</v>
      </c>
      <c r="D21">
        <f>0.154-0.088</f>
        <v>6.6000000000000003E-2</v>
      </c>
    </row>
    <row r="22" spans="1:4" x14ac:dyDescent="0.2">
      <c r="A22" t="s">
        <v>24</v>
      </c>
      <c r="B22" t="s">
        <v>22</v>
      </c>
      <c r="C22" s="4">
        <v>1.3</v>
      </c>
      <c r="D22">
        <f>0.166-0.088</f>
        <v>7.8000000000000014E-2</v>
      </c>
    </row>
    <row r="23" spans="1:4" x14ac:dyDescent="0.2">
      <c r="A23" t="s">
        <v>37</v>
      </c>
      <c r="B23" t="s">
        <v>40</v>
      </c>
      <c r="C23" s="4">
        <v>2.1</v>
      </c>
      <c r="D23">
        <f>0.211-0.088</f>
        <v>0.123</v>
      </c>
    </row>
    <row r="24" spans="1:4" x14ac:dyDescent="0.2">
      <c r="A24" t="s">
        <v>38</v>
      </c>
      <c r="B24" t="s">
        <v>40</v>
      </c>
      <c r="C24" s="4">
        <v>2.2000000000000002</v>
      </c>
      <c r="D24">
        <f>0.173-0.088</f>
        <v>8.4999999999999992E-2</v>
      </c>
    </row>
    <row r="25" spans="1:4" x14ac:dyDescent="0.2">
      <c r="A25" t="s">
        <v>39</v>
      </c>
      <c r="B25" t="s">
        <v>40</v>
      </c>
      <c r="C25" s="4">
        <v>2.2999999999999998</v>
      </c>
      <c r="D25">
        <f>0.187-0.088</f>
        <v>9.9000000000000005E-2</v>
      </c>
    </row>
    <row r="26" spans="1:4" x14ac:dyDescent="0.2">
      <c r="C26" s="4"/>
    </row>
    <row r="27" spans="1:4" x14ac:dyDescent="0.2">
      <c r="C27" s="4"/>
    </row>
    <row r="28" spans="1:4" x14ac:dyDescent="0.2">
      <c r="C28" s="4"/>
    </row>
    <row r="29" spans="1:4" x14ac:dyDescent="0.2">
      <c r="C29" s="4"/>
    </row>
    <row r="30" spans="1:4" x14ac:dyDescent="0.2">
      <c r="C30" s="4"/>
    </row>
    <row r="31" spans="1:4" x14ac:dyDescent="0.2">
      <c r="C31" s="4"/>
    </row>
    <row r="32" spans="1:4" x14ac:dyDescent="0.2">
      <c r="C32" s="4"/>
    </row>
    <row r="33" spans="3:3" x14ac:dyDescent="0.2">
      <c r="C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Plate_counts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Annika Dejager</cp:lastModifiedBy>
  <dcterms:created xsi:type="dcterms:W3CDTF">2024-05-13T13:10:58Z</dcterms:created>
  <dcterms:modified xsi:type="dcterms:W3CDTF">2026-07-10T15:22:54Z</dcterms:modified>
</cp:coreProperties>
</file>