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nnikadejager/Desktop/EBB Lab/R data/"/>
    </mc:Choice>
  </mc:AlternateContent>
  <xr:revisionPtr revIDLastSave="0" documentId="13_ncr:1_{B19E3B2B-603D-DD48-8F34-C79C5CF326D3}" xr6:coauthVersionLast="47" xr6:coauthVersionMax="47" xr10:uidLastSave="{00000000-0000-0000-0000-000000000000}"/>
  <bookViews>
    <workbookView xWindow="0" yWindow="600" windowWidth="28800" windowHeight="15880" activeTab="1" xr2:uid="{E7DBA7EB-B25C-A34D-9A20-07F3F403641C}"/>
  </bookViews>
  <sheets>
    <sheet name="OD600" sheetId="1" r:id="rId1"/>
    <sheet name="Growth curves" sheetId="3" r:id="rId2"/>
    <sheet name="Growth rates" sheetId="5" r:id="rId3"/>
    <sheet name="Plate count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4" l="1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44" i="3" l="1"/>
  <c r="G45" i="3"/>
  <c r="G46" i="3"/>
  <c r="G43" i="3"/>
  <c r="G42" i="3"/>
  <c r="G41" i="3"/>
  <c r="G40" i="3"/>
  <c r="G39" i="3"/>
  <c r="G38" i="3"/>
  <c r="G21" i="3"/>
  <c r="G20" i="3"/>
  <c r="G22" i="3"/>
  <c r="G19" i="3"/>
  <c r="G18" i="3"/>
  <c r="G17" i="3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2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17" i="4"/>
</calcChain>
</file>

<file path=xl/sharedStrings.xml><?xml version="1.0" encoding="utf-8"?>
<sst xmlns="http://schemas.openxmlformats.org/spreadsheetml/2006/main" count="144" uniqueCount="122">
  <si>
    <t>µM Co2+</t>
  </si>
  <si>
    <t>Replicate</t>
  </si>
  <si>
    <t>OD600</t>
  </si>
  <si>
    <t>Hours elapsed</t>
  </si>
  <si>
    <t>Date</t>
  </si>
  <si>
    <t>Time</t>
  </si>
  <si>
    <t>Sample_name</t>
  </si>
  <si>
    <t>Comment</t>
  </si>
  <si>
    <t>Replicate_number</t>
  </si>
  <si>
    <t>Colony_count</t>
  </si>
  <si>
    <t>Volume_plated_mL</t>
  </si>
  <si>
    <t>Dilution_applied</t>
  </si>
  <si>
    <t>CFU_mL</t>
  </si>
  <si>
    <t>0.1 F-A 32hr</t>
  </si>
  <si>
    <t>2025-12-16_32hr_10%inoc+0µMCo2+_1_F-A</t>
  </si>
  <si>
    <t>0.2 F-A 32hr</t>
  </si>
  <si>
    <t>2025-12-16_32hr_10%inoc+0µMCo2+_2_F-A</t>
  </si>
  <si>
    <t>0.3 F-A 32hr</t>
  </si>
  <si>
    <t>2025-12-16_32hr_10%inoc+0µMCo2+_3_F-A</t>
  </si>
  <si>
    <t>2.1 F-A 32hr</t>
  </si>
  <si>
    <t>2025-12-16_32hr_10%inoc+2µMCo2+_1_F-A</t>
  </si>
  <si>
    <t>2.2 F-A 32hr</t>
  </si>
  <si>
    <t>2025-12-16_32hr_10%inoc+2µMCo2+_2_F-A</t>
  </si>
  <si>
    <t>2.3 F-A 32hr</t>
  </si>
  <si>
    <t>2025-12-16_32hr_10%inoc+2µMCo2+_3_F-A</t>
  </si>
  <si>
    <t>20.1 F-A 32hr</t>
  </si>
  <si>
    <t>2025-12-16_32hr_10%inoc+20µMCo2+_1_F-A</t>
  </si>
  <si>
    <t>20.2 F-A 32hr</t>
  </si>
  <si>
    <t>2025-12-16_32hr_10%inoc+20µMCo2+_2_F-A</t>
  </si>
  <si>
    <t>20.3 F-A 32hr</t>
  </si>
  <si>
    <t>2025-12-16_32hr_10%inoc+20µMCo2+_3_F-A</t>
  </si>
  <si>
    <t>200.1 F-A 32hr</t>
  </si>
  <si>
    <t>2025-12-16_32hr_10%inoc+200µMCo2+_1_F-A</t>
  </si>
  <si>
    <t>200.2 F-A 32hr</t>
  </si>
  <si>
    <t>2025-12-16_32hr_10%inoc+200µMCo2+_2_F-A</t>
  </si>
  <si>
    <t>200.3 F-A 32hr</t>
  </si>
  <si>
    <t>2025-12-16_32hr_10%inoc+200µMCo2+_3_F-A</t>
  </si>
  <si>
    <t>2000.1 F-A 32hr</t>
  </si>
  <si>
    <t>2025-12-16_32hr_10%inoc+2000µMCo2+_1_F-A</t>
  </si>
  <si>
    <t>2000.2 F-A 32hr</t>
  </si>
  <si>
    <t>2025-12-16_32hr_10%inoc+2000µMCo2+_2_F-A</t>
  </si>
  <si>
    <t>2000.3 F-A 32hr</t>
  </si>
  <si>
    <t>2025-12-16_32hr_10%inoc+2000µMCo2+_3_F-A</t>
  </si>
  <si>
    <t>0.1 F-A 0hr</t>
  </si>
  <si>
    <t>0.2 F-A 0hr</t>
  </si>
  <si>
    <t>0.3 F-A 0hr</t>
  </si>
  <si>
    <t>2.1 F-A 0hr</t>
  </si>
  <si>
    <t>2.2 F-A 0hr</t>
  </si>
  <si>
    <t>2.3 F-A 0hr</t>
  </si>
  <si>
    <t>20.1 F-A 0hr</t>
  </si>
  <si>
    <t>20.2 F-A 0hr</t>
  </si>
  <si>
    <t>20.3 F-A 0hr</t>
  </si>
  <si>
    <t>200.1 F-A 0hr</t>
  </si>
  <si>
    <t>200.2 F-A 0hr</t>
  </si>
  <si>
    <t>200.3 F-A 0hr</t>
  </si>
  <si>
    <t>2000.1 F-A 0hr</t>
  </si>
  <si>
    <t>2000.2 F-A 0hr</t>
  </si>
  <si>
    <t>2000.3 F-A 0hr</t>
  </si>
  <si>
    <t>2025-12-16_0hr_10%inoc+0µMCo2+_1_F-A</t>
  </si>
  <si>
    <t>2025-12-16_0hr_10%inoc+0µMCo2+_2_F-A</t>
  </si>
  <si>
    <t>2025-12-16_0hr_10%inoc+0µMCo2+_3_F-A</t>
  </si>
  <si>
    <t>2025-12-16_0hr_10%inoc+2µMCo2+_1_F-A</t>
  </si>
  <si>
    <t>2025-12-16_0hr_10%inoc+2µMCo2+_2_F-A</t>
  </si>
  <si>
    <t>2025-12-16_0hr_10%inoc+2µMCo2+_3_F-A</t>
  </si>
  <si>
    <t>2025-12-16_0hr_10%inoc+20µMCo2+_1_F-A</t>
  </si>
  <si>
    <t>2025-12-16_0hr_10%inoc+20µMCo2+_2_F-A</t>
  </si>
  <si>
    <t>2025-12-16_0hr_10%inoc+20µMCo2+_3_F-A</t>
  </si>
  <si>
    <t>2025-12-16_0hr_10%inoc+200µMCo2+_1_F-A</t>
  </si>
  <si>
    <t>2025-12-16_0hr_10%inoc+200µMCo2+_2_F-A</t>
  </si>
  <si>
    <t>2025-12-16_0hr_10%inoc+200µMCo2+_3_F-A</t>
  </si>
  <si>
    <t>2025-12-16_0hr_10%inoc+2000µMCo2+_1_F-A</t>
  </si>
  <si>
    <t>2025-12-16_0hr_10%inoc+2000µMCo2+_2_F-A</t>
  </si>
  <si>
    <t>2025-12-16_0hr_10%inoc+2000µMCo2+_3_F-A</t>
  </si>
  <si>
    <t>Growth rate (hr^-1)</t>
  </si>
  <si>
    <t>Total Co(2+) recovered (µM)</t>
  </si>
  <si>
    <t>Total_cobalt_recovered_uM</t>
  </si>
  <si>
    <t>Growth_rate</t>
  </si>
  <si>
    <t>2026-04-29_0hr_10%inoc+0µMCo2+_1_F-A</t>
  </si>
  <si>
    <t>2026-04-29_0hr_10%inoc+0µMCo2+_2_F-A</t>
  </si>
  <si>
    <t>2026-04-29_0hr_10%inoc+0µMCo2+_3_F-A</t>
  </si>
  <si>
    <t>2026-04-29_0hr_10%inoc+2µMCo2+_1_F-A</t>
  </si>
  <si>
    <t>2026-04-29_0hr_10%inoc+2µMCo2+_2_F-A</t>
  </si>
  <si>
    <t>2026-04-29_0hr_10%inoc+2µMCo2+_3_F-A</t>
  </si>
  <si>
    <t>2026-04-29_0hr_10%inoc+20µMCo2+_1_F-A</t>
  </si>
  <si>
    <t>2026-04-29_0hr_10%inoc+20µMCo2+_2_F-A</t>
  </si>
  <si>
    <t>2026-04-29_0hr_10%inoc+20µMCo2+_3_F-A</t>
  </si>
  <si>
    <t>2026-04-29_0hr_10%inoc+200µMCo2+_1_F-A</t>
  </si>
  <si>
    <t>2026-04-29_0hr_10%inoc+200µMCo2+_2_F-A</t>
  </si>
  <si>
    <t>2026-04-29_hr_10%inoc+200µMCo2+_3_F-A</t>
  </si>
  <si>
    <t>2026-04-29_0hr_10%inoc+2000µMCo2+_1_F-A</t>
  </si>
  <si>
    <t>2026-04-29_0hr_10%inoc+2000µMCo2+_2_F-A</t>
  </si>
  <si>
    <t>2026-04-29_0hr_10%inoc+2000µMCo2+_3_F-A</t>
  </si>
  <si>
    <t>0.1 F-A 48hr</t>
  </si>
  <si>
    <t>2026-05-01_48hr_10%inoc+0µMCo2+_1_F-A</t>
  </si>
  <si>
    <t>0.2 F-A 48hr</t>
  </si>
  <si>
    <t>2026-05-01_48hr_10%inoc+0µMCo2+_2_F-A</t>
  </si>
  <si>
    <t>0.3 F-A 48hr</t>
  </si>
  <si>
    <t>2026-05-01_48hr_10%inoc+0µMCo2+_3_F-A</t>
  </si>
  <si>
    <t>2.1 F-A 48hr</t>
  </si>
  <si>
    <t>2026-05-01_48hr_10%inoc+2µMCo2+_1_F-A</t>
  </si>
  <si>
    <t>2.2 F-A 48hr</t>
  </si>
  <si>
    <t>2026-05-01_48hr_10%inoc+2µMCo2+_2_F-A</t>
  </si>
  <si>
    <t>2.3 F-A 48hr</t>
  </si>
  <si>
    <t>2026-05-01_48hr_10%inoc+2µMCo2+_3_F-A</t>
  </si>
  <si>
    <t>20.1 F-A 48hr</t>
  </si>
  <si>
    <t>2026-05-01_48hr_10%inoc+20µMCo2+_1_F-A</t>
  </si>
  <si>
    <t>20.2 F-A 48hr</t>
  </si>
  <si>
    <t>2026-05-01_48hr_10%inoc+20µMCo2+_2_F-A</t>
  </si>
  <si>
    <t>20.3 F-A 48hr</t>
  </si>
  <si>
    <t>2026-05-01_48hr_10%inoc+20µMCo2+_3_F-A</t>
  </si>
  <si>
    <t>200.1 F-A 48hr</t>
  </si>
  <si>
    <t>2026-05-01_48hr_10%inoc+200µMCo2+_1_F-A</t>
  </si>
  <si>
    <t>200.2 F-A 48hr</t>
  </si>
  <si>
    <t>2026-05-01_48hr_10%inoc+200µMCo2+_2_F-A</t>
  </si>
  <si>
    <t>200.3 F-A 48hr</t>
  </si>
  <si>
    <t>2026-05-01_48hr_10%inoc+200µMCo2+_3_F-A</t>
  </si>
  <si>
    <t>2000.1 F-A 48hr</t>
  </si>
  <si>
    <t>2026-05-01_48hr_10%inoc+2000µMCo2+_1_F-A</t>
  </si>
  <si>
    <t>2000.2 F-A 48hr</t>
  </si>
  <si>
    <t>2026-05-01_48hr_10%inoc+2000µMCo2+_2_F-A</t>
  </si>
  <si>
    <t>2000.3 F-A 48hr</t>
  </si>
  <si>
    <t>2026-05-01_48hr_10%inoc+2000µMCo2+_3_F-A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</si>
</sst>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11" fontId="1" fillId="0" borderId="0" xfId="0" applyNumberFormat="1" applyFont="1"/>
    <xf numFmtId="11" fontId="0" fillId="0" borderId="0" xfId="0" applyNumberForma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v>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('Growth curves'!$C$2:$C$4,'Growth curves'!$C$17:$C$19,'Growth curves'!$C$32:$C$34,'Growth curves'!$C$47:$C$49,'Growth curves'!$C$62:$C$64,'Growth curves'!$C$77:$C$79,'Growth curves'!$C$92:$C$94,'Growth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49.5</c:v>
                </c:pt>
                <c:pt idx="19">
                  <c:v>49.5</c:v>
                </c:pt>
                <c:pt idx="20">
                  <c:v>49.5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</c:numCache>
            </c:numRef>
          </c:xVal>
          <c:yVal>
            <c:numRef>
              <c:f>('Growth curves'!$F$2:$F$4,'Growth curves'!$F$17:$F$19,'Growth curves'!$F$32:$F$34,'Growth curves'!$F$47:$F$49,'Growth curves'!$F$62:$F$64,'Growth curves'!$F$77:$F$79,'Growth curves'!$F$92:$F$94,'Growth curves'!$F$107:$F$109)</c:f>
              <c:numCache>
                <c:formatCode>General</c:formatCode>
                <c:ptCount val="24"/>
                <c:pt idx="0">
                  <c:v>0.40799999999999997</c:v>
                </c:pt>
                <c:pt idx="1">
                  <c:v>0.40799999999999997</c:v>
                </c:pt>
                <c:pt idx="2">
                  <c:v>0.40200000000000002</c:v>
                </c:pt>
                <c:pt idx="3">
                  <c:v>1.651</c:v>
                </c:pt>
                <c:pt idx="4">
                  <c:v>1.7010000000000001</c:v>
                </c:pt>
                <c:pt idx="5">
                  <c:v>1.6819999999999999</c:v>
                </c:pt>
                <c:pt idx="6">
                  <c:v>2.2360000000000002</c:v>
                </c:pt>
                <c:pt idx="7">
                  <c:v>2.2240000000000002</c:v>
                </c:pt>
                <c:pt idx="8">
                  <c:v>2.2250000000000001</c:v>
                </c:pt>
                <c:pt idx="9">
                  <c:v>2.0720000000000001</c:v>
                </c:pt>
                <c:pt idx="10">
                  <c:v>2.06</c:v>
                </c:pt>
                <c:pt idx="11">
                  <c:v>2.077</c:v>
                </c:pt>
                <c:pt idx="12">
                  <c:v>2.0499999999999998</c:v>
                </c:pt>
                <c:pt idx="13">
                  <c:v>2.0539999999999998</c:v>
                </c:pt>
                <c:pt idx="14">
                  <c:v>2.0630000000000002</c:v>
                </c:pt>
                <c:pt idx="15">
                  <c:v>2.0470000000000002</c:v>
                </c:pt>
                <c:pt idx="16">
                  <c:v>2.036</c:v>
                </c:pt>
                <c:pt idx="17">
                  <c:v>2.0419999999999998</c:v>
                </c:pt>
                <c:pt idx="18">
                  <c:v>1.998</c:v>
                </c:pt>
                <c:pt idx="19">
                  <c:v>1.9990000000000001</c:v>
                </c:pt>
                <c:pt idx="20">
                  <c:v>1.9850000000000001</c:v>
                </c:pt>
                <c:pt idx="21">
                  <c:v>1.9870000000000001</c:v>
                </c:pt>
                <c:pt idx="22">
                  <c:v>2</c:v>
                </c:pt>
                <c:pt idx="23">
                  <c:v>1.9870000000000001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B0-824B-80B3-A5BE7269F2A0}"/>
            </c:ext>
          </c:extLst>
        </c:ser>
        <c:ser>
          <c:idx val="0"/>
          <c:order val="1"/>
          <c:tx>
            <c:v>2µM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('Growth curves'!$C$2:$C$4,'Growth curves'!$C$17:$C$19,'Growth curves'!$C$32:$C$34,'Growth curves'!$C$47:$C$49,'Growth curves'!$C$62:$C$64,'Growth curves'!$C$77:$C$79,'Growth curves'!$C$92:$C$94,'Growth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49.5</c:v>
                </c:pt>
                <c:pt idx="19">
                  <c:v>49.5</c:v>
                </c:pt>
                <c:pt idx="20">
                  <c:v>49.5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</c:numCache>
            </c:numRef>
          </c:xVal>
          <c:yVal>
            <c:numRef>
              <c:f>('Growth curves'!$F$5:$F$7,'Growth curves'!$F$20:$F$22,'Growth curves'!$F$35:$F$37,'Growth curves'!$F$50:$F$52,'Growth curves'!$F$65:$F$67,'Growth curves'!$F$80:$F$82,'Growth curves'!$F$95:$F$97,'Growth curves'!$F$110:$F$112)</c:f>
              <c:numCache>
                <c:formatCode>General</c:formatCode>
                <c:ptCount val="24"/>
                <c:pt idx="0">
                  <c:v>0.39700000000000002</c:v>
                </c:pt>
                <c:pt idx="1">
                  <c:v>0.40300000000000002</c:v>
                </c:pt>
                <c:pt idx="2">
                  <c:v>0.41699999999999998</c:v>
                </c:pt>
                <c:pt idx="3">
                  <c:v>1.657</c:v>
                </c:pt>
                <c:pt idx="4">
                  <c:v>1.6539999999999999</c:v>
                </c:pt>
                <c:pt idx="5">
                  <c:v>1.667</c:v>
                </c:pt>
                <c:pt idx="6">
                  <c:v>2.2240000000000002</c:v>
                </c:pt>
                <c:pt idx="7">
                  <c:v>2.2040000000000002</c:v>
                </c:pt>
                <c:pt idx="8">
                  <c:v>2.198</c:v>
                </c:pt>
                <c:pt idx="9">
                  <c:v>2.1040000000000001</c:v>
                </c:pt>
                <c:pt idx="10">
                  <c:v>2.0659999999999998</c:v>
                </c:pt>
                <c:pt idx="11">
                  <c:v>2.0459999999999998</c:v>
                </c:pt>
                <c:pt idx="12">
                  <c:v>2.0830000000000002</c:v>
                </c:pt>
                <c:pt idx="13">
                  <c:v>2.0510000000000002</c:v>
                </c:pt>
                <c:pt idx="14">
                  <c:v>2.028</c:v>
                </c:pt>
                <c:pt idx="15">
                  <c:v>2.073</c:v>
                </c:pt>
                <c:pt idx="16">
                  <c:v>2.04</c:v>
                </c:pt>
                <c:pt idx="17">
                  <c:v>2.0099999999999998</c:v>
                </c:pt>
                <c:pt idx="18">
                  <c:v>2.0249999999999999</c:v>
                </c:pt>
                <c:pt idx="19">
                  <c:v>1.9890000000000001</c:v>
                </c:pt>
                <c:pt idx="20">
                  <c:v>1.982</c:v>
                </c:pt>
                <c:pt idx="21">
                  <c:v>2.0219999999999998</c:v>
                </c:pt>
                <c:pt idx="22">
                  <c:v>1.984</c:v>
                </c:pt>
                <c:pt idx="23">
                  <c:v>1.9810000000000001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B0-824B-80B3-A5BE7269F2A0}"/>
            </c:ext>
          </c:extLst>
        </c:ser>
        <c:ser>
          <c:idx val="1"/>
          <c:order val="2"/>
          <c:tx>
            <c:v>20µM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('Growth curves'!$C$2:$C$4,'Growth curves'!$C$17:$C$19,'Growth curves'!$C$32:$C$34,'Growth curves'!$C$47:$C$49,'Growth curves'!$C$62:$C$64,'Growth curves'!$C$77:$C$79,'Growth curves'!$C$92:$C$94,'Growth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49.5</c:v>
                </c:pt>
                <c:pt idx="19">
                  <c:v>49.5</c:v>
                </c:pt>
                <c:pt idx="20">
                  <c:v>49.5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</c:numCache>
            </c:numRef>
          </c:xVal>
          <c:yVal>
            <c:numRef>
              <c:f>('Growth curves'!$F$8:$F$10,'Growth curves'!$F$23:$F$25,'Growth curves'!$F$38:$F$40,'Growth curves'!$F$53:$F$55,'Growth curves'!$F$68:$F$70,'Growth curves'!$F$83:$F$85,'Growth curves'!$F$98:$F$100,'Growth curves'!$F$113:$F$115)</c:f>
              <c:numCache>
                <c:formatCode>General</c:formatCode>
                <c:ptCount val="24"/>
                <c:pt idx="0">
                  <c:v>0.40100000000000002</c:v>
                </c:pt>
                <c:pt idx="1">
                  <c:v>0.40899999999999997</c:v>
                </c:pt>
                <c:pt idx="2">
                  <c:v>0.39800000000000002</c:v>
                </c:pt>
                <c:pt idx="3">
                  <c:v>0.875</c:v>
                </c:pt>
                <c:pt idx="4">
                  <c:v>0.81100000000000005</c:v>
                </c:pt>
                <c:pt idx="5">
                  <c:v>0.81499999999999995</c:v>
                </c:pt>
                <c:pt idx="6">
                  <c:v>1.46</c:v>
                </c:pt>
                <c:pt idx="7">
                  <c:v>1.363</c:v>
                </c:pt>
                <c:pt idx="8">
                  <c:v>1.369</c:v>
                </c:pt>
                <c:pt idx="9">
                  <c:v>1.956</c:v>
                </c:pt>
                <c:pt idx="10">
                  <c:v>1.98</c:v>
                </c:pt>
                <c:pt idx="11">
                  <c:v>1.9870000000000001</c:v>
                </c:pt>
                <c:pt idx="12">
                  <c:v>1.9359999999999999</c:v>
                </c:pt>
                <c:pt idx="13">
                  <c:v>1.9330000000000001</c:v>
                </c:pt>
                <c:pt idx="14">
                  <c:v>1.9379999999999999</c:v>
                </c:pt>
                <c:pt idx="15">
                  <c:v>1.9079999999999999</c:v>
                </c:pt>
                <c:pt idx="16">
                  <c:v>1.915</c:v>
                </c:pt>
                <c:pt idx="17">
                  <c:v>1.9139999999999999</c:v>
                </c:pt>
                <c:pt idx="18">
                  <c:v>1.8779999999999999</c:v>
                </c:pt>
                <c:pt idx="19">
                  <c:v>1.857</c:v>
                </c:pt>
                <c:pt idx="20">
                  <c:v>1.8660000000000001</c:v>
                </c:pt>
                <c:pt idx="21">
                  <c:v>1.901</c:v>
                </c:pt>
                <c:pt idx="22">
                  <c:v>1.845</c:v>
                </c:pt>
                <c:pt idx="23">
                  <c:v>1.877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B0-824B-80B3-A5BE7269F2A0}"/>
            </c:ext>
          </c:extLst>
        </c:ser>
        <c:ser>
          <c:idx val="2"/>
          <c:order val="3"/>
          <c:tx>
            <c:v>200µM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('Growth curves'!$C$2:$C$4,'Growth curves'!$C$17:$C$19,'Growth curves'!$C$32:$C$34,'Growth curves'!$C$47:$C$49,'Growth curves'!$C$62:$C$64,'Growth curves'!$C$77:$C$79,'Growth curves'!$C$92:$C$94,'Growth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49.5</c:v>
                </c:pt>
                <c:pt idx="19">
                  <c:v>49.5</c:v>
                </c:pt>
                <c:pt idx="20">
                  <c:v>49.5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</c:numCache>
            </c:numRef>
          </c:xVal>
          <c:yVal>
            <c:numRef>
              <c:f>('Growth curves'!$F$11:$F$13,'Growth curves'!$F$26:$F$28,'Growth curves'!$F$41:$F$43,'Growth curves'!$F$56:$F$58,'Growth curves'!$F$71:$F$73,'Growth curves'!$F$86:$F$88,'Growth curves'!$F$101:$F$103,'Growth curves'!$F$116:$F$118)</c:f>
              <c:numCache>
                <c:formatCode>General</c:formatCode>
                <c:ptCount val="24"/>
                <c:pt idx="0">
                  <c:v>0.41299999999999998</c:v>
                </c:pt>
                <c:pt idx="1">
                  <c:v>0.39500000000000002</c:v>
                </c:pt>
                <c:pt idx="2">
                  <c:v>0.41799999999999998</c:v>
                </c:pt>
                <c:pt idx="3">
                  <c:v>0.47399999999999998</c:v>
                </c:pt>
                <c:pt idx="4">
                  <c:v>0.47199999999999998</c:v>
                </c:pt>
                <c:pt idx="5">
                  <c:v>0.47399999999999998</c:v>
                </c:pt>
                <c:pt idx="6">
                  <c:v>0.48799999999999999</c:v>
                </c:pt>
                <c:pt idx="7">
                  <c:v>0.48599999999999999</c:v>
                </c:pt>
                <c:pt idx="8">
                  <c:v>0.47799999999999998</c:v>
                </c:pt>
                <c:pt idx="9">
                  <c:v>0.47699999999999998</c:v>
                </c:pt>
                <c:pt idx="10">
                  <c:v>0.48099999999999998</c:v>
                </c:pt>
                <c:pt idx="11">
                  <c:v>0.47599999999999998</c:v>
                </c:pt>
                <c:pt idx="12">
                  <c:v>0.46600000000000003</c:v>
                </c:pt>
                <c:pt idx="13">
                  <c:v>0.47499999999999998</c:v>
                </c:pt>
                <c:pt idx="14">
                  <c:v>0.46600000000000003</c:v>
                </c:pt>
                <c:pt idx="15">
                  <c:v>0.438</c:v>
                </c:pt>
                <c:pt idx="16">
                  <c:v>0.46700000000000003</c:v>
                </c:pt>
                <c:pt idx="17">
                  <c:v>0.439</c:v>
                </c:pt>
                <c:pt idx="18">
                  <c:v>0.41899999999999998</c:v>
                </c:pt>
                <c:pt idx="19">
                  <c:v>0.42299999999999999</c:v>
                </c:pt>
                <c:pt idx="20">
                  <c:v>0.42</c:v>
                </c:pt>
                <c:pt idx="21">
                  <c:v>0.41599999999999998</c:v>
                </c:pt>
                <c:pt idx="22">
                  <c:v>0.41699999999999998</c:v>
                </c:pt>
                <c:pt idx="23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B0-824B-80B3-A5BE7269F2A0}"/>
            </c:ext>
          </c:extLst>
        </c:ser>
        <c:ser>
          <c:idx val="4"/>
          <c:order val="4"/>
          <c:tx>
            <c:v>2000µM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('Growth curves'!$C$2:$C$4,'Growth curves'!$C$17:$C$19,'Growth curves'!$C$32:$C$34,'Growth curves'!$C$47:$C$49,'Growth curves'!$C$62:$C$64,'Growth curves'!$C$77:$C$79,'Growth curves'!$C$92:$C$94,'Growth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49.5</c:v>
                </c:pt>
                <c:pt idx="19">
                  <c:v>49.5</c:v>
                </c:pt>
                <c:pt idx="20">
                  <c:v>49.5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</c:numCache>
            </c:numRef>
          </c:xVal>
          <c:yVal>
            <c:numRef>
              <c:f>('Growth curves'!$F$14:$F$16,'Growth curves'!$F$29:$F$31,'Growth curves'!$F$44:$F$46,'Growth curves'!$F$59:$F$61,'Growth curves'!$F$74:$F$76,'Growth curves'!$F$89:$F$91,'Growth curves'!$F$104:$F$106,'Growth curves'!$F$119:$F$121)</c:f>
              <c:numCache>
                <c:formatCode>General</c:formatCode>
                <c:ptCount val="24"/>
                <c:pt idx="0">
                  <c:v>0.40100000000000002</c:v>
                </c:pt>
                <c:pt idx="1">
                  <c:v>0.41599999999999998</c:v>
                </c:pt>
                <c:pt idx="2">
                  <c:v>0.41799999999999998</c:v>
                </c:pt>
                <c:pt idx="3">
                  <c:v>0.53</c:v>
                </c:pt>
                <c:pt idx="4">
                  <c:v>0.42099999999999999</c:v>
                </c:pt>
                <c:pt idx="5">
                  <c:v>0.44</c:v>
                </c:pt>
                <c:pt idx="6">
                  <c:v>0.6</c:v>
                </c:pt>
                <c:pt idx="7">
                  <c:v>0.5</c:v>
                </c:pt>
                <c:pt idx="8">
                  <c:v>0.434</c:v>
                </c:pt>
                <c:pt idx="9">
                  <c:v>0.60699999999999998</c:v>
                </c:pt>
                <c:pt idx="10">
                  <c:v>0.52400000000000002</c:v>
                </c:pt>
                <c:pt idx="11">
                  <c:v>0.437</c:v>
                </c:pt>
                <c:pt idx="12">
                  <c:v>0.60599999999999998</c:v>
                </c:pt>
                <c:pt idx="13">
                  <c:v>0.48599999999999999</c:v>
                </c:pt>
                <c:pt idx="14">
                  <c:v>0.41599999999999998</c:v>
                </c:pt>
                <c:pt idx="15">
                  <c:v>0.52800000000000002</c:v>
                </c:pt>
                <c:pt idx="16">
                  <c:v>0.44600000000000001</c:v>
                </c:pt>
                <c:pt idx="17">
                  <c:v>0.39700000000000002</c:v>
                </c:pt>
                <c:pt idx="18">
                  <c:v>0.44</c:v>
                </c:pt>
                <c:pt idx="19">
                  <c:v>0.39200000000000002</c:v>
                </c:pt>
                <c:pt idx="20">
                  <c:v>0.40500000000000003</c:v>
                </c:pt>
                <c:pt idx="21">
                  <c:v>0.41099999999999998</c:v>
                </c:pt>
                <c:pt idx="22">
                  <c:v>0.38300000000000001</c:v>
                </c:pt>
                <c:pt idx="23">
                  <c:v>0.39900000000000002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2B0-824B-80B3-A5BE7269F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879039"/>
        <c:axId val="762476767"/>
      </c:scatterChart>
      <c:valAx>
        <c:axId val="1158879039"/>
        <c:scaling>
          <c:orientation val="minMax"/>
          <c:max val="6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76767"/>
        <c:crosses val="autoZero"/>
        <c:crossBetween val="midCat"/>
      </c:valAx>
      <c:valAx>
        <c:axId val="762476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879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v>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868951950669857"/>
                  <c:y val="6.82739715946721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curves'!$F$2:$F$4,'Growth curves'!$F$17:$F$19,'Growth curves'!$F$32:$F$34)</c:f>
              <c:numCache>
                <c:formatCode>General</c:formatCode>
                <c:ptCount val="9"/>
                <c:pt idx="0">
                  <c:v>0.40799999999999997</c:v>
                </c:pt>
                <c:pt idx="1">
                  <c:v>0.40799999999999997</c:v>
                </c:pt>
                <c:pt idx="2">
                  <c:v>0.40200000000000002</c:v>
                </c:pt>
                <c:pt idx="3">
                  <c:v>1.651</c:v>
                </c:pt>
                <c:pt idx="4">
                  <c:v>1.7010000000000001</c:v>
                </c:pt>
                <c:pt idx="5">
                  <c:v>1.6819999999999999</c:v>
                </c:pt>
                <c:pt idx="6">
                  <c:v>2.2360000000000002</c:v>
                </c:pt>
                <c:pt idx="7">
                  <c:v>2.2240000000000002</c:v>
                </c:pt>
                <c:pt idx="8">
                  <c:v>2.2250000000000001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90-1040-967F-46953A75BDD2}"/>
            </c:ext>
          </c:extLst>
        </c:ser>
        <c:ser>
          <c:idx val="0"/>
          <c:order val="1"/>
          <c:tx>
            <c:v>2µM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594415231383654"/>
                  <c:y val="9.24310103760394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curves'!$F$5:$F$7,'Growth curves'!$F$20:$F$22,'Growth curves'!$F$35:$F$37)</c:f>
              <c:numCache>
                <c:formatCode>General</c:formatCode>
                <c:ptCount val="9"/>
                <c:pt idx="0">
                  <c:v>0.39700000000000002</c:v>
                </c:pt>
                <c:pt idx="1">
                  <c:v>0.40300000000000002</c:v>
                </c:pt>
                <c:pt idx="2">
                  <c:v>0.41699999999999998</c:v>
                </c:pt>
                <c:pt idx="3">
                  <c:v>1.657</c:v>
                </c:pt>
                <c:pt idx="4">
                  <c:v>1.6539999999999999</c:v>
                </c:pt>
                <c:pt idx="5">
                  <c:v>1.667</c:v>
                </c:pt>
                <c:pt idx="6">
                  <c:v>2.2240000000000002</c:v>
                </c:pt>
                <c:pt idx="7">
                  <c:v>2.2040000000000002</c:v>
                </c:pt>
                <c:pt idx="8">
                  <c:v>2.198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90-1040-967F-46953A75BDD2}"/>
            </c:ext>
          </c:extLst>
        </c:ser>
        <c:ser>
          <c:idx val="1"/>
          <c:order val="2"/>
          <c:tx>
            <c:v>20µM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34173827419626"/>
                  <c:y val="-4.808095289287837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curves'!$F$8:$F$10,'Growth curves'!$F$23:$F$25,'Growth curves'!$F$38:$F$40)</c:f>
              <c:numCache>
                <c:formatCode>General</c:formatCode>
                <c:ptCount val="9"/>
                <c:pt idx="0">
                  <c:v>0.40100000000000002</c:v>
                </c:pt>
                <c:pt idx="1">
                  <c:v>0.40899999999999997</c:v>
                </c:pt>
                <c:pt idx="2">
                  <c:v>0.39800000000000002</c:v>
                </c:pt>
                <c:pt idx="3">
                  <c:v>0.875</c:v>
                </c:pt>
                <c:pt idx="4">
                  <c:v>0.81100000000000005</c:v>
                </c:pt>
                <c:pt idx="5">
                  <c:v>0.81499999999999995</c:v>
                </c:pt>
                <c:pt idx="6">
                  <c:v>1.46</c:v>
                </c:pt>
                <c:pt idx="7">
                  <c:v>1.363</c:v>
                </c:pt>
                <c:pt idx="8">
                  <c:v>1.369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90-1040-967F-46953A75BDD2}"/>
            </c:ext>
          </c:extLst>
        </c:ser>
        <c:ser>
          <c:idx val="2"/>
          <c:order val="3"/>
          <c:tx>
            <c:v>200µM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67828217847355"/>
                  <c:y val="-6.97108130057080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curves'!$F$11:$F$13,'Growth curves'!$F$26:$F$28,'Growth curves'!$F$41:$F$43)</c:f>
              <c:numCache>
                <c:formatCode>General</c:formatCode>
                <c:ptCount val="9"/>
                <c:pt idx="0">
                  <c:v>0.41299999999999998</c:v>
                </c:pt>
                <c:pt idx="1">
                  <c:v>0.39500000000000002</c:v>
                </c:pt>
                <c:pt idx="2">
                  <c:v>0.41799999999999998</c:v>
                </c:pt>
                <c:pt idx="3">
                  <c:v>0.47399999999999998</c:v>
                </c:pt>
                <c:pt idx="4">
                  <c:v>0.47199999999999998</c:v>
                </c:pt>
                <c:pt idx="5">
                  <c:v>0.47399999999999998</c:v>
                </c:pt>
                <c:pt idx="6">
                  <c:v>0.48799999999999999</c:v>
                </c:pt>
                <c:pt idx="7">
                  <c:v>0.48599999999999999</c:v>
                </c:pt>
                <c:pt idx="8">
                  <c:v>0.47799999999999998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C90-1040-967F-46953A75BDD2}"/>
            </c:ext>
          </c:extLst>
        </c:ser>
        <c:ser>
          <c:idx val="4"/>
          <c:order val="4"/>
          <c:tx>
            <c:v>2000µM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930873189672901"/>
                  <c:y val="1.44664735040365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curves'!$F$14:$F$16,'Growth curves'!$F$29:$F$31,'Growth curves'!$F$44:$F$46)</c:f>
              <c:numCache>
                <c:formatCode>General</c:formatCode>
                <c:ptCount val="9"/>
                <c:pt idx="0">
                  <c:v>0.40100000000000002</c:v>
                </c:pt>
                <c:pt idx="1">
                  <c:v>0.41599999999999998</c:v>
                </c:pt>
                <c:pt idx="2">
                  <c:v>0.41799999999999998</c:v>
                </c:pt>
                <c:pt idx="3">
                  <c:v>0.53</c:v>
                </c:pt>
                <c:pt idx="4">
                  <c:v>0.42099999999999999</c:v>
                </c:pt>
                <c:pt idx="5">
                  <c:v>0.44</c:v>
                </c:pt>
                <c:pt idx="6">
                  <c:v>0.6</c:v>
                </c:pt>
                <c:pt idx="7">
                  <c:v>0.5</c:v>
                </c:pt>
                <c:pt idx="8">
                  <c:v>0.434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C90-1040-967F-46953A75B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879039"/>
        <c:axId val="762476767"/>
      </c:scatterChart>
      <c:valAx>
        <c:axId val="1158879039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76767"/>
        <c:crosses val="autoZero"/>
        <c:crossBetween val="midCat"/>
      </c:valAx>
      <c:valAx>
        <c:axId val="762476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879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v>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868951950669857"/>
                  <c:y val="6.82739715946721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xVal>
          <c:yVal>
            <c:numRef>
              <c:f>('Growth curves'!$F$2:$F$4,'Growth curves'!$F$17:$F$19)</c:f>
              <c:numCache>
                <c:formatCode>General</c:formatCode>
                <c:ptCount val="6"/>
                <c:pt idx="0">
                  <c:v>0.40799999999999997</c:v>
                </c:pt>
                <c:pt idx="1">
                  <c:v>0.40799999999999997</c:v>
                </c:pt>
                <c:pt idx="2">
                  <c:v>0.40200000000000002</c:v>
                </c:pt>
                <c:pt idx="3">
                  <c:v>1.651</c:v>
                </c:pt>
                <c:pt idx="4">
                  <c:v>1.7010000000000001</c:v>
                </c:pt>
                <c:pt idx="5">
                  <c:v>1.6819999999999999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21-6F44-A29B-5A9ABA05607B}"/>
            </c:ext>
          </c:extLst>
        </c:ser>
        <c:ser>
          <c:idx val="0"/>
          <c:order val="1"/>
          <c:tx>
            <c:v>2µM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594415231383654"/>
                  <c:y val="9.24310103760394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xVal>
          <c:yVal>
            <c:numRef>
              <c:f>('Growth curves'!$F$5:$F$7,'Growth curves'!$F$20:$F$22)</c:f>
              <c:numCache>
                <c:formatCode>General</c:formatCode>
                <c:ptCount val="6"/>
                <c:pt idx="0">
                  <c:v>0.39700000000000002</c:v>
                </c:pt>
                <c:pt idx="1">
                  <c:v>0.40300000000000002</c:v>
                </c:pt>
                <c:pt idx="2">
                  <c:v>0.41699999999999998</c:v>
                </c:pt>
                <c:pt idx="3">
                  <c:v>1.657</c:v>
                </c:pt>
                <c:pt idx="4">
                  <c:v>1.6539999999999999</c:v>
                </c:pt>
                <c:pt idx="5">
                  <c:v>1.667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21-6F44-A29B-5A9ABA05607B}"/>
            </c:ext>
          </c:extLst>
        </c:ser>
        <c:ser>
          <c:idx val="1"/>
          <c:order val="2"/>
          <c:tx>
            <c:v>20µM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34173827419626"/>
                  <c:y val="-4.808095289287837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curves'!$F$8:$F$10,'Growth curves'!$F$23:$F$25,'Growth curves'!$F$38:$F$40)</c:f>
              <c:numCache>
                <c:formatCode>General</c:formatCode>
                <c:ptCount val="9"/>
                <c:pt idx="0">
                  <c:v>0.40100000000000002</c:v>
                </c:pt>
                <c:pt idx="1">
                  <c:v>0.40899999999999997</c:v>
                </c:pt>
                <c:pt idx="2">
                  <c:v>0.39800000000000002</c:v>
                </c:pt>
                <c:pt idx="3">
                  <c:v>0.875</c:v>
                </c:pt>
                <c:pt idx="4">
                  <c:v>0.81100000000000005</c:v>
                </c:pt>
                <c:pt idx="5">
                  <c:v>0.81499999999999995</c:v>
                </c:pt>
                <c:pt idx="6">
                  <c:v>1.46</c:v>
                </c:pt>
                <c:pt idx="7">
                  <c:v>1.363</c:v>
                </c:pt>
                <c:pt idx="8">
                  <c:v>1.369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021-6F44-A29B-5A9ABA05607B}"/>
            </c:ext>
          </c:extLst>
        </c:ser>
        <c:ser>
          <c:idx val="2"/>
          <c:order val="3"/>
          <c:tx>
            <c:v>200µM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67828217847355"/>
                  <c:y val="-6.97108130057080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curves'!$F$11:$F$13,'Growth curves'!$F$26:$F$28,'Growth curves'!$F$41:$F$43)</c:f>
              <c:numCache>
                <c:formatCode>General</c:formatCode>
                <c:ptCount val="9"/>
                <c:pt idx="0">
                  <c:v>0.41299999999999998</c:v>
                </c:pt>
                <c:pt idx="1">
                  <c:v>0.39500000000000002</c:v>
                </c:pt>
                <c:pt idx="2">
                  <c:v>0.41799999999999998</c:v>
                </c:pt>
                <c:pt idx="3">
                  <c:v>0.47399999999999998</c:v>
                </c:pt>
                <c:pt idx="4">
                  <c:v>0.47199999999999998</c:v>
                </c:pt>
                <c:pt idx="5">
                  <c:v>0.47399999999999998</c:v>
                </c:pt>
                <c:pt idx="6">
                  <c:v>0.48799999999999999</c:v>
                </c:pt>
                <c:pt idx="7">
                  <c:v>0.48599999999999999</c:v>
                </c:pt>
                <c:pt idx="8">
                  <c:v>0.47799999999999998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021-6F44-A29B-5A9ABA05607B}"/>
            </c:ext>
          </c:extLst>
        </c:ser>
        <c:ser>
          <c:idx val="4"/>
          <c:order val="4"/>
          <c:tx>
            <c:v>2000µM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930873189672901"/>
                  <c:y val="1.44664735040365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('Growth curves'!$C$2:$C$4,'Growth curves'!$C$17:$C$19,'Growth curves'!$C$32:$C$34)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</c:numCache>
            </c:numRef>
          </c:xVal>
          <c:yVal>
            <c:numRef>
              <c:f>('Growth curves'!$F$14:$F$16,'Growth curves'!$F$29:$F$31,'Growth curves'!$F$44:$F$46)</c:f>
              <c:numCache>
                <c:formatCode>General</c:formatCode>
                <c:ptCount val="9"/>
                <c:pt idx="0">
                  <c:v>0.40100000000000002</c:v>
                </c:pt>
                <c:pt idx="1">
                  <c:v>0.41599999999999998</c:v>
                </c:pt>
                <c:pt idx="2">
                  <c:v>0.41799999999999998</c:v>
                </c:pt>
                <c:pt idx="3">
                  <c:v>0.53</c:v>
                </c:pt>
                <c:pt idx="4">
                  <c:v>0.42099999999999999</c:v>
                </c:pt>
                <c:pt idx="5">
                  <c:v>0.44</c:v>
                </c:pt>
                <c:pt idx="6">
                  <c:v>0.6</c:v>
                </c:pt>
                <c:pt idx="7">
                  <c:v>0.5</c:v>
                </c:pt>
                <c:pt idx="8">
                  <c:v>0.434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021-6F44-A29B-5A9ABA056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879039"/>
        <c:axId val="762476767"/>
      </c:scatterChart>
      <c:valAx>
        <c:axId val="1158879039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76767"/>
        <c:crosses val="autoZero"/>
        <c:crossBetween val="midCat"/>
      </c:valAx>
      <c:valAx>
        <c:axId val="762476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879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'Growth curves'!$Y$1</c:f>
              <c:strCache>
                <c:ptCount val="1"/>
                <c:pt idx="0">
                  <c:v>Growth rate (hr^-1)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'Growth curves'!$X$2:$X$31</c:f>
              <c:numCache>
                <c:formatCode>General</c:formatCode>
                <c:ptCount val="30"/>
                <c:pt idx="0">
                  <c:v>1.3574692497157164</c:v>
                </c:pt>
                <c:pt idx="1">
                  <c:v>1.3574692497157164</c:v>
                </c:pt>
                <c:pt idx="2">
                  <c:v>1.3574692497157164</c:v>
                </c:pt>
                <c:pt idx="3">
                  <c:v>2.8846221556458973</c:v>
                </c:pt>
                <c:pt idx="4">
                  <c:v>2.8846221556458973</c:v>
                </c:pt>
                <c:pt idx="5">
                  <c:v>2.8846221556458973</c:v>
                </c:pt>
                <c:pt idx="6">
                  <c:v>15.7805800279452</c:v>
                </c:pt>
                <c:pt idx="7">
                  <c:v>16.289630996588595</c:v>
                </c:pt>
                <c:pt idx="8">
                  <c:v>16.119947340374132</c:v>
                </c:pt>
                <c:pt idx="9">
                  <c:v>170.70175815175133</c:v>
                </c:pt>
                <c:pt idx="10">
                  <c:v>162.89630996588596</c:v>
                </c:pt>
                <c:pt idx="11">
                  <c:v>159.16326952916771</c:v>
                </c:pt>
                <c:pt idx="12">
                  <c:v>1523.4198654934626</c:v>
                </c:pt>
                <c:pt idx="13">
                  <c:v>1596.7232049781112</c:v>
                </c:pt>
                <c:pt idx="14">
                  <c:v>1623.8725899724257</c:v>
                </c:pt>
                <c:pt idx="15">
                  <c:v>1.3574692497157164</c:v>
                </c:pt>
                <c:pt idx="16">
                  <c:v>1.3574692497157164</c:v>
                </c:pt>
                <c:pt idx="17">
                  <c:v>1.3574692497157164</c:v>
                </c:pt>
                <c:pt idx="18">
                  <c:v>2.7149384994314327</c:v>
                </c:pt>
                <c:pt idx="19">
                  <c:v>2.8846221556458973</c:v>
                </c:pt>
                <c:pt idx="20">
                  <c:v>2.8846221556458973</c:v>
                </c:pt>
                <c:pt idx="21">
                  <c:v>17.307732933875382</c:v>
                </c:pt>
                <c:pt idx="22">
                  <c:v>17.477416590089849</c:v>
                </c:pt>
                <c:pt idx="23">
                  <c:v>17.138049277660919</c:v>
                </c:pt>
                <c:pt idx="24">
                  <c:v>180.8827775246192</c:v>
                </c:pt>
                <c:pt idx="25">
                  <c:v>170.70175815175133</c:v>
                </c:pt>
                <c:pt idx="26">
                  <c:v>178.16783902518776</c:v>
                </c:pt>
                <c:pt idx="27">
                  <c:v>1588.9177567922461</c:v>
                </c:pt>
                <c:pt idx="28">
                  <c:v>1690.7279505209247</c:v>
                </c:pt>
                <c:pt idx="29">
                  <c:v>1730.0945587626804</c:v>
                </c:pt>
              </c:numCache>
            </c:numRef>
          </c:xVal>
          <c:yVal>
            <c:numRef>
              <c:f>'Growth curves'!$Y$2:$Y$31</c:f>
              <c:numCache>
                <c:formatCode>General</c:formatCode>
                <c:ptCount val="30"/>
                <c:pt idx="0">
                  <c:v>0.20716666666666669</c:v>
                </c:pt>
                <c:pt idx="1">
                  <c:v>0.21550000000000002</c:v>
                </c:pt>
                <c:pt idx="2">
                  <c:v>0.21333333333333329</c:v>
                </c:pt>
                <c:pt idx="3">
                  <c:v>0.21</c:v>
                </c:pt>
                <c:pt idx="4">
                  <c:v>0.20849999999999999</c:v>
                </c:pt>
                <c:pt idx="5">
                  <c:v>0.20833333333333334</c:v>
                </c:pt>
                <c:pt idx="6">
                  <c:v>8.8249999999999995E-2</c:v>
                </c:pt>
                <c:pt idx="7">
                  <c:v>7.9500000000000001E-2</c:v>
                </c:pt>
                <c:pt idx="8">
                  <c:v>8.0916666666666665E-2</c:v>
                </c:pt>
                <c:pt idx="9">
                  <c:v>6.2500000000000012E-3</c:v>
                </c:pt>
                <c:pt idx="10">
                  <c:v>7.5833333333333308E-3</c:v>
                </c:pt>
                <c:pt idx="11">
                  <c:v>5.0000000000000001E-3</c:v>
                </c:pt>
                <c:pt idx="12">
                  <c:v>1.6583333333333328E-2</c:v>
                </c:pt>
                <c:pt idx="13">
                  <c:v>7.0000000000000019E-3</c:v>
                </c:pt>
                <c:pt idx="14">
                  <c:v>1.3333333333333346E-3</c:v>
                </c:pt>
                <c:pt idx="15">
                  <c:v>0.18987500000000002</c:v>
                </c:pt>
                <c:pt idx="16">
                  <c:v>0.1885</c:v>
                </c:pt>
                <c:pt idx="17">
                  <c:v>0.18987499999999999</c:v>
                </c:pt>
                <c:pt idx="18">
                  <c:v>0.19012500000000002</c:v>
                </c:pt>
                <c:pt idx="19">
                  <c:v>0.19949999999999998</c:v>
                </c:pt>
                <c:pt idx="20">
                  <c:v>0.20074999999999998</c:v>
                </c:pt>
                <c:pt idx="21">
                  <c:v>0.10237499999999999</c:v>
                </c:pt>
                <c:pt idx="22">
                  <c:v>0.10100000000000001</c:v>
                </c:pt>
                <c:pt idx="23">
                  <c:v>0.10237500000000001</c:v>
                </c:pt>
                <c:pt idx="24">
                  <c:v>1.2500000000000004E-2</c:v>
                </c:pt>
                <c:pt idx="25">
                  <c:v>1.0500000000000002E-2</c:v>
                </c:pt>
                <c:pt idx="26">
                  <c:v>1.0999999999999996E-2</c:v>
                </c:pt>
                <c:pt idx="27">
                  <c:v>-6.2500000000000056E-4</c:v>
                </c:pt>
                <c:pt idx="28">
                  <c:v>-2.6250000000000023E-3</c:v>
                </c:pt>
                <c:pt idx="29">
                  <c:v>-3.375000000000003E-3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0-414D-99AE-8E9099836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816736"/>
        <c:axId val="1027800352"/>
      </c:scatterChart>
      <c:valAx>
        <c:axId val="2105816736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Co(2+) concentration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00352"/>
        <c:crosses val="autoZero"/>
        <c:crossBetween val="midCat"/>
      </c:valAx>
      <c:valAx>
        <c:axId val="1027800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</a:t>
                </a:r>
                <a:r>
                  <a:rPr lang="en-US" baseline="0"/>
                  <a:t> (hr^-1)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816736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v>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('[1]Growth curves'!$C$2:$C$4,'[1]Growth curves'!$C$17:$C$19,'[1]Growth curves'!$C$32:$C$34,'[1]Growth curves'!$C$47:$C$49,'[1]Growth curves'!$C$62:$C$64,'[1]Growth curves'!$C$77:$C$79,'[1]Growth curves'!$C$92:$C$94,'[1]Growth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</c:numCache>
            </c:numRef>
          </c:xVal>
          <c:yVal>
            <c:numRef>
              <c:f>('[1]Growth curves'!$F$2:$F$4,'[1]Growth curves'!$F$17:$F$19,'[1]Growth curves'!$F$32:$F$34,'[1]Growth curves'!$F$47:$F$49,'[1]Growth curves'!$F$62:$F$64,'[1]Growth curves'!$F$77:$F$79,'[1]Growth curves'!$F$92:$F$94,'[1]Growth curves'!$F$107:$F$109)</c:f>
              <c:numCache>
                <c:formatCode>General</c:formatCode>
                <c:ptCount val="24"/>
                <c:pt idx="0">
                  <c:v>0.4</c:v>
                </c:pt>
                <c:pt idx="1">
                  <c:v>0.41199999999999998</c:v>
                </c:pt>
                <c:pt idx="2">
                  <c:v>0.41499999999999998</c:v>
                </c:pt>
                <c:pt idx="3">
                  <c:v>1.919</c:v>
                </c:pt>
                <c:pt idx="4">
                  <c:v>1.92</c:v>
                </c:pt>
                <c:pt idx="5">
                  <c:v>1.9339999999999999</c:v>
                </c:pt>
                <c:pt idx="6">
                  <c:v>1.9950000000000001</c:v>
                </c:pt>
                <c:pt idx="7">
                  <c:v>2.0070000000000001</c:v>
                </c:pt>
                <c:pt idx="8">
                  <c:v>2.0110000000000001</c:v>
                </c:pt>
                <c:pt idx="9">
                  <c:v>1.9930000000000001</c:v>
                </c:pt>
                <c:pt idx="10">
                  <c:v>2.008</c:v>
                </c:pt>
                <c:pt idx="11">
                  <c:v>2.0099999999999998</c:v>
                </c:pt>
                <c:pt idx="12">
                  <c:v>1.9470000000000001</c:v>
                </c:pt>
                <c:pt idx="13">
                  <c:v>1.9339999999999999</c:v>
                </c:pt>
                <c:pt idx="14">
                  <c:v>1.95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16-0244-8820-B2AF614580F9}"/>
            </c:ext>
          </c:extLst>
        </c:ser>
        <c:ser>
          <c:idx val="0"/>
          <c:order val="1"/>
          <c:tx>
            <c:v>2µM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('[1]Growth curves'!$C$2:$C$4,'[1]Growth curves'!$C$17:$C$19,'[1]Growth curves'!$C$32:$C$34,'[1]Growth curves'!$C$47:$C$49,'[1]Growth curves'!$C$62:$C$64,'[1]Growth curves'!$C$77:$C$79,'[1]Growth curves'!$C$92:$C$94,'[1]Growth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</c:numCache>
            </c:numRef>
          </c:xVal>
          <c:yVal>
            <c:numRef>
              <c:f>('[1]Growth curves'!$F$5:$F$7,'[1]Growth curves'!$F$20:$F$22,'[1]Growth curves'!$F$35:$F$37,'[1]Growth curves'!$F$50:$F$52,'[1]Growth curves'!$F$65:$F$67,'[1]Growth curves'!$F$80:$F$82,'[1]Growth curves'!$F$95:$F$97,'[1]Growth curves'!$F$110:$F$112)</c:f>
              <c:numCache>
                <c:formatCode>General</c:formatCode>
                <c:ptCount val="24"/>
                <c:pt idx="0">
                  <c:v>0.41199999999999998</c:v>
                </c:pt>
                <c:pt idx="1">
                  <c:v>0.42599999999999999</c:v>
                </c:pt>
                <c:pt idx="2">
                  <c:v>0.4</c:v>
                </c:pt>
                <c:pt idx="3">
                  <c:v>1.9330000000000001</c:v>
                </c:pt>
                <c:pt idx="4">
                  <c:v>2.0219999999999998</c:v>
                </c:pt>
                <c:pt idx="5">
                  <c:v>2.0059999999999998</c:v>
                </c:pt>
                <c:pt idx="6">
                  <c:v>2.0099999999999998</c:v>
                </c:pt>
                <c:pt idx="7">
                  <c:v>2.02</c:v>
                </c:pt>
                <c:pt idx="8">
                  <c:v>2.0030000000000001</c:v>
                </c:pt>
                <c:pt idx="9">
                  <c:v>2.0150000000000001</c:v>
                </c:pt>
                <c:pt idx="10">
                  <c:v>2.0499999999999998</c:v>
                </c:pt>
                <c:pt idx="11">
                  <c:v>2.0510000000000002</c:v>
                </c:pt>
                <c:pt idx="12">
                  <c:v>1.944</c:v>
                </c:pt>
                <c:pt idx="13">
                  <c:v>1.954</c:v>
                </c:pt>
                <c:pt idx="14">
                  <c:v>1.9350000000000001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16-0244-8820-B2AF614580F9}"/>
            </c:ext>
          </c:extLst>
        </c:ser>
        <c:ser>
          <c:idx val="1"/>
          <c:order val="2"/>
          <c:tx>
            <c:v>20µM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('[1]Growth curves'!$C$2:$C$4,'[1]Growth curves'!$C$17:$C$19,'[1]Growth curves'!$C$32:$C$34,'[1]Growth curves'!$C$47:$C$49,'[1]Growth curves'!$C$62:$C$64,'[1]Growth curves'!$C$77:$C$79,'[1]Growth curves'!$C$92:$C$94,'[1]Growth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</c:numCache>
            </c:numRef>
          </c:xVal>
          <c:yVal>
            <c:numRef>
              <c:f>('[1]Growth curves'!$F$8:$F$10,'[1]Growth curves'!$F$23:$F$25,'[1]Growth curves'!$F$38:$F$40,'[1]Growth curves'!$F$53:$F$55,'[1]Growth curves'!$F$68:$F$70,'[1]Growth curves'!$F$83:$F$85,'[1]Growth curves'!$F$98:$F$100,'[1]Growth curves'!$F$113:$F$115)</c:f>
              <c:numCache>
                <c:formatCode>General</c:formatCode>
                <c:ptCount val="24"/>
                <c:pt idx="0">
                  <c:v>0.38700000000000001</c:v>
                </c:pt>
                <c:pt idx="1">
                  <c:v>0.41199999999999998</c:v>
                </c:pt>
                <c:pt idx="2">
                  <c:v>0.40400000000000003</c:v>
                </c:pt>
                <c:pt idx="3">
                  <c:v>1.206</c:v>
                </c:pt>
                <c:pt idx="4">
                  <c:v>1.22</c:v>
                </c:pt>
                <c:pt idx="5">
                  <c:v>1.2230000000000001</c:v>
                </c:pt>
                <c:pt idx="6">
                  <c:v>1.9450000000000001</c:v>
                </c:pt>
                <c:pt idx="7">
                  <c:v>1.9339999999999999</c:v>
                </c:pt>
                <c:pt idx="8">
                  <c:v>1.956</c:v>
                </c:pt>
                <c:pt idx="9">
                  <c:v>1.9370000000000001</c:v>
                </c:pt>
                <c:pt idx="10">
                  <c:v>1.946</c:v>
                </c:pt>
                <c:pt idx="11">
                  <c:v>1.9470000000000001</c:v>
                </c:pt>
                <c:pt idx="12">
                  <c:v>1.891</c:v>
                </c:pt>
                <c:pt idx="13">
                  <c:v>1.875</c:v>
                </c:pt>
                <c:pt idx="14">
                  <c:v>1.883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16-0244-8820-B2AF614580F9}"/>
            </c:ext>
          </c:extLst>
        </c:ser>
        <c:ser>
          <c:idx val="2"/>
          <c:order val="3"/>
          <c:tx>
            <c:v>200µM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('[1]Growth curves'!$C$2:$C$4,'[1]Growth curves'!$C$17:$C$19,'[1]Growth curves'!$C$32:$C$34,'[1]Growth curves'!$C$47:$C$49,'[1]Growth curves'!$C$62:$C$64,'[1]Growth curves'!$C$77:$C$79,'[1]Growth curves'!$C$92:$C$94,'[1]Growth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</c:numCache>
            </c:numRef>
          </c:xVal>
          <c:yVal>
            <c:numRef>
              <c:f>('[1]Growth curves'!$F$11:$F$13,'[1]Growth curves'!$F$26:$F$28,'[1]Growth curves'!$F$41:$F$43,'[1]Growth curves'!$F$56:$F$58,'[1]Growth curves'!$F$71:$F$73,'[1]Growth curves'!$F$86:$F$88,'[1]Growth curves'!$F$101:$F$103,'[1]Growth curves'!$F$116:$F$118)</c:f>
              <c:numCache>
                <c:formatCode>General</c:formatCode>
                <c:ptCount val="24"/>
                <c:pt idx="0">
                  <c:v>0.36</c:v>
                </c:pt>
                <c:pt idx="1">
                  <c:v>0.41199999999999998</c:v>
                </c:pt>
                <c:pt idx="2">
                  <c:v>0.39800000000000002</c:v>
                </c:pt>
                <c:pt idx="3">
                  <c:v>0.46</c:v>
                </c:pt>
                <c:pt idx="4">
                  <c:v>0.496</c:v>
                </c:pt>
                <c:pt idx="5">
                  <c:v>0.48599999999999999</c:v>
                </c:pt>
                <c:pt idx="6">
                  <c:v>0.47</c:v>
                </c:pt>
                <c:pt idx="7">
                  <c:v>0.48299999999999998</c:v>
                </c:pt>
                <c:pt idx="8">
                  <c:v>0.48499999999999999</c:v>
                </c:pt>
                <c:pt idx="9">
                  <c:v>0.47599999999999998</c:v>
                </c:pt>
                <c:pt idx="10">
                  <c:v>0.47799999999999998</c:v>
                </c:pt>
                <c:pt idx="11">
                  <c:v>0.48899999999999999</c:v>
                </c:pt>
                <c:pt idx="12">
                  <c:v>0.42799999999999999</c:v>
                </c:pt>
                <c:pt idx="13">
                  <c:v>0.41499999999999998</c:v>
                </c:pt>
                <c:pt idx="14">
                  <c:v>0.42199999999999999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516-0244-8820-B2AF614580F9}"/>
            </c:ext>
          </c:extLst>
        </c:ser>
        <c:ser>
          <c:idx val="4"/>
          <c:order val="4"/>
          <c:tx>
            <c:v>2000µM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('[1]Growth curves'!$C$2:$C$4,'[1]Growth curves'!$C$17:$C$19,'[1]Growth curves'!$C$32:$C$34,'[1]Growth curves'!$C$47:$C$49,'[1]Growth curves'!$C$62:$C$64,'[1]Growth curves'!$C$77:$C$79,'[1]Growth curves'!$C$92:$C$94,'[1]Growth curves'!$C$107:$C$109)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</c:numCache>
            </c:numRef>
          </c:xVal>
          <c:yVal>
            <c:numRef>
              <c:f>('[1]Growth curves'!$F$14:$F$16,'[1]Growth curves'!$F$29:$F$31,'[1]Growth curves'!$F$44:$F$46,'[1]Growth curves'!$F$59:$F$61,'[1]Growth curves'!$F$74:$F$76,'[1]Growth curves'!$F$89:$F$91,'[1]Growth curves'!$F$104:$F$106,'[1]Growth curves'!$F$119:$F$121)</c:f>
              <c:numCache>
                <c:formatCode>General</c:formatCode>
                <c:ptCount val="24"/>
                <c:pt idx="0">
                  <c:v>0.443</c:v>
                </c:pt>
                <c:pt idx="1">
                  <c:v>0.436</c:v>
                </c:pt>
                <c:pt idx="2">
                  <c:v>0.44600000000000001</c:v>
                </c:pt>
                <c:pt idx="3">
                  <c:v>0.438</c:v>
                </c:pt>
                <c:pt idx="4">
                  <c:v>0.41499999999999998</c:v>
                </c:pt>
                <c:pt idx="5">
                  <c:v>0.41899999999999998</c:v>
                </c:pt>
                <c:pt idx="6">
                  <c:v>0.36899999999999999</c:v>
                </c:pt>
                <c:pt idx="7">
                  <c:v>0.36599999999999999</c:v>
                </c:pt>
                <c:pt idx="8">
                  <c:v>0.44400000000000001</c:v>
                </c:pt>
                <c:pt idx="9">
                  <c:v>0.42099999999999999</c:v>
                </c:pt>
                <c:pt idx="10">
                  <c:v>0.49399999999999999</c:v>
                </c:pt>
                <c:pt idx="11">
                  <c:v>0.44800000000000001</c:v>
                </c:pt>
                <c:pt idx="12">
                  <c:v>0.41</c:v>
                </c:pt>
                <c:pt idx="13">
                  <c:v>0.41599999999999998</c:v>
                </c:pt>
                <c:pt idx="14">
                  <c:v>0.43099999999999999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516-0244-8820-B2AF61458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879039"/>
        <c:axId val="762476767"/>
      </c:scatterChart>
      <c:valAx>
        <c:axId val="1158879039"/>
        <c:scaling>
          <c:orientation val="minMax"/>
          <c:max val="6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76767"/>
        <c:crosses val="autoZero"/>
        <c:crossBetween val="midCat"/>
      </c:valAx>
      <c:valAx>
        <c:axId val="762476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879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v>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474127075913727"/>
                  <c:y val="3.94473471189933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('[1]Growth curves'!$C$2:$C$4,'[1]Growth curves'!$C$17:$C$19)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</c:numCache>
            </c:numRef>
          </c:xVal>
          <c:yVal>
            <c:numRef>
              <c:f>('[1]Growth curves'!$F$2:$F$4,'[1]Growth curves'!$F$17:$F$19)</c:f>
              <c:numCache>
                <c:formatCode>General</c:formatCode>
                <c:ptCount val="6"/>
                <c:pt idx="0">
                  <c:v>0.4</c:v>
                </c:pt>
                <c:pt idx="1">
                  <c:v>0.41199999999999998</c:v>
                </c:pt>
                <c:pt idx="2">
                  <c:v>0.41499999999999998</c:v>
                </c:pt>
                <c:pt idx="3">
                  <c:v>1.919</c:v>
                </c:pt>
                <c:pt idx="4">
                  <c:v>1.92</c:v>
                </c:pt>
                <c:pt idx="5">
                  <c:v>1.9339999999999999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FA-334F-AE4E-A21666EB78F7}"/>
            </c:ext>
          </c:extLst>
        </c:ser>
        <c:ser>
          <c:idx val="0"/>
          <c:order val="1"/>
          <c:tx>
            <c:v>2µM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16312983835364E-2"/>
                  <c:y val="-8.19498597545672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('[1]Growth curves'!$C$2:$C$4,'[1]Growth curves'!$C$17:$C$19)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</c:numCache>
            </c:numRef>
          </c:xVal>
          <c:yVal>
            <c:numRef>
              <c:f>('[1]Growth curves'!$F$5:$F$7,'[1]Growth curves'!$F$20:$F$22)</c:f>
              <c:numCache>
                <c:formatCode>General</c:formatCode>
                <c:ptCount val="6"/>
                <c:pt idx="0">
                  <c:v>0.41199999999999998</c:v>
                </c:pt>
                <c:pt idx="1">
                  <c:v>0.42599999999999999</c:v>
                </c:pt>
                <c:pt idx="2">
                  <c:v>0.4</c:v>
                </c:pt>
                <c:pt idx="3">
                  <c:v>1.9330000000000001</c:v>
                </c:pt>
                <c:pt idx="4">
                  <c:v>2.0219999999999998</c:v>
                </c:pt>
                <c:pt idx="5">
                  <c:v>2.0059999999999998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FA-334F-AE4E-A21666EB78F7}"/>
            </c:ext>
          </c:extLst>
        </c:ser>
        <c:ser>
          <c:idx val="1"/>
          <c:order val="2"/>
          <c:tx>
            <c:v>20µM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611532322533729"/>
                  <c:y val="2.156974194728074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('[1]Growth curves'!$C$2:$C$4,'[1]Growth curves'!$C$17:$C$19)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</c:numCache>
            </c:numRef>
          </c:xVal>
          <c:yVal>
            <c:numRef>
              <c:f>('[1]Growth curves'!$F$8:$F$10,'[1]Growth curves'!$F$23:$F$25)</c:f>
              <c:numCache>
                <c:formatCode>General</c:formatCode>
                <c:ptCount val="6"/>
                <c:pt idx="0">
                  <c:v>0.38700000000000001</c:v>
                </c:pt>
                <c:pt idx="1">
                  <c:v>0.41199999999999998</c:v>
                </c:pt>
                <c:pt idx="2">
                  <c:v>0.40400000000000003</c:v>
                </c:pt>
                <c:pt idx="3">
                  <c:v>1.206</c:v>
                </c:pt>
                <c:pt idx="4">
                  <c:v>1.22</c:v>
                </c:pt>
                <c:pt idx="5">
                  <c:v>1.2230000000000001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9FA-334F-AE4E-A21666EB78F7}"/>
            </c:ext>
          </c:extLst>
        </c:ser>
        <c:ser>
          <c:idx val="4"/>
          <c:order val="3"/>
          <c:tx>
            <c:v>2000µM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11812644901885"/>
                  <c:y val="2.35528736478034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('[1]Growth curves'!$C$2:$C$4,'[1]Growth curves'!$C$17:$C$19)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</c:numCache>
            </c:numRef>
          </c:xVal>
          <c:yVal>
            <c:numRef>
              <c:f>('[1]Growth curves'!$F$14:$F$16,'[1]Growth curves'!$F$29:$F$31)</c:f>
              <c:numCache>
                <c:formatCode>General</c:formatCode>
                <c:ptCount val="6"/>
                <c:pt idx="0">
                  <c:v>0.443</c:v>
                </c:pt>
                <c:pt idx="1">
                  <c:v>0.436</c:v>
                </c:pt>
                <c:pt idx="2">
                  <c:v>0.44600000000000001</c:v>
                </c:pt>
                <c:pt idx="3">
                  <c:v>0.438</c:v>
                </c:pt>
                <c:pt idx="4">
                  <c:v>0.41499999999999998</c:v>
                </c:pt>
                <c:pt idx="5">
                  <c:v>0.41899999999999998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9FA-334F-AE4E-A21666EB78F7}"/>
            </c:ext>
          </c:extLst>
        </c:ser>
        <c:ser>
          <c:idx val="2"/>
          <c:order val="4"/>
          <c:tx>
            <c:v>200µM Co(2+)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259988434870486"/>
                  <c:y val="-3.84901390830819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('[1]Growth curves'!$C$2:$C$4,'[1]Growth curves'!$C$17:$C$19)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</c:numCache>
            </c:numRef>
          </c:xVal>
          <c:yVal>
            <c:numRef>
              <c:f>('[1]Growth curves'!$F$11:$F$13,'[1]Growth curves'!$F$26:$F$28)</c:f>
              <c:numCache>
                <c:formatCode>General</c:formatCode>
                <c:ptCount val="6"/>
                <c:pt idx="0">
                  <c:v>0.36</c:v>
                </c:pt>
                <c:pt idx="1">
                  <c:v>0.41199999999999998</c:v>
                </c:pt>
                <c:pt idx="2">
                  <c:v>0.39800000000000002</c:v>
                </c:pt>
                <c:pt idx="3">
                  <c:v>0.46</c:v>
                </c:pt>
                <c:pt idx="4">
                  <c:v>0.496</c:v>
                </c:pt>
                <c:pt idx="5">
                  <c:v>0.48599999999999999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9FA-334F-AE4E-A21666EB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879039"/>
        <c:axId val="762476767"/>
      </c:scatterChart>
      <c:valAx>
        <c:axId val="1158879039"/>
        <c:scaling>
          <c:orientation val="minMax"/>
          <c:max val="1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76767"/>
        <c:crosses val="autoZero"/>
        <c:crossBetween val="midCat"/>
      </c:valAx>
      <c:valAx>
        <c:axId val="762476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879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298450</xdr:colOff>
      <xdr:row>2</xdr:row>
      <xdr:rowOff>63500</xdr:rowOff>
    </xdr:from>
    <xdr:to>
      <xdr:col>21</xdr:col>
      <xdr:colOff>469900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137D4-0739-3C4A-99A9-CA3AEDFEB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292100</xdr:colOff>
      <xdr:row>30</xdr:row>
      <xdr:rowOff>139700</xdr:rowOff>
    </xdr:from>
    <xdr:to>
      <xdr:col>21</xdr:col>
      <xdr:colOff>463550</xdr:colOff>
      <xdr:row>57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DF5AD8-FCC2-8041-A74A-25D4C3DB3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292100</xdr:colOff>
      <xdr:row>58</xdr:row>
      <xdr:rowOff>177800</xdr:rowOff>
    </xdr:from>
    <xdr:to>
      <xdr:col>21</xdr:col>
      <xdr:colOff>463550</xdr:colOff>
      <xdr:row>85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D72884-2319-D944-BBC5-B84C8AA49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234950</xdr:colOff>
      <xdr:row>1</xdr:row>
      <xdr:rowOff>165100</xdr:rowOff>
    </xdr:from>
    <xdr:to>
      <xdr:col>33</xdr:col>
      <xdr:colOff>622300</xdr:colOff>
      <xdr:row>27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99E9E9-8CF7-4BFD-769D-070AE7DAE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457200</xdr:colOff>
      <xdr:row>88</xdr:row>
      <xdr:rowOff>12700</xdr:rowOff>
    </xdr:from>
    <xdr:to>
      <xdr:col>21</xdr:col>
      <xdr:colOff>652195</xdr:colOff>
      <xdr:row>114</xdr:row>
      <xdr:rowOff>72632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7066BC-D4C1-0E4A-955F-9185D4DE2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635000</xdr:colOff>
      <xdr:row>115</xdr:row>
      <xdr:rowOff>190500</xdr:rowOff>
    </xdr:from>
    <xdr:to>
      <xdr:col>22</xdr:col>
      <xdr:colOff>4495</xdr:colOff>
      <xdr:row>142</xdr:row>
      <xdr:rowOff>47233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58D99B-A01D-0A4C-AF11-05521635A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ICP-MS%20Data%20Carleton/Co2+%20dose-response%20curve%20A-F,F-A/AD_Co2+%20uptake%20assay_Growth%20data_2026-05-01.xlsx" TargetMode="External"/><Relationship Id="rId2" Type="http://schemas.openxmlformats.org/officeDocument/2006/relationships/externalLinkPath" Target="/Users/annikadejager/Desktop/EBB%20Lab/ICP-MS%20Data%20Carleton/Co2+%20dose-response%20curve%20A-F,F-A/AD_Co2+%20uptake%20assay_Growth%20data_2026-05-01.xlsx" TargetMode="External"/><Relationship Id="rId1" Type="http://schemas.openxmlformats.org/officeDocument/2006/relationships/externalLinkPath" Target="/Users/annikadejager/Desktop/EBB%20Lab/ICP-MS%20Data%20Carleton/Co2+%20dose-response%20curve%20A-F,F-A/AD_Co2+%20uptake%20assay_Growth%20data_2026-05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D600"/>
      <sheetName val="Growth curves"/>
      <sheetName val="Plate counts"/>
    </sheetNames>
    <sheetDataSet>
      <sheetData sheetId="0"/>
      <sheetData sheetId="1">
        <row r="2">
          <cell r="C2">
            <v>0</v>
          </cell>
          <cell r="F2">
            <v>0.4</v>
          </cell>
        </row>
        <row r="3">
          <cell r="C3">
            <v>0</v>
          </cell>
          <cell r="F3">
            <v>0.41199999999999998</v>
          </cell>
        </row>
        <row r="4">
          <cell r="C4">
            <v>0</v>
          </cell>
          <cell r="F4">
            <v>0.41499999999999998</v>
          </cell>
        </row>
        <row r="5">
          <cell r="F5">
            <v>0.41199999999999998</v>
          </cell>
        </row>
        <row r="6">
          <cell r="F6">
            <v>0.42599999999999999</v>
          </cell>
        </row>
        <row r="7">
          <cell r="F7">
            <v>0.4</v>
          </cell>
        </row>
        <row r="8">
          <cell r="F8">
            <v>0.38700000000000001</v>
          </cell>
        </row>
        <row r="9">
          <cell r="F9">
            <v>0.41199999999999998</v>
          </cell>
        </row>
        <row r="10">
          <cell r="F10">
            <v>0.40400000000000003</v>
          </cell>
        </row>
        <row r="11">
          <cell r="F11">
            <v>0.36</v>
          </cell>
        </row>
        <row r="12">
          <cell r="F12">
            <v>0.41199999999999998</v>
          </cell>
        </row>
        <row r="13">
          <cell r="F13">
            <v>0.39800000000000002</v>
          </cell>
        </row>
        <row r="14">
          <cell r="F14">
            <v>0.443</v>
          </cell>
        </row>
        <row r="15">
          <cell r="F15">
            <v>0.436</v>
          </cell>
        </row>
        <row r="16">
          <cell r="F16">
            <v>0.44600000000000001</v>
          </cell>
        </row>
        <row r="17">
          <cell r="C17">
            <v>8</v>
          </cell>
          <cell r="F17">
            <v>1.919</v>
          </cell>
        </row>
        <row r="18">
          <cell r="C18">
            <v>8</v>
          </cell>
          <cell r="F18">
            <v>1.92</v>
          </cell>
        </row>
        <row r="19">
          <cell r="C19">
            <v>8</v>
          </cell>
          <cell r="F19">
            <v>1.9339999999999999</v>
          </cell>
        </row>
        <row r="20">
          <cell r="F20">
            <v>1.9330000000000001</v>
          </cell>
        </row>
        <row r="21">
          <cell r="F21">
            <v>2.0219999999999998</v>
          </cell>
        </row>
        <row r="22">
          <cell r="F22">
            <v>2.0059999999999998</v>
          </cell>
        </row>
        <row r="23">
          <cell r="F23">
            <v>1.206</v>
          </cell>
        </row>
        <row r="24">
          <cell r="F24">
            <v>1.22</v>
          </cell>
        </row>
        <row r="25">
          <cell r="F25">
            <v>1.2230000000000001</v>
          </cell>
        </row>
        <row r="26">
          <cell r="F26">
            <v>0.46</v>
          </cell>
        </row>
        <row r="27">
          <cell r="F27">
            <v>0.496</v>
          </cell>
        </row>
        <row r="28">
          <cell r="F28">
            <v>0.48599999999999999</v>
          </cell>
        </row>
        <row r="29">
          <cell r="F29">
            <v>0.438</v>
          </cell>
        </row>
        <row r="30">
          <cell r="F30">
            <v>0.41499999999999998</v>
          </cell>
        </row>
        <row r="31">
          <cell r="F31">
            <v>0.41899999999999998</v>
          </cell>
        </row>
        <row r="32">
          <cell r="C32">
            <v>21</v>
          </cell>
          <cell r="F32">
            <v>1.9950000000000001</v>
          </cell>
        </row>
        <row r="33">
          <cell r="C33">
            <v>21</v>
          </cell>
          <cell r="F33">
            <v>2.0070000000000001</v>
          </cell>
        </row>
        <row r="34">
          <cell r="C34">
            <v>21</v>
          </cell>
          <cell r="F34">
            <v>2.0110000000000001</v>
          </cell>
        </row>
        <row r="35">
          <cell r="F35">
            <v>2.0099999999999998</v>
          </cell>
        </row>
        <row r="36">
          <cell r="F36">
            <v>2.02</v>
          </cell>
        </row>
        <row r="37">
          <cell r="F37">
            <v>2.0030000000000001</v>
          </cell>
        </row>
        <row r="38">
          <cell r="F38">
            <v>1.9450000000000001</v>
          </cell>
        </row>
        <row r="39">
          <cell r="F39">
            <v>1.9339999999999999</v>
          </cell>
        </row>
        <row r="40">
          <cell r="F40">
            <v>1.956</v>
          </cell>
        </row>
        <row r="41">
          <cell r="F41">
            <v>0.47</v>
          </cell>
        </row>
        <row r="42">
          <cell r="F42">
            <v>0.48299999999999998</v>
          </cell>
        </row>
        <row r="43">
          <cell r="F43">
            <v>0.48499999999999999</v>
          </cell>
        </row>
        <row r="44">
          <cell r="F44">
            <v>0.36899999999999999</v>
          </cell>
        </row>
        <row r="45">
          <cell r="F45">
            <v>0.36599999999999999</v>
          </cell>
        </row>
        <row r="46">
          <cell r="F46">
            <v>0.44400000000000001</v>
          </cell>
        </row>
        <row r="47">
          <cell r="C47">
            <v>24</v>
          </cell>
          <cell r="F47">
            <v>1.9930000000000001</v>
          </cell>
        </row>
        <row r="48">
          <cell r="C48">
            <v>24</v>
          </cell>
          <cell r="F48">
            <v>2.008</v>
          </cell>
        </row>
        <row r="49">
          <cell r="C49">
            <v>24</v>
          </cell>
          <cell r="F49">
            <v>2.0099999999999998</v>
          </cell>
        </row>
        <row r="50">
          <cell r="F50">
            <v>2.0150000000000001</v>
          </cell>
        </row>
        <row r="51">
          <cell r="F51">
            <v>2.0499999999999998</v>
          </cell>
        </row>
        <row r="52">
          <cell r="F52">
            <v>2.0510000000000002</v>
          </cell>
        </row>
        <row r="53">
          <cell r="F53">
            <v>1.9370000000000001</v>
          </cell>
        </row>
        <row r="54">
          <cell r="F54">
            <v>1.946</v>
          </cell>
        </row>
        <row r="55">
          <cell r="F55">
            <v>1.9470000000000001</v>
          </cell>
        </row>
        <row r="56">
          <cell r="F56">
            <v>0.47599999999999998</v>
          </cell>
        </row>
        <row r="57">
          <cell r="F57">
            <v>0.47799999999999998</v>
          </cell>
        </row>
        <row r="58">
          <cell r="F58">
            <v>0.48899999999999999</v>
          </cell>
        </row>
        <row r="59">
          <cell r="F59">
            <v>0.42099999999999999</v>
          </cell>
        </row>
        <row r="60">
          <cell r="F60">
            <v>0.49399999999999999</v>
          </cell>
        </row>
        <row r="61">
          <cell r="F61">
            <v>0.44800000000000001</v>
          </cell>
        </row>
        <row r="62">
          <cell r="C62">
            <v>48</v>
          </cell>
          <cell r="F62">
            <v>1.9470000000000001</v>
          </cell>
        </row>
        <row r="63">
          <cell r="C63">
            <v>48</v>
          </cell>
          <cell r="F63">
            <v>1.9339999999999999</v>
          </cell>
        </row>
        <row r="64">
          <cell r="C64">
            <v>48</v>
          </cell>
          <cell r="F64">
            <v>1.95</v>
          </cell>
        </row>
        <row r="65">
          <cell r="F65">
            <v>1.944</v>
          </cell>
        </row>
        <row r="66">
          <cell r="F66">
            <v>1.954</v>
          </cell>
        </row>
        <row r="67">
          <cell r="F67">
            <v>1.9350000000000001</v>
          </cell>
        </row>
        <row r="68">
          <cell r="F68">
            <v>1.891</v>
          </cell>
        </row>
        <row r="69">
          <cell r="F69">
            <v>1.875</v>
          </cell>
        </row>
        <row r="70">
          <cell r="F70">
            <v>1.883</v>
          </cell>
        </row>
        <row r="71">
          <cell r="F71">
            <v>0.42799999999999999</v>
          </cell>
        </row>
        <row r="72">
          <cell r="F72">
            <v>0.41499999999999998</v>
          </cell>
        </row>
        <row r="73">
          <cell r="F73">
            <v>0.42199999999999999</v>
          </cell>
        </row>
        <row r="74">
          <cell r="F74">
            <v>0.41</v>
          </cell>
        </row>
        <row r="75">
          <cell r="F75">
            <v>0.41599999999999998</v>
          </cell>
        </row>
        <row r="76">
          <cell r="F76">
            <v>0.43099999999999999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CB66-CE3B-1E4C-B16E-F4AB4F44E106}">
  <sheetPr codeName="Sheet1"/>
  <dimension ref="A1:F196"/>
  <sheetViews>
    <sheetView workbookViewId="0">
      <selection activeCell="A122" sqref="A122:F196"/>
    </sheetView>
  </sheetViews>
  <sheetFormatPr baseColWidth="10" defaultRowHeight="16" x14ac:dyDescent="0.2"/>
  <cols>
    <col min="3" max="3" width="12.83203125" bestFit="1" customWidth="1"/>
  </cols>
  <sheetData>
    <row r="1" spans="1:6" s="1" customFormat="1" x14ac:dyDescent="0.2">
      <c r="A1" s="1" t="s">
        <v>4</v>
      </c>
      <c r="B1" s="1" t="s">
        <v>5</v>
      </c>
      <c r="C1" s="1" t="s">
        <v>3</v>
      </c>
      <c r="D1" s="1" t="s">
        <v>0</v>
      </c>
      <c r="E1" s="1" t="s">
        <v>1</v>
      </c>
      <c r="F1" s="1" t="s">
        <v>2</v>
      </c>
    </row>
    <row r="2" spans="1:6" x14ac:dyDescent="0.2">
      <c r="A2" s="2">
        <v>46006</v>
      </c>
      <c r="B2" s="3">
        <v>0.38055555555555554</v>
      </c>
      <c r="C2">
        <v>0</v>
      </c>
      <c r="D2">
        <v>0</v>
      </c>
      <c r="E2">
        <v>1</v>
      </c>
      <c r="F2">
        <v>0.40799999999999997</v>
      </c>
    </row>
    <row r="3" spans="1:6" x14ac:dyDescent="0.2">
      <c r="A3" s="2">
        <v>46006</v>
      </c>
      <c r="B3" s="3">
        <v>0.38055555555555554</v>
      </c>
      <c r="C3">
        <v>0</v>
      </c>
      <c r="D3">
        <v>0</v>
      </c>
      <c r="E3">
        <v>2</v>
      </c>
      <c r="F3">
        <v>0.40799999999999997</v>
      </c>
    </row>
    <row r="4" spans="1:6" x14ac:dyDescent="0.2">
      <c r="A4" s="2">
        <v>46006</v>
      </c>
      <c r="B4" s="3">
        <v>0.38055555555555554</v>
      </c>
      <c r="C4">
        <v>0</v>
      </c>
      <c r="D4">
        <v>0</v>
      </c>
      <c r="E4">
        <v>3</v>
      </c>
      <c r="F4">
        <v>0.40200000000000002</v>
      </c>
    </row>
    <row r="5" spans="1:6" x14ac:dyDescent="0.2">
      <c r="A5" s="2">
        <v>46006</v>
      </c>
      <c r="B5" s="3">
        <v>0.38055555555555598</v>
      </c>
      <c r="C5">
        <v>0</v>
      </c>
      <c r="D5">
        <v>2</v>
      </c>
      <c r="E5">
        <v>1</v>
      </c>
      <c r="F5">
        <v>0.39700000000000002</v>
      </c>
    </row>
    <row r="6" spans="1:6" x14ac:dyDescent="0.2">
      <c r="A6" s="2">
        <v>46006</v>
      </c>
      <c r="B6" s="3">
        <v>0.38055555555555598</v>
      </c>
      <c r="C6">
        <v>0</v>
      </c>
      <c r="D6">
        <v>2</v>
      </c>
      <c r="E6">
        <v>2</v>
      </c>
      <c r="F6">
        <v>0.40300000000000002</v>
      </c>
    </row>
    <row r="7" spans="1:6" x14ac:dyDescent="0.2">
      <c r="A7" s="2">
        <v>46006</v>
      </c>
      <c r="B7" s="3">
        <v>0.38055555555555598</v>
      </c>
      <c r="C7">
        <v>0</v>
      </c>
      <c r="D7">
        <v>2</v>
      </c>
      <c r="E7">
        <v>3</v>
      </c>
      <c r="F7">
        <v>0.41699999999999998</v>
      </c>
    </row>
    <row r="8" spans="1:6" x14ac:dyDescent="0.2">
      <c r="A8" s="2">
        <v>46006</v>
      </c>
      <c r="B8" s="3">
        <v>0.38055555555555598</v>
      </c>
      <c r="C8">
        <v>0</v>
      </c>
      <c r="D8">
        <v>20</v>
      </c>
      <c r="E8">
        <v>1</v>
      </c>
      <c r="F8">
        <v>0.40100000000000002</v>
      </c>
    </row>
    <row r="9" spans="1:6" x14ac:dyDescent="0.2">
      <c r="A9" s="2">
        <v>46006</v>
      </c>
      <c r="B9" s="3">
        <v>0.38055555555555598</v>
      </c>
      <c r="C9">
        <v>0</v>
      </c>
      <c r="D9">
        <v>20</v>
      </c>
      <c r="E9">
        <v>2</v>
      </c>
      <c r="F9">
        <v>0.40899999999999997</v>
      </c>
    </row>
    <row r="10" spans="1:6" x14ac:dyDescent="0.2">
      <c r="A10" s="2">
        <v>46006</v>
      </c>
      <c r="B10" s="3">
        <v>0.38055555555555598</v>
      </c>
      <c r="C10">
        <v>0</v>
      </c>
      <c r="D10">
        <v>20</v>
      </c>
      <c r="E10">
        <v>3</v>
      </c>
      <c r="F10">
        <v>0.39800000000000002</v>
      </c>
    </row>
    <row r="11" spans="1:6" x14ac:dyDescent="0.2">
      <c r="A11" s="2">
        <v>46006</v>
      </c>
      <c r="B11" s="3">
        <v>0.38055555555555598</v>
      </c>
      <c r="C11">
        <v>0</v>
      </c>
      <c r="D11">
        <v>200</v>
      </c>
      <c r="E11">
        <v>1</v>
      </c>
      <c r="F11">
        <v>0.41299999999999998</v>
      </c>
    </row>
    <row r="12" spans="1:6" x14ac:dyDescent="0.2">
      <c r="A12" s="2">
        <v>46006</v>
      </c>
      <c r="B12" s="3">
        <v>0.38055555555555598</v>
      </c>
      <c r="C12">
        <v>0</v>
      </c>
      <c r="D12">
        <v>200</v>
      </c>
      <c r="E12">
        <v>2</v>
      </c>
      <c r="F12">
        <v>0.39500000000000002</v>
      </c>
    </row>
    <row r="13" spans="1:6" x14ac:dyDescent="0.2">
      <c r="A13" s="2">
        <v>46006</v>
      </c>
      <c r="B13" s="3">
        <v>0.38055555555555598</v>
      </c>
      <c r="C13">
        <v>0</v>
      </c>
      <c r="D13">
        <v>200</v>
      </c>
      <c r="E13">
        <v>3</v>
      </c>
      <c r="F13">
        <v>0.41799999999999998</v>
      </c>
    </row>
    <row r="14" spans="1:6" x14ac:dyDescent="0.2">
      <c r="A14" s="2">
        <v>46006</v>
      </c>
      <c r="B14" s="3">
        <v>0.38055555555555598</v>
      </c>
      <c r="C14">
        <v>0</v>
      </c>
      <c r="D14">
        <v>2000</v>
      </c>
      <c r="E14">
        <v>1</v>
      </c>
      <c r="F14">
        <v>0.40100000000000002</v>
      </c>
    </row>
    <row r="15" spans="1:6" x14ac:dyDescent="0.2">
      <c r="A15" s="2">
        <v>46006</v>
      </c>
      <c r="B15" s="3">
        <v>0.38055555555555598</v>
      </c>
      <c r="C15">
        <v>0</v>
      </c>
      <c r="D15">
        <v>2000</v>
      </c>
      <c r="E15">
        <v>2</v>
      </c>
      <c r="F15">
        <v>0.41599999999999998</v>
      </c>
    </row>
    <row r="16" spans="1:6" x14ac:dyDescent="0.2">
      <c r="A16" s="2">
        <v>46006</v>
      </c>
      <c r="B16" s="3">
        <v>0.38055555555555598</v>
      </c>
      <c r="C16">
        <v>0</v>
      </c>
      <c r="D16">
        <v>2000</v>
      </c>
      <c r="E16">
        <v>3</v>
      </c>
      <c r="F16">
        <v>0.41799999999999998</v>
      </c>
    </row>
    <row r="17" spans="1:6" x14ac:dyDescent="0.2">
      <c r="A17" s="2">
        <v>46006</v>
      </c>
      <c r="B17" s="3">
        <v>0.63055555555555554</v>
      </c>
      <c r="C17">
        <v>6</v>
      </c>
      <c r="D17">
        <v>0</v>
      </c>
      <c r="E17">
        <v>1</v>
      </c>
      <c r="F17">
        <v>1.651</v>
      </c>
    </row>
    <row r="18" spans="1:6" x14ac:dyDescent="0.2">
      <c r="A18" s="2">
        <v>46006</v>
      </c>
      <c r="B18" s="3">
        <v>0.63055555555555554</v>
      </c>
      <c r="C18">
        <v>6</v>
      </c>
      <c r="D18">
        <v>0</v>
      </c>
      <c r="E18">
        <v>2</v>
      </c>
      <c r="F18">
        <v>1.7010000000000001</v>
      </c>
    </row>
    <row r="19" spans="1:6" x14ac:dyDescent="0.2">
      <c r="A19" s="2">
        <v>46006</v>
      </c>
      <c r="B19" s="3">
        <v>0.63055555555555598</v>
      </c>
      <c r="C19">
        <v>6</v>
      </c>
      <c r="D19">
        <v>0</v>
      </c>
      <c r="E19">
        <v>3</v>
      </c>
      <c r="F19">
        <v>1.6819999999999999</v>
      </c>
    </row>
    <row r="20" spans="1:6" x14ac:dyDescent="0.2">
      <c r="A20" s="2">
        <v>46006</v>
      </c>
      <c r="B20" s="3">
        <v>0.63055555555555598</v>
      </c>
      <c r="C20">
        <v>6</v>
      </c>
      <c r="D20">
        <v>2</v>
      </c>
      <c r="E20">
        <v>1</v>
      </c>
      <c r="F20">
        <v>1.657</v>
      </c>
    </row>
    <row r="21" spans="1:6" x14ac:dyDescent="0.2">
      <c r="A21" s="2">
        <v>46006</v>
      </c>
      <c r="B21" s="3">
        <v>0.63055555555555598</v>
      </c>
      <c r="C21">
        <v>6</v>
      </c>
      <c r="D21">
        <v>2</v>
      </c>
      <c r="E21">
        <v>2</v>
      </c>
      <c r="F21">
        <v>1.6539999999999999</v>
      </c>
    </row>
    <row r="22" spans="1:6" x14ac:dyDescent="0.2">
      <c r="A22" s="2">
        <v>46006</v>
      </c>
      <c r="B22" s="3">
        <v>0.63055555555555598</v>
      </c>
      <c r="C22">
        <v>6</v>
      </c>
      <c r="D22">
        <v>2</v>
      </c>
      <c r="E22">
        <v>3</v>
      </c>
      <c r="F22">
        <v>1.667</v>
      </c>
    </row>
    <row r="23" spans="1:6" x14ac:dyDescent="0.2">
      <c r="A23" s="2">
        <v>46006</v>
      </c>
      <c r="B23" s="3">
        <v>0.63055555555555598</v>
      </c>
      <c r="C23">
        <v>6</v>
      </c>
      <c r="D23">
        <v>20</v>
      </c>
      <c r="E23">
        <v>1</v>
      </c>
      <c r="F23">
        <v>0.875</v>
      </c>
    </row>
    <row r="24" spans="1:6" x14ac:dyDescent="0.2">
      <c r="A24" s="2">
        <v>46006</v>
      </c>
      <c r="B24" s="3">
        <v>0.63055555555555598</v>
      </c>
      <c r="C24">
        <v>6</v>
      </c>
      <c r="D24">
        <v>20</v>
      </c>
      <c r="E24">
        <v>2</v>
      </c>
      <c r="F24">
        <v>0.81100000000000005</v>
      </c>
    </row>
    <row r="25" spans="1:6" x14ac:dyDescent="0.2">
      <c r="A25" s="2">
        <v>46006</v>
      </c>
      <c r="B25" s="3">
        <v>0.63055555555555598</v>
      </c>
      <c r="C25">
        <v>6</v>
      </c>
      <c r="D25">
        <v>20</v>
      </c>
      <c r="E25">
        <v>3</v>
      </c>
      <c r="F25">
        <v>0.81499999999999995</v>
      </c>
    </row>
    <row r="26" spans="1:6" x14ac:dyDescent="0.2">
      <c r="A26" s="2">
        <v>46006</v>
      </c>
      <c r="B26" s="3">
        <v>0.63055555555555598</v>
      </c>
      <c r="C26">
        <v>6</v>
      </c>
      <c r="D26">
        <v>200</v>
      </c>
      <c r="E26">
        <v>1</v>
      </c>
      <c r="F26">
        <v>0.47399999999999998</v>
      </c>
    </row>
    <row r="27" spans="1:6" x14ac:dyDescent="0.2">
      <c r="A27" s="2">
        <v>46006</v>
      </c>
      <c r="B27" s="3">
        <v>0.63055555555555598</v>
      </c>
      <c r="C27">
        <v>6</v>
      </c>
      <c r="D27">
        <v>200</v>
      </c>
      <c r="E27">
        <v>2</v>
      </c>
      <c r="F27">
        <v>0.47199999999999998</v>
      </c>
    </row>
    <row r="28" spans="1:6" x14ac:dyDescent="0.2">
      <c r="A28" s="2">
        <v>46006</v>
      </c>
      <c r="B28" s="3">
        <v>0.63055555555555598</v>
      </c>
      <c r="C28">
        <v>6</v>
      </c>
      <c r="D28">
        <v>200</v>
      </c>
      <c r="E28">
        <v>3</v>
      </c>
      <c r="F28">
        <v>0.47399999999999998</v>
      </c>
    </row>
    <row r="29" spans="1:6" x14ac:dyDescent="0.2">
      <c r="A29" s="2">
        <v>46006</v>
      </c>
      <c r="B29" s="3">
        <v>0.63055555555555598</v>
      </c>
      <c r="C29">
        <v>6</v>
      </c>
      <c r="D29">
        <v>2000</v>
      </c>
      <c r="E29">
        <v>1</v>
      </c>
      <c r="F29">
        <v>0.53</v>
      </c>
    </row>
    <row r="30" spans="1:6" x14ac:dyDescent="0.2">
      <c r="A30" s="2">
        <v>46006</v>
      </c>
      <c r="B30" s="3">
        <v>0.63055555555555598</v>
      </c>
      <c r="C30">
        <v>6</v>
      </c>
      <c r="D30">
        <v>2000</v>
      </c>
      <c r="E30">
        <v>2</v>
      </c>
      <c r="F30">
        <v>0.42099999999999999</v>
      </c>
    </row>
    <row r="31" spans="1:6" x14ac:dyDescent="0.2">
      <c r="A31" s="2">
        <v>46006</v>
      </c>
      <c r="B31" s="3">
        <v>0.63055555555555598</v>
      </c>
      <c r="C31">
        <v>6</v>
      </c>
      <c r="D31">
        <v>2000</v>
      </c>
      <c r="E31">
        <v>3</v>
      </c>
      <c r="F31">
        <v>0.44</v>
      </c>
    </row>
    <row r="32" spans="1:6" x14ac:dyDescent="0.2">
      <c r="A32" s="2">
        <v>46006</v>
      </c>
      <c r="B32" s="3">
        <v>0.875</v>
      </c>
      <c r="C32">
        <v>12</v>
      </c>
      <c r="D32">
        <v>0</v>
      </c>
      <c r="E32">
        <v>1</v>
      </c>
      <c r="F32">
        <v>2.2360000000000002</v>
      </c>
    </row>
    <row r="33" spans="1:6" x14ac:dyDescent="0.2">
      <c r="A33" s="2">
        <v>46006</v>
      </c>
      <c r="B33" s="3">
        <v>0.875</v>
      </c>
      <c r="C33">
        <v>12</v>
      </c>
      <c r="D33">
        <v>0</v>
      </c>
      <c r="E33">
        <v>2</v>
      </c>
      <c r="F33">
        <v>2.2240000000000002</v>
      </c>
    </row>
    <row r="34" spans="1:6" x14ac:dyDescent="0.2">
      <c r="A34" s="2">
        <v>46006</v>
      </c>
      <c r="B34" s="3">
        <v>0.875</v>
      </c>
      <c r="C34">
        <v>12</v>
      </c>
      <c r="D34">
        <v>0</v>
      </c>
      <c r="E34">
        <v>3</v>
      </c>
      <c r="F34">
        <v>2.2250000000000001</v>
      </c>
    </row>
    <row r="35" spans="1:6" x14ac:dyDescent="0.2">
      <c r="A35" s="2">
        <v>46006</v>
      </c>
      <c r="B35" s="3">
        <v>0.875</v>
      </c>
      <c r="C35">
        <v>12</v>
      </c>
      <c r="D35">
        <v>2</v>
      </c>
      <c r="E35">
        <v>1</v>
      </c>
      <c r="F35">
        <v>2.2240000000000002</v>
      </c>
    </row>
    <row r="36" spans="1:6" x14ac:dyDescent="0.2">
      <c r="A36" s="2">
        <v>46006</v>
      </c>
      <c r="B36" s="3">
        <v>0.875</v>
      </c>
      <c r="C36">
        <v>12</v>
      </c>
      <c r="D36">
        <v>2</v>
      </c>
      <c r="E36">
        <v>2</v>
      </c>
      <c r="F36">
        <v>2.2040000000000002</v>
      </c>
    </row>
    <row r="37" spans="1:6" x14ac:dyDescent="0.2">
      <c r="A37" s="2">
        <v>46006</v>
      </c>
      <c r="B37" s="3">
        <v>0.875</v>
      </c>
      <c r="C37">
        <v>12</v>
      </c>
      <c r="D37">
        <v>2</v>
      </c>
      <c r="E37">
        <v>3</v>
      </c>
      <c r="F37">
        <v>2.198</v>
      </c>
    </row>
    <row r="38" spans="1:6" x14ac:dyDescent="0.2">
      <c r="A38" s="2">
        <v>46006</v>
      </c>
      <c r="B38" s="3">
        <v>0.875</v>
      </c>
      <c r="C38">
        <v>12</v>
      </c>
      <c r="D38">
        <v>20</v>
      </c>
      <c r="E38">
        <v>1</v>
      </c>
      <c r="F38">
        <v>1.46</v>
      </c>
    </row>
    <row r="39" spans="1:6" x14ac:dyDescent="0.2">
      <c r="A39" s="2">
        <v>46006</v>
      </c>
      <c r="B39" s="3">
        <v>0.875</v>
      </c>
      <c r="C39">
        <v>12</v>
      </c>
      <c r="D39">
        <v>20</v>
      </c>
      <c r="E39">
        <v>2</v>
      </c>
      <c r="F39">
        <v>1.363</v>
      </c>
    </row>
    <row r="40" spans="1:6" x14ac:dyDescent="0.2">
      <c r="A40" s="2">
        <v>46006</v>
      </c>
      <c r="B40" s="3">
        <v>0.875</v>
      </c>
      <c r="C40">
        <v>12</v>
      </c>
      <c r="D40">
        <v>20</v>
      </c>
      <c r="E40">
        <v>3</v>
      </c>
      <c r="F40">
        <v>1.369</v>
      </c>
    </row>
    <row r="41" spans="1:6" x14ac:dyDescent="0.2">
      <c r="A41" s="2">
        <v>46006</v>
      </c>
      <c r="B41" s="3">
        <v>0.875</v>
      </c>
      <c r="C41">
        <v>12</v>
      </c>
      <c r="D41">
        <v>200</v>
      </c>
      <c r="E41">
        <v>1</v>
      </c>
      <c r="F41">
        <v>0.48799999999999999</v>
      </c>
    </row>
    <row r="42" spans="1:6" x14ac:dyDescent="0.2">
      <c r="A42" s="2">
        <v>46006</v>
      </c>
      <c r="B42" s="3">
        <v>0.875</v>
      </c>
      <c r="C42">
        <v>12</v>
      </c>
      <c r="D42">
        <v>200</v>
      </c>
      <c r="E42">
        <v>2</v>
      </c>
      <c r="F42">
        <v>0.48599999999999999</v>
      </c>
    </row>
    <row r="43" spans="1:6" x14ac:dyDescent="0.2">
      <c r="A43" s="2">
        <v>46006</v>
      </c>
      <c r="B43" s="3">
        <v>0.875</v>
      </c>
      <c r="C43">
        <v>12</v>
      </c>
      <c r="D43">
        <v>200</v>
      </c>
      <c r="E43">
        <v>3</v>
      </c>
      <c r="F43">
        <v>0.47799999999999998</v>
      </c>
    </row>
    <row r="44" spans="1:6" x14ac:dyDescent="0.2">
      <c r="A44" s="2">
        <v>46006</v>
      </c>
      <c r="B44" s="3">
        <v>0.875</v>
      </c>
      <c r="C44">
        <v>12</v>
      </c>
      <c r="D44">
        <v>2000</v>
      </c>
      <c r="E44">
        <v>1</v>
      </c>
      <c r="F44">
        <v>0.6</v>
      </c>
    </row>
    <row r="45" spans="1:6" x14ac:dyDescent="0.2">
      <c r="A45" s="2">
        <v>46006</v>
      </c>
      <c r="B45" s="3">
        <v>0.875</v>
      </c>
      <c r="C45">
        <v>12</v>
      </c>
      <c r="D45">
        <v>2000</v>
      </c>
      <c r="E45">
        <v>2</v>
      </c>
      <c r="F45">
        <v>0.5</v>
      </c>
    </row>
    <row r="46" spans="1:6" x14ac:dyDescent="0.2">
      <c r="A46" s="2">
        <v>46006</v>
      </c>
      <c r="B46" s="3">
        <v>0.875</v>
      </c>
      <c r="C46">
        <v>12</v>
      </c>
      <c r="D46">
        <v>2000</v>
      </c>
      <c r="E46">
        <v>3</v>
      </c>
      <c r="F46">
        <v>0.434</v>
      </c>
    </row>
    <row r="47" spans="1:6" x14ac:dyDescent="0.2">
      <c r="A47" s="2">
        <v>46007</v>
      </c>
      <c r="B47" s="3">
        <v>0.38541666666666669</v>
      </c>
      <c r="C47">
        <v>24</v>
      </c>
      <c r="D47">
        <v>0</v>
      </c>
      <c r="E47">
        <v>1</v>
      </c>
      <c r="F47">
        <v>2.0720000000000001</v>
      </c>
    </row>
    <row r="48" spans="1:6" x14ac:dyDescent="0.2">
      <c r="A48" s="2">
        <v>46007</v>
      </c>
      <c r="B48" s="3">
        <v>0.38541666666666669</v>
      </c>
      <c r="C48">
        <v>24</v>
      </c>
      <c r="D48">
        <v>0</v>
      </c>
      <c r="E48">
        <v>2</v>
      </c>
      <c r="F48">
        <v>2.06</v>
      </c>
    </row>
    <row r="49" spans="1:6" x14ac:dyDescent="0.2">
      <c r="A49" s="2">
        <v>46007</v>
      </c>
      <c r="B49" s="3">
        <v>0.38541666666666669</v>
      </c>
      <c r="C49">
        <v>24</v>
      </c>
      <c r="D49">
        <v>0</v>
      </c>
      <c r="E49">
        <v>3</v>
      </c>
      <c r="F49">
        <v>2.077</v>
      </c>
    </row>
    <row r="50" spans="1:6" x14ac:dyDescent="0.2">
      <c r="A50" s="2">
        <v>46007</v>
      </c>
      <c r="B50" s="3">
        <v>0.38541666666666702</v>
      </c>
      <c r="C50">
        <v>24</v>
      </c>
      <c r="D50">
        <v>2</v>
      </c>
      <c r="E50">
        <v>1</v>
      </c>
      <c r="F50">
        <v>2.1040000000000001</v>
      </c>
    </row>
    <row r="51" spans="1:6" x14ac:dyDescent="0.2">
      <c r="A51" s="2">
        <v>46007</v>
      </c>
      <c r="B51" s="3">
        <v>0.38541666666666702</v>
      </c>
      <c r="C51">
        <v>24</v>
      </c>
      <c r="D51">
        <v>2</v>
      </c>
      <c r="E51">
        <v>2</v>
      </c>
      <c r="F51">
        <v>2.0659999999999998</v>
      </c>
    </row>
    <row r="52" spans="1:6" x14ac:dyDescent="0.2">
      <c r="A52" s="2">
        <v>46007</v>
      </c>
      <c r="B52" s="3">
        <v>0.38541666666666702</v>
      </c>
      <c r="C52">
        <v>24</v>
      </c>
      <c r="D52">
        <v>2</v>
      </c>
      <c r="E52">
        <v>3</v>
      </c>
      <c r="F52">
        <v>2.0459999999999998</v>
      </c>
    </row>
    <row r="53" spans="1:6" x14ac:dyDescent="0.2">
      <c r="A53" s="2">
        <v>46007</v>
      </c>
      <c r="B53" s="3">
        <v>0.38541666666666702</v>
      </c>
      <c r="C53">
        <v>24</v>
      </c>
      <c r="D53">
        <v>20</v>
      </c>
      <c r="E53">
        <v>1</v>
      </c>
      <c r="F53">
        <v>1.956</v>
      </c>
    </row>
    <row r="54" spans="1:6" x14ac:dyDescent="0.2">
      <c r="A54" s="2">
        <v>46007</v>
      </c>
      <c r="B54" s="3">
        <v>0.38541666666666702</v>
      </c>
      <c r="C54">
        <v>24</v>
      </c>
      <c r="D54">
        <v>20</v>
      </c>
      <c r="E54">
        <v>2</v>
      </c>
      <c r="F54">
        <v>1.98</v>
      </c>
    </row>
    <row r="55" spans="1:6" x14ac:dyDescent="0.2">
      <c r="A55" s="2">
        <v>46007</v>
      </c>
      <c r="B55" s="3">
        <v>0.38541666666666702</v>
      </c>
      <c r="C55">
        <v>24</v>
      </c>
      <c r="D55">
        <v>20</v>
      </c>
      <c r="E55">
        <v>3</v>
      </c>
      <c r="F55">
        <v>1.9870000000000001</v>
      </c>
    </row>
    <row r="56" spans="1:6" x14ac:dyDescent="0.2">
      <c r="A56" s="2">
        <v>46007</v>
      </c>
      <c r="B56" s="3">
        <v>0.38541666666666702</v>
      </c>
      <c r="C56">
        <v>24</v>
      </c>
      <c r="D56">
        <v>200</v>
      </c>
      <c r="E56">
        <v>1</v>
      </c>
      <c r="F56">
        <v>0.47699999999999998</v>
      </c>
    </row>
    <row r="57" spans="1:6" x14ac:dyDescent="0.2">
      <c r="A57" s="2">
        <v>46007</v>
      </c>
      <c r="B57" s="3">
        <v>0.38541666666666702</v>
      </c>
      <c r="C57">
        <v>24</v>
      </c>
      <c r="D57">
        <v>200</v>
      </c>
      <c r="E57">
        <v>2</v>
      </c>
      <c r="F57">
        <v>0.48099999999999998</v>
      </c>
    </row>
    <row r="58" spans="1:6" x14ac:dyDescent="0.2">
      <c r="A58" s="2">
        <v>46007</v>
      </c>
      <c r="B58" s="3">
        <v>0.38541666666666702</v>
      </c>
      <c r="C58">
        <v>24</v>
      </c>
      <c r="D58">
        <v>200</v>
      </c>
      <c r="E58">
        <v>3</v>
      </c>
      <c r="F58">
        <v>0.47599999999999998</v>
      </c>
    </row>
    <row r="59" spans="1:6" x14ac:dyDescent="0.2">
      <c r="A59" s="2">
        <v>46007</v>
      </c>
      <c r="B59" s="3">
        <v>0.38541666666666702</v>
      </c>
      <c r="C59">
        <v>24</v>
      </c>
      <c r="D59">
        <v>2000</v>
      </c>
      <c r="E59">
        <v>1</v>
      </c>
      <c r="F59">
        <v>0.60699999999999998</v>
      </c>
    </row>
    <row r="60" spans="1:6" x14ac:dyDescent="0.2">
      <c r="A60" s="2">
        <v>46007</v>
      </c>
      <c r="B60" s="3">
        <v>0.38541666666666702</v>
      </c>
      <c r="C60">
        <v>24</v>
      </c>
      <c r="D60">
        <v>2000</v>
      </c>
      <c r="E60">
        <v>2</v>
      </c>
      <c r="F60">
        <v>0.52400000000000002</v>
      </c>
    </row>
    <row r="61" spans="1:6" x14ac:dyDescent="0.2">
      <c r="A61" s="2">
        <v>46007</v>
      </c>
      <c r="B61" s="3">
        <v>0.38541666666666702</v>
      </c>
      <c r="C61">
        <v>24</v>
      </c>
      <c r="D61">
        <v>2000</v>
      </c>
      <c r="E61">
        <v>3</v>
      </c>
      <c r="F61">
        <v>0.437</v>
      </c>
    </row>
    <row r="62" spans="1:6" x14ac:dyDescent="0.2">
      <c r="A62" s="2">
        <v>46007</v>
      </c>
      <c r="B62" s="3">
        <v>0.54999999999999993</v>
      </c>
      <c r="C62">
        <v>28</v>
      </c>
      <c r="D62">
        <v>0</v>
      </c>
      <c r="E62">
        <v>1</v>
      </c>
      <c r="F62">
        <v>2.0499999999999998</v>
      </c>
    </row>
    <row r="63" spans="1:6" x14ac:dyDescent="0.2">
      <c r="A63" s="2">
        <v>46007</v>
      </c>
      <c r="B63" s="3">
        <v>0.54999999999999993</v>
      </c>
      <c r="C63">
        <v>28</v>
      </c>
      <c r="D63">
        <v>0</v>
      </c>
      <c r="E63">
        <v>2</v>
      </c>
      <c r="F63">
        <v>2.0539999999999998</v>
      </c>
    </row>
    <row r="64" spans="1:6" x14ac:dyDescent="0.2">
      <c r="A64" s="2">
        <v>46007</v>
      </c>
      <c r="B64" s="3">
        <v>0.55000000000000004</v>
      </c>
      <c r="C64">
        <v>28</v>
      </c>
      <c r="D64">
        <v>0</v>
      </c>
      <c r="E64">
        <v>3</v>
      </c>
      <c r="F64">
        <v>2.0630000000000002</v>
      </c>
    </row>
    <row r="65" spans="1:6" x14ac:dyDescent="0.2">
      <c r="A65" s="2">
        <v>46007</v>
      </c>
      <c r="B65" s="3">
        <v>0.55000000000000004</v>
      </c>
      <c r="C65">
        <v>28</v>
      </c>
      <c r="D65">
        <v>2</v>
      </c>
      <c r="E65">
        <v>1</v>
      </c>
      <c r="F65">
        <v>2.0830000000000002</v>
      </c>
    </row>
    <row r="66" spans="1:6" x14ac:dyDescent="0.2">
      <c r="A66" s="2">
        <v>46007</v>
      </c>
      <c r="B66" s="3">
        <v>0.55000000000000004</v>
      </c>
      <c r="C66">
        <v>28</v>
      </c>
      <c r="D66">
        <v>2</v>
      </c>
      <c r="E66">
        <v>2</v>
      </c>
      <c r="F66">
        <v>2.0510000000000002</v>
      </c>
    </row>
    <row r="67" spans="1:6" x14ac:dyDescent="0.2">
      <c r="A67" s="2">
        <v>46007</v>
      </c>
      <c r="B67" s="3">
        <v>0.55000000000000004</v>
      </c>
      <c r="C67">
        <v>28</v>
      </c>
      <c r="D67">
        <v>2</v>
      </c>
      <c r="E67">
        <v>3</v>
      </c>
      <c r="F67">
        <v>2.028</v>
      </c>
    </row>
    <row r="68" spans="1:6" x14ac:dyDescent="0.2">
      <c r="A68" s="2">
        <v>46007</v>
      </c>
      <c r="B68" s="3">
        <v>0.55000000000000004</v>
      </c>
      <c r="C68">
        <v>28</v>
      </c>
      <c r="D68">
        <v>20</v>
      </c>
      <c r="E68">
        <v>1</v>
      </c>
      <c r="F68">
        <v>1.9359999999999999</v>
      </c>
    </row>
    <row r="69" spans="1:6" x14ac:dyDescent="0.2">
      <c r="A69" s="2">
        <v>46007</v>
      </c>
      <c r="B69" s="3">
        <v>0.55000000000000004</v>
      </c>
      <c r="C69">
        <v>28</v>
      </c>
      <c r="D69">
        <v>20</v>
      </c>
      <c r="E69">
        <v>2</v>
      </c>
      <c r="F69">
        <v>1.9330000000000001</v>
      </c>
    </row>
    <row r="70" spans="1:6" x14ac:dyDescent="0.2">
      <c r="A70" s="2">
        <v>46007</v>
      </c>
      <c r="B70" s="3">
        <v>0.55000000000000004</v>
      </c>
      <c r="C70">
        <v>28</v>
      </c>
      <c r="D70">
        <v>20</v>
      </c>
      <c r="E70">
        <v>3</v>
      </c>
      <c r="F70">
        <v>1.9379999999999999</v>
      </c>
    </row>
    <row r="71" spans="1:6" x14ac:dyDescent="0.2">
      <c r="A71" s="2">
        <v>46007</v>
      </c>
      <c r="B71" s="3">
        <v>0.55000000000000004</v>
      </c>
      <c r="C71">
        <v>28</v>
      </c>
      <c r="D71">
        <v>200</v>
      </c>
      <c r="E71">
        <v>1</v>
      </c>
      <c r="F71">
        <v>0.46600000000000003</v>
      </c>
    </row>
    <row r="72" spans="1:6" x14ac:dyDescent="0.2">
      <c r="A72" s="2">
        <v>46007</v>
      </c>
      <c r="B72" s="3">
        <v>0.55000000000000004</v>
      </c>
      <c r="C72">
        <v>28</v>
      </c>
      <c r="D72">
        <v>200</v>
      </c>
      <c r="E72">
        <v>2</v>
      </c>
      <c r="F72">
        <v>0.47499999999999998</v>
      </c>
    </row>
    <row r="73" spans="1:6" x14ac:dyDescent="0.2">
      <c r="A73" s="2">
        <v>46007</v>
      </c>
      <c r="B73" s="3">
        <v>0.55000000000000004</v>
      </c>
      <c r="C73">
        <v>28</v>
      </c>
      <c r="D73">
        <v>200</v>
      </c>
      <c r="E73">
        <v>3</v>
      </c>
      <c r="F73">
        <v>0.46600000000000003</v>
      </c>
    </row>
    <row r="74" spans="1:6" x14ac:dyDescent="0.2">
      <c r="A74" s="2">
        <v>46007</v>
      </c>
      <c r="B74" s="3">
        <v>0.55000000000000004</v>
      </c>
      <c r="C74">
        <v>28</v>
      </c>
      <c r="D74">
        <v>2000</v>
      </c>
      <c r="E74">
        <v>1</v>
      </c>
      <c r="F74">
        <v>0.60599999999999998</v>
      </c>
    </row>
    <row r="75" spans="1:6" x14ac:dyDescent="0.2">
      <c r="A75" s="2">
        <v>46007</v>
      </c>
      <c r="B75" s="3">
        <v>0.55000000000000004</v>
      </c>
      <c r="C75">
        <v>28</v>
      </c>
      <c r="D75">
        <v>2000</v>
      </c>
      <c r="E75">
        <v>2</v>
      </c>
      <c r="F75">
        <v>0.48599999999999999</v>
      </c>
    </row>
    <row r="76" spans="1:6" x14ac:dyDescent="0.2">
      <c r="A76" s="2">
        <v>46007</v>
      </c>
      <c r="B76" s="3">
        <v>0.55000000000000004</v>
      </c>
      <c r="C76">
        <v>28</v>
      </c>
      <c r="D76">
        <v>2000</v>
      </c>
      <c r="E76">
        <v>3</v>
      </c>
      <c r="F76">
        <v>0.41599999999999998</v>
      </c>
    </row>
    <row r="77" spans="1:6" x14ac:dyDescent="0.2">
      <c r="A77" s="2">
        <v>46007</v>
      </c>
      <c r="B77" s="3">
        <v>0.71875</v>
      </c>
      <c r="C77">
        <v>32</v>
      </c>
      <c r="D77">
        <v>0</v>
      </c>
      <c r="E77">
        <v>1</v>
      </c>
      <c r="F77">
        <v>2.0470000000000002</v>
      </c>
    </row>
    <row r="78" spans="1:6" x14ac:dyDescent="0.2">
      <c r="A78" s="2">
        <v>46007</v>
      </c>
      <c r="B78" s="3">
        <v>0.71875</v>
      </c>
      <c r="C78">
        <v>32</v>
      </c>
      <c r="D78">
        <v>0</v>
      </c>
      <c r="E78">
        <v>2</v>
      </c>
      <c r="F78">
        <v>2.036</v>
      </c>
    </row>
    <row r="79" spans="1:6" x14ac:dyDescent="0.2">
      <c r="A79" s="2">
        <v>46007</v>
      </c>
      <c r="B79" s="3">
        <v>0.71875</v>
      </c>
      <c r="C79">
        <v>32</v>
      </c>
      <c r="D79">
        <v>0</v>
      </c>
      <c r="E79">
        <v>3</v>
      </c>
      <c r="F79">
        <v>2.0419999999999998</v>
      </c>
    </row>
    <row r="80" spans="1:6" x14ac:dyDescent="0.2">
      <c r="A80" s="2">
        <v>46007</v>
      </c>
      <c r="B80" s="3">
        <v>0.71875</v>
      </c>
      <c r="C80">
        <v>32</v>
      </c>
      <c r="D80">
        <v>2</v>
      </c>
      <c r="E80">
        <v>1</v>
      </c>
      <c r="F80">
        <v>2.073</v>
      </c>
    </row>
    <row r="81" spans="1:6" x14ac:dyDescent="0.2">
      <c r="A81" s="2">
        <v>46007</v>
      </c>
      <c r="B81" s="3">
        <v>0.71875</v>
      </c>
      <c r="C81">
        <v>32</v>
      </c>
      <c r="D81">
        <v>2</v>
      </c>
      <c r="E81">
        <v>2</v>
      </c>
      <c r="F81">
        <v>2.04</v>
      </c>
    </row>
    <row r="82" spans="1:6" x14ac:dyDescent="0.2">
      <c r="A82" s="2">
        <v>46007</v>
      </c>
      <c r="B82" s="3">
        <v>0.71875</v>
      </c>
      <c r="C82">
        <v>32</v>
      </c>
      <c r="D82">
        <v>2</v>
      </c>
      <c r="E82">
        <v>3</v>
      </c>
      <c r="F82">
        <v>2.0099999999999998</v>
      </c>
    </row>
    <row r="83" spans="1:6" x14ac:dyDescent="0.2">
      <c r="A83" s="2">
        <v>46007</v>
      </c>
      <c r="B83" s="3">
        <v>0.71875</v>
      </c>
      <c r="C83">
        <v>32</v>
      </c>
      <c r="D83">
        <v>20</v>
      </c>
      <c r="E83">
        <v>1</v>
      </c>
      <c r="F83">
        <v>1.9079999999999999</v>
      </c>
    </row>
    <row r="84" spans="1:6" x14ac:dyDescent="0.2">
      <c r="A84" s="2">
        <v>46007</v>
      </c>
      <c r="B84" s="3">
        <v>0.71875</v>
      </c>
      <c r="C84">
        <v>32</v>
      </c>
      <c r="D84">
        <v>20</v>
      </c>
      <c r="E84">
        <v>2</v>
      </c>
      <c r="F84">
        <v>1.915</v>
      </c>
    </row>
    <row r="85" spans="1:6" x14ac:dyDescent="0.2">
      <c r="A85" s="2">
        <v>46007</v>
      </c>
      <c r="B85" s="3">
        <v>0.71875</v>
      </c>
      <c r="C85">
        <v>32</v>
      </c>
      <c r="D85">
        <v>20</v>
      </c>
      <c r="E85">
        <v>3</v>
      </c>
      <c r="F85">
        <v>1.9139999999999999</v>
      </c>
    </row>
    <row r="86" spans="1:6" x14ac:dyDescent="0.2">
      <c r="A86" s="2">
        <v>46007</v>
      </c>
      <c r="B86" s="3">
        <v>0.71875</v>
      </c>
      <c r="C86">
        <v>32</v>
      </c>
      <c r="D86">
        <v>200</v>
      </c>
      <c r="E86">
        <v>1</v>
      </c>
      <c r="F86">
        <v>0.438</v>
      </c>
    </row>
    <row r="87" spans="1:6" x14ac:dyDescent="0.2">
      <c r="A87" s="2">
        <v>46007</v>
      </c>
      <c r="B87" s="3">
        <v>0.71875</v>
      </c>
      <c r="C87">
        <v>32</v>
      </c>
      <c r="D87">
        <v>200</v>
      </c>
      <c r="E87">
        <v>2</v>
      </c>
      <c r="F87">
        <v>0.46700000000000003</v>
      </c>
    </row>
    <row r="88" spans="1:6" x14ac:dyDescent="0.2">
      <c r="A88" s="2">
        <v>46007</v>
      </c>
      <c r="B88" s="3">
        <v>0.71875</v>
      </c>
      <c r="C88">
        <v>32</v>
      </c>
      <c r="D88">
        <v>200</v>
      </c>
      <c r="E88">
        <v>3</v>
      </c>
      <c r="F88">
        <v>0.439</v>
      </c>
    </row>
    <row r="89" spans="1:6" x14ac:dyDescent="0.2">
      <c r="A89" s="2">
        <v>46007</v>
      </c>
      <c r="B89" s="3">
        <v>0.71875</v>
      </c>
      <c r="C89">
        <v>32</v>
      </c>
      <c r="D89">
        <v>2000</v>
      </c>
      <c r="E89">
        <v>1</v>
      </c>
      <c r="F89">
        <v>0.52800000000000002</v>
      </c>
    </row>
    <row r="90" spans="1:6" x14ac:dyDescent="0.2">
      <c r="A90" s="2">
        <v>46007</v>
      </c>
      <c r="B90" s="3">
        <v>0.71875</v>
      </c>
      <c r="C90">
        <v>32</v>
      </c>
      <c r="D90">
        <v>2000</v>
      </c>
      <c r="E90">
        <v>2</v>
      </c>
      <c r="F90">
        <v>0.44600000000000001</v>
      </c>
    </row>
    <row r="91" spans="1:6" x14ac:dyDescent="0.2">
      <c r="A91" s="2">
        <v>46007</v>
      </c>
      <c r="B91" s="3">
        <v>0.71875</v>
      </c>
      <c r="C91">
        <v>32</v>
      </c>
      <c r="D91">
        <v>2000</v>
      </c>
      <c r="E91">
        <v>3</v>
      </c>
      <c r="F91">
        <v>0.39700000000000002</v>
      </c>
    </row>
    <row r="92" spans="1:6" x14ac:dyDescent="0.2">
      <c r="A92" s="2">
        <v>46008</v>
      </c>
      <c r="B92" s="3">
        <v>0.43541666666666662</v>
      </c>
      <c r="C92">
        <v>49.5</v>
      </c>
      <c r="D92">
        <v>0</v>
      </c>
      <c r="E92">
        <v>1</v>
      </c>
      <c r="F92">
        <v>1.998</v>
      </c>
    </row>
    <row r="93" spans="1:6" x14ac:dyDescent="0.2">
      <c r="A93" s="2">
        <v>46008</v>
      </c>
      <c r="B93" s="3">
        <v>0.43541666666666662</v>
      </c>
      <c r="C93">
        <v>49.5</v>
      </c>
      <c r="D93">
        <v>0</v>
      </c>
      <c r="E93">
        <v>2</v>
      </c>
      <c r="F93">
        <v>1.9990000000000001</v>
      </c>
    </row>
    <row r="94" spans="1:6" x14ac:dyDescent="0.2">
      <c r="A94" s="2">
        <v>46008</v>
      </c>
      <c r="B94" s="3">
        <v>0.43541666666666662</v>
      </c>
      <c r="C94">
        <v>49.5</v>
      </c>
      <c r="D94">
        <v>0</v>
      </c>
      <c r="E94">
        <v>3</v>
      </c>
      <c r="F94">
        <v>1.9850000000000001</v>
      </c>
    </row>
    <row r="95" spans="1:6" x14ac:dyDescent="0.2">
      <c r="A95" s="2">
        <v>46008</v>
      </c>
      <c r="B95" s="3">
        <v>0.43541666666666701</v>
      </c>
      <c r="C95">
        <v>49.5</v>
      </c>
      <c r="D95">
        <v>2</v>
      </c>
      <c r="E95">
        <v>1</v>
      </c>
      <c r="F95">
        <v>2.0249999999999999</v>
      </c>
    </row>
    <row r="96" spans="1:6" x14ac:dyDescent="0.2">
      <c r="A96" s="2">
        <v>46008</v>
      </c>
      <c r="B96" s="3">
        <v>0.43541666666666701</v>
      </c>
      <c r="C96">
        <v>49.5</v>
      </c>
      <c r="D96">
        <v>2</v>
      </c>
      <c r="E96">
        <v>2</v>
      </c>
      <c r="F96">
        <v>1.9890000000000001</v>
      </c>
    </row>
    <row r="97" spans="1:6" x14ac:dyDescent="0.2">
      <c r="A97" s="2">
        <v>46008</v>
      </c>
      <c r="B97" s="3">
        <v>0.43541666666666701</v>
      </c>
      <c r="C97">
        <v>49.5</v>
      </c>
      <c r="D97">
        <v>2</v>
      </c>
      <c r="E97">
        <v>3</v>
      </c>
      <c r="F97">
        <v>1.982</v>
      </c>
    </row>
    <row r="98" spans="1:6" x14ac:dyDescent="0.2">
      <c r="A98" s="2">
        <v>46008</v>
      </c>
      <c r="B98" s="3">
        <v>0.43541666666666701</v>
      </c>
      <c r="C98">
        <v>49.5</v>
      </c>
      <c r="D98">
        <v>20</v>
      </c>
      <c r="E98">
        <v>1</v>
      </c>
      <c r="F98">
        <v>1.8779999999999999</v>
      </c>
    </row>
    <row r="99" spans="1:6" x14ac:dyDescent="0.2">
      <c r="A99" s="2">
        <v>46008</v>
      </c>
      <c r="B99" s="3">
        <v>0.43541666666666701</v>
      </c>
      <c r="C99">
        <v>49.5</v>
      </c>
      <c r="D99">
        <v>20</v>
      </c>
      <c r="E99">
        <v>2</v>
      </c>
      <c r="F99">
        <v>1.857</v>
      </c>
    </row>
    <row r="100" spans="1:6" x14ac:dyDescent="0.2">
      <c r="A100" s="2">
        <v>46008</v>
      </c>
      <c r="B100" s="3">
        <v>0.43541666666666701</v>
      </c>
      <c r="C100">
        <v>49.5</v>
      </c>
      <c r="D100">
        <v>20</v>
      </c>
      <c r="E100">
        <v>3</v>
      </c>
      <c r="F100">
        <v>1.8660000000000001</v>
      </c>
    </row>
    <row r="101" spans="1:6" x14ac:dyDescent="0.2">
      <c r="A101" s="2">
        <v>46008</v>
      </c>
      <c r="B101" s="3">
        <v>0.43541666666666701</v>
      </c>
      <c r="C101">
        <v>49.5</v>
      </c>
      <c r="D101">
        <v>200</v>
      </c>
      <c r="E101">
        <v>1</v>
      </c>
      <c r="F101">
        <v>0.41899999999999998</v>
      </c>
    </row>
    <row r="102" spans="1:6" x14ac:dyDescent="0.2">
      <c r="A102" s="2">
        <v>46008</v>
      </c>
      <c r="B102" s="3">
        <v>0.43541666666666701</v>
      </c>
      <c r="C102">
        <v>49.5</v>
      </c>
      <c r="D102">
        <v>200</v>
      </c>
      <c r="E102">
        <v>2</v>
      </c>
      <c r="F102">
        <v>0.42299999999999999</v>
      </c>
    </row>
    <row r="103" spans="1:6" x14ac:dyDescent="0.2">
      <c r="A103" s="2">
        <v>46008</v>
      </c>
      <c r="B103" s="3">
        <v>0.43541666666666701</v>
      </c>
      <c r="C103">
        <v>49.5</v>
      </c>
      <c r="D103">
        <v>200</v>
      </c>
      <c r="E103">
        <v>3</v>
      </c>
      <c r="F103">
        <v>0.42</v>
      </c>
    </row>
    <row r="104" spans="1:6" x14ac:dyDescent="0.2">
      <c r="A104" s="2">
        <v>46008</v>
      </c>
      <c r="B104" s="3">
        <v>0.43541666666666701</v>
      </c>
      <c r="C104">
        <v>49.5</v>
      </c>
      <c r="D104">
        <v>2000</v>
      </c>
      <c r="E104">
        <v>1</v>
      </c>
      <c r="F104">
        <v>0.44</v>
      </c>
    </row>
    <row r="105" spans="1:6" x14ac:dyDescent="0.2">
      <c r="A105" s="2">
        <v>46008</v>
      </c>
      <c r="B105" s="3">
        <v>0.43541666666666701</v>
      </c>
      <c r="C105">
        <v>49.5</v>
      </c>
      <c r="D105">
        <v>2000</v>
      </c>
      <c r="E105">
        <v>2</v>
      </c>
      <c r="F105">
        <v>0.39200000000000002</v>
      </c>
    </row>
    <row r="106" spans="1:6" x14ac:dyDescent="0.2">
      <c r="A106" s="2">
        <v>46008</v>
      </c>
      <c r="B106" s="3">
        <v>0.43541666666666701</v>
      </c>
      <c r="C106">
        <v>49.5</v>
      </c>
      <c r="D106">
        <v>2000</v>
      </c>
      <c r="E106">
        <v>3</v>
      </c>
      <c r="F106">
        <v>0.40500000000000003</v>
      </c>
    </row>
    <row r="107" spans="1:6" x14ac:dyDescent="0.2">
      <c r="A107" s="2">
        <v>46008</v>
      </c>
      <c r="B107" s="3">
        <v>0.67569444444444438</v>
      </c>
      <c r="C107">
        <v>55</v>
      </c>
      <c r="D107">
        <v>0</v>
      </c>
      <c r="E107">
        <v>1</v>
      </c>
      <c r="F107">
        <v>1.9870000000000001</v>
      </c>
    </row>
    <row r="108" spans="1:6" x14ac:dyDescent="0.2">
      <c r="A108" s="2">
        <v>46008</v>
      </c>
      <c r="B108" s="3">
        <v>0.67569444444444438</v>
      </c>
      <c r="C108">
        <v>55</v>
      </c>
      <c r="D108">
        <v>0</v>
      </c>
      <c r="E108">
        <v>2</v>
      </c>
      <c r="F108">
        <v>2</v>
      </c>
    </row>
    <row r="109" spans="1:6" x14ac:dyDescent="0.2">
      <c r="A109" s="2">
        <v>46008</v>
      </c>
      <c r="B109" s="3">
        <v>0.67569444444444404</v>
      </c>
      <c r="C109">
        <v>55</v>
      </c>
      <c r="D109">
        <v>0</v>
      </c>
      <c r="E109">
        <v>3</v>
      </c>
      <c r="F109">
        <v>1.9870000000000001</v>
      </c>
    </row>
    <row r="110" spans="1:6" x14ac:dyDescent="0.2">
      <c r="A110" s="2">
        <v>46008</v>
      </c>
      <c r="B110" s="3">
        <v>0.67569444444444404</v>
      </c>
      <c r="C110">
        <v>55</v>
      </c>
      <c r="D110">
        <v>2</v>
      </c>
      <c r="E110">
        <v>1</v>
      </c>
      <c r="F110">
        <v>2.0219999999999998</v>
      </c>
    </row>
    <row r="111" spans="1:6" x14ac:dyDescent="0.2">
      <c r="A111" s="2">
        <v>46008</v>
      </c>
      <c r="B111" s="3">
        <v>0.67569444444444404</v>
      </c>
      <c r="C111">
        <v>55</v>
      </c>
      <c r="D111">
        <v>2</v>
      </c>
      <c r="E111">
        <v>2</v>
      </c>
      <c r="F111">
        <v>1.984</v>
      </c>
    </row>
    <row r="112" spans="1:6" x14ac:dyDescent="0.2">
      <c r="A112" s="2">
        <v>46008</v>
      </c>
      <c r="B112" s="3">
        <v>0.67569444444444404</v>
      </c>
      <c r="C112">
        <v>55</v>
      </c>
      <c r="D112">
        <v>2</v>
      </c>
      <c r="E112">
        <v>3</v>
      </c>
      <c r="F112">
        <v>1.9810000000000001</v>
      </c>
    </row>
    <row r="113" spans="1:6" x14ac:dyDescent="0.2">
      <c r="A113" s="2">
        <v>46008</v>
      </c>
      <c r="B113" s="3">
        <v>0.67569444444444404</v>
      </c>
      <c r="C113">
        <v>55</v>
      </c>
      <c r="D113">
        <v>20</v>
      </c>
      <c r="E113">
        <v>1</v>
      </c>
      <c r="F113">
        <v>1.901</v>
      </c>
    </row>
    <row r="114" spans="1:6" x14ac:dyDescent="0.2">
      <c r="A114" s="2">
        <v>46008</v>
      </c>
      <c r="B114" s="3">
        <v>0.67569444444444404</v>
      </c>
      <c r="C114">
        <v>55</v>
      </c>
      <c r="D114">
        <v>20</v>
      </c>
      <c r="E114">
        <v>2</v>
      </c>
      <c r="F114">
        <v>1.845</v>
      </c>
    </row>
    <row r="115" spans="1:6" x14ac:dyDescent="0.2">
      <c r="A115" s="2">
        <v>46008</v>
      </c>
      <c r="B115" s="3">
        <v>0.67569444444444404</v>
      </c>
      <c r="C115">
        <v>55</v>
      </c>
      <c r="D115">
        <v>20</v>
      </c>
      <c r="E115">
        <v>3</v>
      </c>
      <c r="F115">
        <v>1.877</v>
      </c>
    </row>
    <row r="116" spans="1:6" x14ac:dyDescent="0.2">
      <c r="A116" s="2">
        <v>46008</v>
      </c>
      <c r="B116" s="3">
        <v>0.67569444444444404</v>
      </c>
      <c r="C116">
        <v>55</v>
      </c>
      <c r="D116">
        <v>200</v>
      </c>
      <c r="E116">
        <v>1</v>
      </c>
      <c r="F116">
        <v>0.41599999999999998</v>
      </c>
    </row>
    <row r="117" spans="1:6" x14ac:dyDescent="0.2">
      <c r="A117" s="2">
        <v>46008</v>
      </c>
      <c r="B117" s="3">
        <v>0.67569444444444404</v>
      </c>
      <c r="C117">
        <v>55</v>
      </c>
      <c r="D117">
        <v>200</v>
      </c>
      <c r="E117">
        <v>2</v>
      </c>
      <c r="F117">
        <v>0.41699999999999998</v>
      </c>
    </row>
    <row r="118" spans="1:6" x14ac:dyDescent="0.2">
      <c r="A118" s="2">
        <v>46008</v>
      </c>
      <c r="B118" s="3">
        <v>0.67569444444444404</v>
      </c>
      <c r="C118">
        <v>55</v>
      </c>
      <c r="D118">
        <v>200</v>
      </c>
      <c r="E118">
        <v>3</v>
      </c>
      <c r="F118">
        <v>0.42</v>
      </c>
    </row>
    <row r="119" spans="1:6" x14ac:dyDescent="0.2">
      <c r="A119" s="2">
        <v>46008</v>
      </c>
      <c r="B119" s="3">
        <v>0.67569444444444404</v>
      </c>
      <c r="C119">
        <v>55</v>
      </c>
      <c r="D119">
        <v>2000</v>
      </c>
      <c r="E119">
        <v>1</v>
      </c>
      <c r="F119">
        <v>0.41099999999999998</v>
      </c>
    </row>
    <row r="120" spans="1:6" x14ac:dyDescent="0.2">
      <c r="A120" s="2">
        <v>46008</v>
      </c>
      <c r="B120" s="3">
        <v>0.67569444444444404</v>
      </c>
      <c r="C120">
        <v>55</v>
      </c>
      <c r="D120">
        <v>2000</v>
      </c>
      <c r="E120">
        <v>2</v>
      </c>
      <c r="F120">
        <v>0.38300000000000001</v>
      </c>
    </row>
    <row r="121" spans="1:6" x14ac:dyDescent="0.2">
      <c r="A121" s="2">
        <v>46008</v>
      </c>
      <c r="B121" s="3">
        <v>0.67569444444444404</v>
      </c>
      <c r="C121">
        <v>55</v>
      </c>
      <c r="D121">
        <v>2000</v>
      </c>
      <c r="E121">
        <v>3</v>
      </c>
      <c r="F121">
        <v>0.39900000000000002</v>
      </c>
    </row>
    <row r="122" spans="1:6" x14ac:dyDescent="0.2">
      <c r="A122" s="2">
        <v>46141</v>
      </c>
      <c r="B122" s="3">
        <v>0.45833333333333331</v>
      </c>
      <c r="C122">
        <v>0</v>
      </c>
      <c r="D122">
        <v>0</v>
      </c>
      <c r="E122">
        <v>1</v>
      </c>
      <c r="F122">
        <v>0.4</v>
      </c>
    </row>
    <row r="123" spans="1:6" x14ac:dyDescent="0.2">
      <c r="A123" s="2">
        <v>46141</v>
      </c>
      <c r="B123" s="3">
        <v>0.45833333333333331</v>
      </c>
      <c r="C123">
        <v>0</v>
      </c>
      <c r="D123">
        <v>0</v>
      </c>
      <c r="E123">
        <v>2</v>
      </c>
      <c r="F123">
        <v>0.41199999999999998</v>
      </c>
    </row>
    <row r="124" spans="1:6" x14ac:dyDescent="0.2">
      <c r="A124" s="2">
        <v>46141</v>
      </c>
      <c r="B124" s="3">
        <v>0.45833333333333298</v>
      </c>
      <c r="C124">
        <v>0</v>
      </c>
      <c r="D124">
        <v>0</v>
      </c>
      <c r="E124">
        <v>3</v>
      </c>
      <c r="F124">
        <v>0.41499999999999998</v>
      </c>
    </row>
    <row r="125" spans="1:6" x14ac:dyDescent="0.2">
      <c r="A125" s="2">
        <v>46141</v>
      </c>
      <c r="B125" s="3">
        <v>0.45833333333333298</v>
      </c>
      <c r="C125">
        <v>0</v>
      </c>
      <c r="D125">
        <v>2</v>
      </c>
      <c r="E125">
        <v>1</v>
      </c>
      <c r="F125">
        <v>0.41199999999999998</v>
      </c>
    </row>
    <row r="126" spans="1:6" x14ac:dyDescent="0.2">
      <c r="A126" s="2">
        <v>46141</v>
      </c>
      <c r="B126" s="3">
        <v>0.45833333333333298</v>
      </c>
      <c r="C126">
        <v>0</v>
      </c>
      <c r="D126">
        <v>2</v>
      </c>
      <c r="E126">
        <v>2</v>
      </c>
      <c r="F126">
        <v>0.42599999999999999</v>
      </c>
    </row>
    <row r="127" spans="1:6" x14ac:dyDescent="0.2">
      <c r="A127" s="2">
        <v>46141</v>
      </c>
      <c r="B127" s="3">
        <v>0.45833333333333298</v>
      </c>
      <c r="C127">
        <v>0</v>
      </c>
      <c r="D127">
        <v>2</v>
      </c>
      <c r="E127">
        <v>3</v>
      </c>
      <c r="F127">
        <v>0.4</v>
      </c>
    </row>
    <row r="128" spans="1:6" x14ac:dyDescent="0.2">
      <c r="A128" s="2">
        <v>46141</v>
      </c>
      <c r="B128" s="3">
        <v>0.45833333333333298</v>
      </c>
      <c r="C128">
        <v>0</v>
      </c>
      <c r="D128">
        <v>20</v>
      </c>
      <c r="E128">
        <v>1</v>
      </c>
      <c r="F128">
        <v>0.38700000000000001</v>
      </c>
    </row>
    <row r="129" spans="1:6" x14ac:dyDescent="0.2">
      <c r="A129" s="2">
        <v>46141</v>
      </c>
      <c r="B129" s="3">
        <v>0.45833333333333298</v>
      </c>
      <c r="C129">
        <v>0</v>
      </c>
      <c r="D129">
        <v>20</v>
      </c>
      <c r="E129">
        <v>2</v>
      </c>
      <c r="F129">
        <v>0.41199999999999998</v>
      </c>
    </row>
    <row r="130" spans="1:6" x14ac:dyDescent="0.2">
      <c r="A130" s="2">
        <v>46141</v>
      </c>
      <c r="B130" s="3">
        <v>0.45833333333333298</v>
      </c>
      <c r="C130">
        <v>0</v>
      </c>
      <c r="D130">
        <v>20</v>
      </c>
      <c r="E130">
        <v>3</v>
      </c>
      <c r="F130">
        <v>0.40400000000000003</v>
      </c>
    </row>
    <row r="131" spans="1:6" x14ac:dyDescent="0.2">
      <c r="A131" s="2">
        <v>46141</v>
      </c>
      <c r="B131" s="3">
        <v>0.45833333333333298</v>
      </c>
      <c r="C131">
        <v>0</v>
      </c>
      <c r="D131">
        <v>200</v>
      </c>
      <c r="E131">
        <v>1</v>
      </c>
      <c r="F131">
        <v>0.36</v>
      </c>
    </row>
    <row r="132" spans="1:6" x14ac:dyDescent="0.2">
      <c r="A132" s="2">
        <v>46141</v>
      </c>
      <c r="B132" s="3">
        <v>0.45833333333333298</v>
      </c>
      <c r="C132">
        <v>0</v>
      </c>
      <c r="D132">
        <v>200</v>
      </c>
      <c r="E132">
        <v>2</v>
      </c>
      <c r="F132">
        <v>0.41199999999999998</v>
      </c>
    </row>
    <row r="133" spans="1:6" x14ac:dyDescent="0.2">
      <c r="A133" s="2">
        <v>46141</v>
      </c>
      <c r="B133" s="3">
        <v>0.45833333333333298</v>
      </c>
      <c r="C133">
        <v>0</v>
      </c>
      <c r="D133">
        <v>200</v>
      </c>
      <c r="E133">
        <v>3</v>
      </c>
      <c r="F133">
        <v>0.39800000000000002</v>
      </c>
    </row>
    <row r="134" spans="1:6" x14ac:dyDescent="0.2">
      <c r="A134" s="2">
        <v>46141</v>
      </c>
      <c r="B134" s="3">
        <v>0.45833333333333298</v>
      </c>
      <c r="C134">
        <v>0</v>
      </c>
      <c r="D134">
        <v>2000</v>
      </c>
      <c r="E134">
        <v>1</v>
      </c>
      <c r="F134">
        <v>0.443</v>
      </c>
    </row>
    <row r="135" spans="1:6" x14ac:dyDescent="0.2">
      <c r="A135" s="2">
        <v>46141</v>
      </c>
      <c r="B135" s="3">
        <v>0.45833333333333298</v>
      </c>
      <c r="C135">
        <v>0</v>
      </c>
      <c r="D135">
        <v>2000</v>
      </c>
      <c r="E135">
        <v>2</v>
      </c>
      <c r="F135">
        <v>0.436</v>
      </c>
    </row>
    <row r="136" spans="1:6" x14ac:dyDescent="0.2">
      <c r="A136" s="2">
        <v>46141</v>
      </c>
      <c r="B136" s="3">
        <v>0.45833333333333298</v>
      </c>
      <c r="C136">
        <v>0</v>
      </c>
      <c r="D136">
        <v>2000</v>
      </c>
      <c r="E136">
        <v>3</v>
      </c>
      <c r="F136">
        <v>0.44600000000000001</v>
      </c>
    </row>
    <row r="137" spans="1:6" x14ac:dyDescent="0.2">
      <c r="A137" s="2">
        <v>46141</v>
      </c>
      <c r="B137" s="3">
        <v>0.79166666666666663</v>
      </c>
      <c r="C137">
        <v>8</v>
      </c>
      <c r="D137">
        <v>0</v>
      </c>
      <c r="E137">
        <v>1</v>
      </c>
      <c r="F137">
        <v>1.919</v>
      </c>
    </row>
    <row r="138" spans="1:6" x14ac:dyDescent="0.2">
      <c r="A138" s="2">
        <v>46141</v>
      </c>
      <c r="B138" s="3">
        <v>0.79166666666666663</v>
      </c>
      <c r="C138">
        <v>8</v>
      </c>
      <c r="D138">
        <v>0</v>
      </c>
      <c r="E138">
        <v>2</v>
      </c>
      <c r="F138">
        <v>1.92</v>
      </c>
    </row>
    <row r="139" spans="1:6" x14ac:dyDescent="0.2">
      <c r="A139" s="2">
        <v>46141</v>
      </c>
      <c r="B139" s="3">
        <v>0.79166666666666696</v>
      </c>
      <c r="C139">
        <v>8</v>
      </c>
      <c r="D139">
        <v>0</v>
      </c>
      <c r="E139">
        <v>3</v>
      </c>
      <c r="F139">
        <v>1.9339999999999999</v>
      </c>
    </row>
    <row r="140" spans="1:6" x14ac:dyDescent="0.2">
      <c r="A140" s="2">
        <v>46141</v>
      </c>
      <c r="B140" s="3">
        <v>0.79166666666666696</v>
      </c>
      <c r="C140">
        <v>8</v>
      </c>
      <c r="D140">
        <v>2</v>
      </c>
      <c r="E140">
        <v>1</v>
      </c>
      <c r="F140">
        <v>1.9330000000000001</v>
      </c>
    </row>
    <row r="141" spans="1:6" x14ac:dyDescent="0.2">
      <c r="A141" s="2">
        <v>46141</v>
      </c>
      <c r="B141" s="3">
        <v>0.79166666666666696</v>
      </c>
      <c r="C141">
        <v>8</v>
      </c>
      <c r="D141">
        <v>2</v>
      </c>
      <c r="E141">
        <v>2</v>
      </c>
      <c r="F141">
        <v>2.0219999999999998</v>
      </c>
    </row>
    <row r="142" spans="1:6" x14ac:dyDescent="0.2">
      <c r="A142" s="2">
        <v>46141</v>
      </c>
      <c r="B142" s="3">
        <v>0.79166666666666696</v>
      </c>
      <c r="C142">
        <v>8</v>
      </c>
      <c r="D142">
        <v>2</v>
      </c>
      <c r="E142">
        <v>3</v>
      </c>
      <c r="F142">
        <v>2.0059999999999998</v>
      </c>
    </row>
    <row r="143" spans="1:6" x14ac:dyDescent="0.2">
      <c r="A143" s="2">
        <v>46141</v>
      </c>
      <c r="B143" s="3">
        <v>0.79166666666666696</v>
      </c>
      <c r="C143">
        <v>8</v>
      </c>
      <c r="D143">
        <v>20</v>
      </c>
      <c r="E143">
        <v>1</v>
      </c>
      <c r="F143">
        <v>1.206</v>
      </c>
    </row>
    <row r="144" spans="1:6" x14ac:dyDescent="0.2">
      <c r="A144" s="2">
        <v>46141</v>
      </c>
      <c r="B144" s="3">
        <v>0.79166666666666696</v>
      </c>
      <c r="C144">
        <v>8</v>
      </c>
      <c r="D144">
        <v>20</v>
      </c>
      <c r="E144">
        <v>2</v>
      </c>
      <c r="F144">
        <v>1.22</v>
      </c>
    </row>
    <row r="145" spans="1:6" x14ac:dyDescent="0.2">
      <c r="A145" s="2">
        <v>46141</v>
      </c>
      <c r="B145" s="3">
        <v>0.79166666666666696</v>
      </c>
      <c r="C145">
        <v>8</v>
      </c>
      <c r="D145">
        <v>20</v>
      </c>
      <c r="E145">
        <v>3</v>
      </c>
      <c r="F145">
        <v>1.2230000000000001</v>
      </c>
    </row>
    <row r="146" spans="1:6" x14ac:dyDescent="0.2">
      <c r="A146" s="2">
        <v>46141</v>
      </c>
      <c r="B146" s="3">
        <v>0.79166666666666696</v>
      </c>
      <c r="C146">
        <v>8</v>
      </c>
      <c r="D146">
        <v>200</v>
      </c>
      <c r="E146">
        <v>1</v>
      </c>
      <c r="F146">
        <v>0.46</v>
      </c>
    </row>
    <row r="147" spans="1:6" x14ac:dyDescent="0.2">
      <c r="A147" s="2">
        <v>46141</v>
      </c>
      <c r="B147" s="3">
        <v>0.79166666666666696</v>
      </c>
      <c r="C147">
        <v>8</v>
      </c>
      <c r="D147">
        <v>200</v>
      </c>
      <c r="E147">
        <v>2</v>
      </c>
      <c r="F147">
        <v>0.496</v>
      </c>
    </row>
    <row r="148" spans="1:6" x14ac:dyDescent="0.2">
      <c r="A148" s="2">
        <v>46141</v>
      </c>
      <c r="B148" s="3">
        <v>0.79166666666666696</v>
      </c>
      <c r="C148">
        <v>8</v>
      </c>
      <c r="D148">
        <v>200</v>
      </c>
      <c r="E148">
        <v>3</v>
      </c>
      <c r="F148">
        <v>0.48599999999999999</v>
      </c>
    </row>
    <row r="149" spans="1:6" x14ac:dyDescent="0.2">
      <c r="A149" s="2">
        <v>46141</v>
      </c>
      <c r="B149" s="3">
        <v>0.79166666666666696</v>
      </c>
      <c r="C149">
        <v>8</v>
      </c>
      <c r="D149">
        <v>2000</v>
      </c>
      <c r="E149">
        <v>1</v>
      </c>
      <c r="F149">
        <v>0.438</v>
      </c>
    </row>
    <row r="150" spans="1:6" x14ac:dyDescent="0.2">
      <c r="A150" s="2">
        <v>46141</v>
      </c>
      <c r="B150" s="3">
        <v>0.79166666666666696</v>
      </c>
      <c r="C150">
        <v>8</v>
      </c>
      <c r="D150">
        <v>2000</v>
      </c>
      <c r="E150">
        <v>2</v>
      </c>
      <c r="F150">
        <v>0.41499999999999998</v>
      </c>
    </row>
    <row r="151" spans="1:6" x14ac:dyDescent="0.2">
      <c r="A151" s="2">
        <v>46141</v>
      </c>
      <c r="B151" s="3">
        <v>0.79166666666666696</v>
      </c>
      <c r="C151">
        <v>8</v>
      </c>
      <c r="D151">
        <v>2000</v>
      </c>
      <c r="E151">
        <v>3</v>
      </c>
      <c r="F151">
        <v>0.41899999999999998</v>
      </c>
    </row>
    <row r="152" spans="1:6" x14ac:dyDescent="0.2">
      <c r="A152" s="2">
        <v>46142</v>
      </c>
      <c r="B152" s="3">
        <v>0.375</v>
      </c>
      <c r="C152">
        <v>21</v>
      </c>
      <c r="D152">
        <v>0</v>
      </c>
      <c r="E152">
        <v>1</v>
      </c>
      <c r="F152">
        <v>1.9950000000000001</v>
      </c>
    </row>
    <row r="153" spans="1:6" x14ac:dyDescent="0.2">
      <c r="A153" s="2">
        <v>46142</v>
      </c>
      <c r="B153" s="3">
        <v>0.375</v>
      </c>
      <c r="C153">
        <v>21</v>
      </c>
      <c r="D153">
        <v>0</v>
      </c>
      <c r="E153">
        <v>2</v>
      </c>
      <c r="F153">
        <v>2.0070000000000001</v>
      </c>
    </row>
    <row r="154" spans="1:6" x14ac:dyDescent="0.2">
      <c r="A154" s="2">
        <v>46142</v>
      </c>
      <c r="B154" s="3">
        <v>0.375</v>
      </c>
      <c r="C154">
        <v>21</v>
      </c>
      <c r="D154">
        <v>0</v>
      </c>
      <c r="E154">
        <v>3</v>
      </c>
      <c r="F154">
        <v>2.0110000000000001</v>
      </c>
    </row>
    <row r="155" spans="1:6" x14ac:dyDescent="0.2">
      <c r="A155" s="2">
        <v>46142</v>
      </c>
      <c r="B155" s="3">
        <v>0.375</v>
      </c>
      <c r="C155">
        <v>21</v>
      </c>
      <c r="D155">
        <v>2</v>
      </c>
      <c r="E155">
        <v>1</v>
      </c>
      <c r="F155">
        <v>2.0099999999999998</v>
      </c>
    </row>
    <row r="156" spans="1:6" x14ac:dyDescent="0.2">
      <c r="A156" s="2">
        <v>46142</v>
      </c>
      <c r="B156" s="3">
        <v>0.375</v>
      </c>
      <c r="C156">
        <v>21</v>
      </c>
      <c r="D156">
        <v>2</v>
      </c>
      <c r="E156">
        <v>2</v>
      </c>
      <c r="F156">
        <v>2.02</v>
      </c>
    </row>
    <row r="157" spans="1:6" x14ac:dyDescent="0.2">
      <c r="A157" s="2">
        <v>46142</v>
      </c>
      <c r="B157" s="3">
        <v>0.375</v>
      </c>
      <c r="C157">
        <v>21</v>
      </c>
      <c r="D157">
        <v>2</v>
      </c>
      <c r="E157">
        <v>3</v>
      </c>
      <c r="F157">
        <v>2.0030000000000001</v>
      </c>
    </row>
    <row r="158" spans="1:6" x14ac:dyDescent="0.2">
      <c r="A158" s="2">
        <v>46142</v>
      </c>
      <c r="B158" s="3">
        <v>0.375</v>
      </c>
      <c r="C158">
        <v>21</v>
      </c>
      <c r="D158">
        <v>20</v>
      </c>
      <c r="E158">
        <v>1</v>
      </c>
      <c r="F158">
        <v>1.9450000000000001</v>
      </c>
    </row>
    <row r="159" spans="1:6" x14ac:dyDescent="0.2">
      <c r="A159" s="2">
        <v>46142</v>
      </c>
      <c r="B159" s="3">
        <v>0.375</v>
      </c>
      <c r="C159">
        <v>21</v>
      </c>
      <c r="D159">
        <v>20</v>
      </c>
      <c r="E159">
        <v>2</v>
      </c>
      <c r="F159">
        <v>1.9339999999999999</v>
      </c>
    </row>
    <row r="160" spans="1:6" x14ac:dyDescent="0.2">
      <c r="A160" s="2">
        <v>46142</v>
      </c>
      <c r="B160" s="3">
        <v>0.375</v>
      </c>
      <c r="C160">
        <v>21</v>
      </c>
      <c r="D160">
        <v>20</v>
      </c>
      <c r="E160">
        <v>3</v>
      </c>
      <c r="F160">
        <v>1.956</v>
      </c>
    </row>
    <row r="161" spans="1:6" x14ac:dyDescent="0.2">
      <c r="A161" s="2">
        <v>46142</v>
      </c>
      <c r="B161" s="3">
        <v>0.375</v>
      </c>
      <c r="C161">
        <v>21</v>
      </c>
      <c r="D161">
        <v>200</v>
      </c>
      <c r="E161">
        <v>1</v>
      </c>
      <c r="F161">
        <v>0.47</v>
      </c>
    </row>
    <row r="162" spans="1:6" x14ac:dyDescent="0.2">
      <c r="A162" s="2">
        <v>46142</v>
      </c>
      <c r="B162" s="3">
        <v>0.375</v>
      </c>
      <c r="C162">
        <v>21</v>
      </c>
      <c r="D162">
        <v>200</v>
      </c>
      <c r="E162">
        <v>2</v>
      </c>
      <c r="F162">
        <v>0.48299999999999998</v>
      </c>
    </row>
    <row r="163" spans="1:6" x14ac:dyDescent="0.2">
      <c r="A163" s="2">
        <v>46142</v>
      </c>
      <c r="B163" s="3">
        <v>0.375</v>
      </c>
      <c r="C163">
        <v>21</v>
      </c>
      <c r="D163">
        <v>200</v>
      </c>
      <c r="E163">
        <v>3</v>
      </c>
      <c r="F163">
        <v>0.48499999999999999</v>
      </c>
    </row>
    <row r="164" spans="1:6" x14ac:dyDescent="0.2">
      <c r="A164" s="2">
        <v>46142</v>
      </c>
      <c r="B164" s="3">
        <v>0.375</v>
      </c>
      <c r="C164">
        <v>21</v>
      </c>
      <c r="D164">
        <v>2000</v>
      </c>
      <c r="E164">
        <v>1</v>
      </c>
      <c r="F164">
        <v>0.36899999999999999</v>
      </c>
    </row>
    <row r="165" spans="1:6" x14ac:dyDescent="0.2">
      <c r="A165" s="2">
        <v>46142</v>
      </c>
      <c r="B165" s="3">
        <v>0.375</v>
      </c>
      <c r="C165">
        <v>21</v>
      </c>
      <c r="D165">
        <v>2000</v>
      </c>
      <c r="E165">
        <v>2</v>
      </c>
      <c r="F165">
        <v>0.36599999999999999</v>
      </c>
    </row>
    <row r="166" spans="1:6" x14ac:dyDescent="0.2">
      <c r="A166" s="2">
        <v>46142</v>
      </c>
      <c r="B166" s="3">
        <v>0.375</v>
      </c>
      <c r="C166">
        <v>21</v>
      </c>
      <c r="D166">
        <v>2000</v>
      </c>
      <c r="E166">
        <v>3</v>
      </c>
      <c r="F166">
        <v>0.44400000000000001</v>
      </c>
    </row>
    <row r="167" spans="1:6" x14ac:dyDescent="0.2">
      <c r="A167" s="2">
        <v>46142</v>
      </c>
      <c r="B167" s="3">
        <v>0.45833333333333331</v>
      </c>
      <c r="C167">
        <v>24</v>
      </c>
      <c r="D167">
        <v>0</v>
      </c>
      <c r="E167">
        <v>1</v>
      </c>
      <c r="F167">
        <v>1.9930000000000001</v>
      </c>
    </row>
    <row r="168" spans="1:6" x14ac:dyDescent="0.2">
      <c r="A168" s="2">
        <v>46142</v>
      </c>
      <c r="B168" s="3">
        <v>0.45833333333333331</v>
      </c>
      <c r="C168">
        <v>24</v>
      </c>
      <c r="D168">
        <v>0</v>
      </c>
      <c r="E168">
        <v>2</v>
      </c>
      <c r="F168">
        <v>2.008</v>
      </c>
    </row>
    <row r="169" spans="1:6" x14ac:dyDescent="0.2">
      <c r="A169" s="2">
        <v>46142</v>
      </c>
      <c r="B169" s="3">
        <v>0.45833333333333331</v>
      </c>
      <c r="C169">
        <v>24</v>
      </c>
      <c r="D169">
        <v>0</v>
      </c>
      <c r="E169">
        <v>3</v>
      </c>
      <c r="F169">
        <v>2.0099999999999998</v>
      </c>
    </row>
    <row r="170" spans="1:6" x14ac:dyDescent="0.2">
      <c r="A170" s="2">
        <v>46142</v>
      </c>
      <c r="B170" s="3">
        <v>0.45833333333333298</v>
      </c>
      <c r="C170">
        <v>24</v>
      </c>
      <c r="D170">
        <v>2</v>
      </c>
      <c r="E170">
        <v>1</v>
      </c>
      <c r="F170">
        <v>2.0150000000000001</v>
      </c>
    </row>
    <row r="171" spans="1:6" x14ac:dyDescent="0.2">
      <c r="A171" s="2">
        <v>46142</v>
      </c>
      <c r="B171" s="3">
        <v>0.45833333333333298</v>
      </c>
      <c r="C171">
        <v>24</v>
      </c>
      <c r="D171">
        <v>2</v>
      </c>
      <c r="E171">
        <v>2</v>
      </c>
      <c r="F171">
        <v>2.0499999999999998</v>
      </c>
    </row>
    <row r="172" spans="1:6" x14ac:dyDescent="0.2">
      <c r="A172" s="2">
        <v>46142</v>
      </c>
      <c r="B172" s="3">
        <v>0.45833333333333298</v>
      </c>
      <c r="C172">
        <v>24</v>
      </c>
      <c r="D172">
        <v>2</v>
      </c>
      <c r="E172">
        <v>3</v>
      </c>
      <c r="F172">
        <v>2.0510000000000002</v>
      </c>
    </row>
    <row r="173" spans="1:6" x14ac:dyDescent="0.2">
      <c r="A173" s="2">
        <v>46142</v>
      </c>
      <c r="B173" s="3">
        <v>0.45833333333333298</v>
      </c>
      <c r="C173">
        <v>24</v>
      </c>
      <c r="D173">
        <v>20</v>
      </c>
      <c r="E173">
        <v>1</v>
      </c>
      <c r="F173">
        <v>1.9370000000000001</v>
      </c>
    </row>
    <row r="174" spans="1:6" x14ac:dyDescent="0.2">
      <c r="A174" s="2">
        <v>46142</v>
      </c>
      <c r="B174" s="3">
        <v>0.45833333333333298</v>
      </c>
      <c r="C174">
        <v>24</v>
      </c>
      <c r="D174">
        <v>20</v>
      </c>
      <c r="E174">
        <v>2</v>
      </c>
      <c r="F174">
        <v>1.946</v>
      </c>
    </row>
    <row r="175" spans="1:6" x14ac:dyDescent="0.2">
      <c r="A175" s="2">
        <v>46142</v>
      </c>
      <c r="B175" s="3">
        <v>0.45833333333333298</v>
      </c>
      <c r="C175">
        <v>24</v>
      </c>
      <c r="D175">
        <v>20</v>
      </c>
      <c r="E175">
        <v>3</v>
      </c>
      <c r="F175">
        <v>1.9470000000000001</v>
      </c>
    </row>
    <row r="176" spans="1:6" x14ac:dyDescent="0.2">
      <c r="A176" s="2">
        <v>46142</v>
      </c>
      <c r="B176" s="3">
        <v>0.45833333333333298</v>
      </c>
      <c r="C176">
        <v>24</v>
      </c>
      <c r="D176">
        <v>200</v>
      </c>
      <c r="E176">
        <v>1</v>
      </c>
      <c r="F176">
        <v>0.47599999999999998</v>
      </c>
    </row>
    <row r="177" spans="1:6" x14ac:dyDescent="0.2">
      <c r="A177" s="2">
        <v>46142</v>
      </c>
      <c r="B177" s="3">
        <v>0.45833333333333298</v>
      </c>
      <c r="C177">
        <v>24</v>
      </c>
      <c r="D177">
        <v>200</v>
      </c>
      <c r="E177">
        <v>2</v>
      </c>
      <c r="F177">
        <v>0.47799999999999998</v>
      </c>
    </row>
    <row r="178" spans="1:6" x14ac:dyDescent="0.2">
      <c r="A178" s="2">
        <v>46142</v>
      </c>
      <c r="B178" s="3">
        <v>0.45833333333333298</v>
      </c>
      <c r="C178">
        <v>24</v>
      </c>
      <c r="D178">
        <v>200</v>
      </c>
      <c r="E178">
        <v>3</v>
      </c>
      <c r="F178">
        <v>0.48899999999999999</v>
      </c>
    </row>
    <row r="179" spans="1:6" x14ac:dyDescent="0.2">
      <c r="A179" s="2">
        <v>46142</v>
      </c>
      <c r="B179" s="3">
        <v>0.45833333333333298</v>
      </c>
      <c r="C179">
        <v>24</v>
      </c>
      <c r="D179">
        <v>2000</v>
      </c>
      <c r="E179">
        <v>1</v>
      </c>
      <c r="F179">
        <v>0.42099999999999999</v>
      </c>
    </row>
    <row r="180" spans="1:6" x14ac:dyDescent="0.2">
      <c r="A180" s="2">
        <v>46142</v>
      </c>
      <c r="B180" s="3">
        <v>0.45833333333333298</v>
      </c>
      <c r="C180">
        <v>24</v>
      </c>
      <c r="D180">
        <v>2000</v>
      </c>
      <c r="E180">
        <v>2</v>
      </c>
      <c r="F180">
        <v>0.49399999999999999</v>
      </c>
    </row>
    <row r="181" spans="1:6" x14ac:dyDescent="0.2">
      <c r="A181" s="2">
        <v>46142</v>
      </c>
      <c r="B181" s="3">
        <v>0.45833333333333298</v>
      </c>
      <c r="C181">
        <v>24</v>
      </c>
      <c r="D181">
        <v>2000</v>
      </c>
      <c r="E181">
        <v>3</v>
      </c>
      <c r="F181">
        <v>0.44800000000000001</v>
      </c>
    </row>
    <row r="182" spans="1:6" x14ac:dyDescent="0.2">
      <c r="A182" s="2">
        <v>46143</v>
      </c>
      <c r="B182" s="3">
        <v>0.45833333333333331</v>
      </c>
      <c r="C182">
        <v>48</v>
      </c>
      <c r="D182">
        <v>0</v>
      </c>
      <c r="E182">
        <v>1</v>
      </c>
      <c r="F182">
        <v>1.9470000000000001</v>
      </c>
    </row>
    <row r="183" spans="1:6" x14ac:dyDescent="0.2">
      <c r="A183" s="2">
        <v>46143</v>
      </c>
      <c r="B183" s="3">
        <v>0.45833333333333398</v>
      </c>
      <c r="C183">
        <v>48</v>
      </c>
      <c r="D183">
        <v>0</v>
      </c>
      <c r="E183">
        <v>2</v>
      </c>
      <c r="F183">
        <v>1.9339999999999999</v>
      </c>
    </row>
    <row r="184" spans="1:6" x14ac:dyDescent="0.2">
      <c r="A184" s="2">
        <v>46143</v>
      </c>
      <c r="B184" s="3">
        <v>0.45833333333333398</v>
      </c>
      <c r="C184">
        <v>48</v>
      </c>
      <c r="D184">
        <v>0</v>
      </c>
      <c r="E184">
        <v>3</v>
      </c>
      <c r="F184">
        <v>1.95</v>
      </c>
    </row>
    <row r="185" spans="1:6" x14ac:dyDescent="0.2">
      <c r="A185" s="2">
        <v>46143</v>
      </c>
      <c r="B185" s="3">
        <v>0.45833333333333398</v>
      </c>
      <c r="C185">
        <v>48</v>
      </c>
      <c r="D185">
        <v>2</v>
      </c>
      <c r="E185">
        <v>1</v>
      </c>
      <c r="F185">
        <v>1.944</v>
      </c>
    </row>
    <row r="186" spans="1:6" x14ac:dyDescent="0.2">
      <c r="A186" s="2">
        <v>46143</v>
      </c>
      <c r="B186" s="3">
        <v>0.45833333333333498</v>
      </c>
      <c r="C186">
        <v>48</v>
      </c>
      <c r="D186">
        <v>2</v>
      </c>
      <c r="E186">
        <v>2</v>
      </c>
      <c r="F186">
        <v>1.954</v>
      </c>
    </row>
    <row r="187" spans="1:6" x14ac:dyDescent="0.2">
      <c r="A187" s="2">
        <v>46143</v>
      </c>
      <c r="B187" s="3">
        <v>0.45833333333333498</v>
      </c>
      <c r="C187">
        <v>48</v>
      </c>
      <c r="D187">
        <v>2</v>
      </c>
      <c r="E187">
        <v>3</v>
      </c>
      <c r="F187">
        <v>1.9350000000000001</v>
      </c>
    </row>
    <row r="188" spans="1:6" x14ac:dyDescent="0.2">
      <c r="A188" s="2">
        <v>46143</v>
      </c>
      <c r="B188" s="3">
        <v>0.45833333333333498</v>
      </c>
      <c r="C188">
        <v>48</v>
      </c>
      <c r="D188">
        <v>20</v>
      </c>
      <c r="E188">
        <v>1</v>
      </c>
      <c r="F188">
        <v>1.891</v>
      </c>
    </row>
    <row r="189" spans="1:6" x14ac:dyDescent="0.2">
      <c r="A189" s="2">
        <v>46143</v>
      </c>
      <c r="B189" s="3">
        <v>0.45833333333333598</v>
      </c>
      <c r="C189">
        <v>48</v>
      </c>
      <c r="D189">
        <v>20</v>
      </c>
      <c r="E189">
        <v>2</v>
      </c>
      <c r="F189">
        <v>1.875</v>
      </c>
    </row>
    <row r="190" spans="1:6" x14ac:dyDescent="0.2">
      <c r="A190" s="2">
        <v>46143</v>
      </c>
      <c r="B190" s="3">
        <v>0.45833333333333598</v>
      </c>
      <c r="C190">
        <v>48</v>
      </c>
      <c r="D190">
        <v>20</v>
      </c>
      <c r="E190">
        <v>3</v>
      </c>
      <c r="F190">
        <v>1.883</v>
      </c>
    </row>
    <row r="191" spans="1:6" x14ac:dyDescent="0.2">
      <c r="A191" s="2">
        <v>46143</v>
      </c>
      <c r="B191" s="3">
        <v>0.45833333333333598</v>
      </c>
      <c r="C191">
        <v>48</v>
      </c>
      <c r="D191">
        <v>200</v>
      </c>
      <c r="E191">
        <v>1</v>
      </c>
      <c r="F191">
        <v>0.42799999999999999</v>
      </c>
    </row>
    <row r="192" spans="1:6" x14ac:dyDescent="0.2">
      <c r="A192" s="2">
        <v>46143</v>
      </c>
      <c r="B192" s="3">
        <v>0.45833333333333698</v>
      </c>
      <c r="C192">
        <v>48</v>
      </c>
      <c r="D192">
        <v>200</v>
      </c>
      <c r="E192">
        <v>2</v>
      </c>
      <c r="F192">
        <v>0.41499999999999998</v>
      </c>
    </row>
    <row r="193" spans="1:6" x14ac:dyDescent="0.2">
      <c r="A193" s="2">
        <v>46143</v>
      </c>
      <c r="B193" s="3">
        <v>0.45833333333333698</v>
      </c>
      <c r="C193">
        <v>48</v>
      </c>
      <c r="D193">
        <v>200</v>
      </c>
      <c r="E193">
        <v>3</v>
      </c>
      <c r="F193">
        <v>0.42199999999999999</v>
      </c>
    </row>
    <row r="194" spans="1:6" x14ac:dyDescent="0.2">
      <c r="A194" s="2">
        <v>46143</v>
      </c>
      <c r="B194" s="3">
        <v>0.45833333333333698</v>
      </c>
      <c r="C194">
        <v>48</v>
      </c>
      <c r="D194">
        <v>2000</v>
      </c>
      <c r="E194">
        <v>1</v>
      </c>
      <c r="F194">
        <v>0.41</v>
      </c>
    </row>
    <row r="195" spans="1:6" x14ac:dyDescent="0.2">
      <c r="A195" s="2">
        <v>46143</v>
      </c>
      <c r="B195" s="3">
        <v>0.45833333333333798</v>
      </c>
      <c r="C195">
        <v>48</v>
      </c>
      <c r="D195">
        <v>2000</v>
      </c>
      <c r="E195">
        <v>2</v>
      </c>
      <c r="F195">
        <v>0.41599999999999998</v>
      </c>
    </row>
    <row r="196" spans="1:6" x14ac:dyDescent="0.2">
      <c r="A196" s="2">
        <v>46143</v>
      </c>
      <c r="B196" s="3">
        <v>0.45833333333333798</v>
      </c>
      <c r="C196">
        <v>48</v>
      </c>
      <c r="D196">
        <v>2000</v>
      </c>
      <c r="E196">
        <v>3</v>
      </c>
      <c r="F196">
        <v>0.43099999999999999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5186-4D2A-9940-A524-7F571CCED98E}">
  <sheetPr codeName="Sheet2"/>
  <dimension ref="A1:Y196"/>
  <sheetViews>
    <sheetView tabSelected="1" topLeftCell="R1" zoomScale="87" workbookViewId="0">
      <selection activeCell="X1" sqref="X1:Y1"/>
    </sheetView>
  </sheetViews>
  <sheetFormatPr baseColWidth="10" defaultRowHeight="16" x14ac:dyDescent="0.2"/>
  <cols>
    <col min="3" max="3" width="12.83203125" bestFit="1" customWidth="1"/>
    <col min="7" max="7" width="17.5" bestFit="1" customWidth="1"/>
    <col min="21" max="21" width="10.83203125" customWidth="1"/>
    <col min="24" max="24" width="25" bestFit="1" customWidth="1"/>
    <col min="25" max="25" width="17.5" bestFit="1" customWidth="1"/>
  </cols>
  <sheetData>
    <row r="1" spans="1:25" s="1" customFormat="1" x14ac:dyDescent="0.2">
      <c r="A1" s="1" t="s">
        <v>4</v>
      </c>
      <c r="B1" s="1" t="s">
        <v>5</v>
      </c>
      <c r="C1" s="1" t="s">
        <v>3</v>
      </c>
      <c r="D1" s="1" t="s">
        <v>0</v>
      </c>
      <c r="E1" s="1" t="s">
        <v>1</v>
      </c>
      <c r="F1" s="1" t="s">
        <v>2</v>
      </c>
      <c r="G1" s="1" t="s">
        <v>73</v>
      </c>
      <c r="X1" s="1" t="s">
        <v>74</v>
      </c>
      <c r="Y1" s="1" t="s">
        <v>73</v>
      </c>
    </row>
    <row r="2" spans="1:25" x14ac:dyDescent="0.2">
      <c r="A2" s="2">
        <v>46006</v>
      </c>
      <c r="B2" s="3">
        <v>0.38055555555555554</v>
      </c>
      <c r="C2">
        <v>0</v>
      </c>
      <c r="D2">
        <v>0</v>
      </c>
      <c r="E2">
        <v>1</v>
      </c>
      <c r="F2">
        <v>0.40799999999999997</v>
      </c>
      <c r="X2">
        <v>1.3574692497157164</v>
      </c>
      <c r="Y2">
        <v>0.20716666666666669</v>
      </c>
    </row>
    <row r="3" spans="1:25" x14ac:dyDescent="0.2">
      <c r="A3" s="2">
        <v>46006</v>
      </c>
      <c r="B3" s="3">
        <v>0.38055555555555554</v>
      </c>
      <c r="C3">
        <v>0</v>
      </c>
      <c r="D3">
        <v>0</v>
      </c>
      <c r="E3">
        <v>2</v>
      </c>
      <c r="F3">
        <v>0.40799999999999997</v>
      </c>
      <c r="X3">
        <v>1.3574692497157164</v>
      </c>
      <c r="Y3">
        <v>0.21550000000000002</v>
      </c>
    </row>
    <row r="4" spans="1:25" x14ac:dyDescent="0.2">
      <c r="A4" s="2">
        <v>46006</v>
      </c>
      <c r="B4" s="3">
        <v>0.38055555555555554</v>
      </c>
      <c r="C4">
        <v>0</v>
      </c>
      <c r="D4">
        <v>0</v>
      </c>
      <c r="E4">
        <v>3</v>
      </c>
      <c r="F4">
        <v>0.40200000000000002</v>
      </c>
      <c r="X4">
        <v>1.3574692497157164</v>
      </c>
      <c r="Y4">
        <v>0.21333333333333329</v>
      </c>
    </row>
    <row r="5" spans="1:25" x14ac:dyDescent="0.2">
      <c r="A5" s="2">
        <v>46006</v>
      </c>
      <c r="B5" s="3">
        <v>0.38055555555555598</v>
      </c>
      <c r="C5">
        <v>0</v>
      </c>
      <c r="D5">
        <v>2</v>
      </c>
      <c r="E5">
        <v>1</v>
      </c>
      <c r="F5">
        <v>0.39700000000000002</v>
      </c>
      <c r="X5">
        <v>2.8846221556458973</v>
      </c>
      <c r="Y5">
        <v>0.21</v>
      </c>
    </row>
    <row r="6" spans="1:25" x14ac:dyDescent="0.2">
      <c r="A6" s="2">
        <v>46006</v>
      </c>
      <c r="B6" s="3">
        <v>0.38055555555555598</v>
      </c>
      <c r="C6">
        <v>0</v>
      </c>
      <c r="D6">
        <v>2</v>
      </c>
      <c r="E6">
        <v>2</v>
      </c>
      <c r="F6">
        <v>0.40300000000000002</v>
      </c>
      <c r="X6">
        <v>2.8846221556458973</v>
      </c>
      <c r="Y6">
        <v>0.20849999999999999</v>
      </c>
    </row>
    <row r="7" spans="1:25" x14ac:dyDescent="0.2">
      <c r="A7" s="2">
        <v>46006</v>
      </c>
      <c r="B7" s="3">
        <v>0.38055555555555598</v>
      </c>
      <c r="C7">
        <v>0</v>
      </c>
      <c r="D7">
        <v>2</v>
      </c>
      <c r="E7">
        <v>3</v>
      </c>
      <c r="F7">
        <v>0.41699999999999998</v>
      </c>
      <c r="X7">
        <v>2.8846221556458973</v>
      </c>
      <c r="Y7">
        <v>0.20833333333333334</v>
      </c>
    </row>
    <row r="8" spans="1:25" x14ac:dyDescent="0.2">
      <c r="A8" s="2">
        <v>46006</v>
      </c>
      <c r="B8" s="3">
        <v>0.38055555555555598</v>
      </c>
      <c r="C8">
        <v>0</v>
      </c>
      <c r="D8">
        <v>20</v>
      </c>
      <c r="E8">
        <v>1</v>
      </c>
      <c r="F8">
        <v>0.40100000000000002</v>
      </c>
      <c r="X8">
        <v>15.7805800279452</v>
      </c>
      <c r="Y8">
        <v>8.8249999999999995E-2</v>
      </c>
    </row>
    <row r="9" spans="1:25" x14ac:dyDescent="0.2">
      <c r="A9" s="2">
        <v>46006</v>
      </c>
      <c r="B9" s="3">
        <v>0.38055555555555598</v>
      </c>
      <c r="C9">
        <v>0</v>
      </c>
      <c r="D9">
        <v>20</v>
      </c>
      <c r="E9">
        <v>2</v>
      </c>
      <c r="F9">
        <v>0.40899999999999997</v>
      </c>
      <c r="X9">
        <v>16.289630996588595</v>
      </c>
      <c r="Y9">
        <v>7.9500000000000001E-2</v>
      </c>
    </row>
    <row r="10" spans="1:25" x14ac:dyDescent="0.2">
      <c r="A10" s="2">
        <v>46006</v>
      </c>
      <c r="B10" s="3">
        <v>0.38055555555555598</v>
      </c>
      <c r="C10">
        <v>0</v>
      </c>
      <c r="D10">
        <v>20</v>
      </c>
      <c r="E10">
        <v>3</v>
      </c>
      <c r="F10">
        <v>0.39800000000000002</v>
      </c>
      <c r="X10">
        <v>16.119947340374132</v>
      </c>
      <c r="Y10">
        <v>8.0916666666666665E-2</v>
      </c>
    </row>
    <row r="11" spans="1:25" x14ac:dyDescent="0.2">
      <c r="A11" s="2">
        <v>46006</v>
      </c>
      <c r="B11" s="3">
        <v>0.38055555555555598</v>
      </c>
      <c r="C11">
        <v>0</v>
      </c>
      <c r="D11">
        <v>200</v>
      </c>
      <c r="E11">
        <v>1</v>
      </c>
      <c r="F11">
        <v>0.41299999999999998</v>
      </c>
      <c r="X11">
        <v>170.70175815175133</v>
      </c>
      <c r="Y11">
        <v>6.2500000000000012E-3</v>
      </c>
    </row>
    <row r="12" spans="1:25" x14ac:dyDescent="0.2">
      <c r="A12" s="2">
        <v>46006</v>
      </c>
      <c r="B12" s="3">
        <v>0.38055555555555598</v>
      </c>
      <c r="C12">
        <v>0</v>
      </c>
      <c r="D12">
        <v>200</v>
      </c>
      <c r="E12">
        <v>2</v>
      </c>
      <c r="F12">
        <v>0.39500000000000002</v>
      </c>
      <c r="X12">
        <v>162.89630996588596</v>
      </c>
      <c r="Y12">
        <v>7.5833333333333308E-3</v>
      </c>
    </row>
    <row r="13" spans="1:25" x14ac:dyDescent="0.2">
      <c r="A13" s="2">
        <v>46006</v>
      </c>
      <c r="B13" s="3">
        <v>0.38055555555555598</v>
      </c>
      <c r="C13">
        <v>0</v>
      </c>
      <c r="D13">
        <v>200</v>
      </c>
      <c r="E13">
        <v>3</v>
      </c>
      <c r="F13">
        <v>0.41799999999999998</v>
      </c>
      <c r="X13">
        <v>159.16326952916771</v>
      </c>
      <c r="Y13">
        <v>5.0000000000000001E-3</v>
      </c>
    </row>
    <row r="14" spans="1:25" x14ac:dyDescent="0.2">
      <c r="A14" s="2">
        <v>46006</v>
      </c>
      <c r="B14" s="3">
        <v>0.38055555555555598</v>
      </c>
      <c r="C14">
        <v>0</v>
      </c>
      <c r="D14">
        <v>2000</v>
      </c>
      <c r="E14">
        <v>1</v>
      </c>
      <c r="F14">
        <v>0.40100000000000002</v>
      </c>
      <c r="X14">
        <v>1523.4198654934626</v>
      </c>
      <c r="Y14">
        <v>1.6583333333333328E-2</v>
      </c>
    </row>
    <row r="15" spans="1:25" x14ac:dyDescent="0.2">
      <c r="A15" s="2">
        <v>46006</v>
      </c>
      <c r="B15" s="3">
        <v>0.38055555555555598</v>
      </c>
      <c r="C15">
        <v>0</v>
      </c>
      <c r="D15">
        <v>2000</v>
      </c>
      <c r="E15">
        <v>2</v>
      </c>
      <c r="F15">
        <v>0.41599999999999998</v>
      </c>
      <c r="X15">
        <v>1596.7232049781112</v>
      </c>
      <c r="Y15">
        <v>7.0000000000000019E-3</v>
      </c>
    </row>
    <row r="16" spans="1:25" x14ac:dyDescent="0.2">
      <c r="A16" s="2">
        <v>46006</v>
      </c>
      <c r="B16" s="3">
        <v>0.38055555555555598</v>
      </c>
      <c r="C16">
        <v>0</v>
      </c>
      <c r="D16">
        <v>2000</v>
      </c>
      <c r="E16">
        <v>3</v>
      </c>
      <c r="F16">
        <v>0.41799999999999998</v>
      </c>
      <c r="X16">
        <v>1623.8725899724257</v>
      </c>
      <c r="Y16">
        <v>1.3333333333333346E-3</v>
      </c>
    </row>
    <row r="17" spans="1:25" x14ac:dyDescent="0.2">
      <c r="A17" s="2">
        <v>46006</v>
      </c>
      <c r="B17" s="3">
        <v>0.13055555555555556</v>
      </c>
      <c r="C17">
        <v>6</v>
      </c>
      <c r="D17">
        <v>0</v>
      </c>
      <c r="E17">
        <v>1</v>
      </c>
      <c r="F17">
        <v>1.651</v>
      </c>
      <c r="G17">
        <f>(F17-F2)/(C17-C2)</f>
        <v>0.20716666666666669</v>
      </c>
      <c r="X17">
        <v>1.3574692497157164</v>
      </c>
      <c r="Y17">
        <v>0.18987500000000002</v>
      </c>
    </row>
    <row r="18" spans="1:25" x14ac:dyDescent="0.2">
      <c r="A18" s="2">
        <v>46006</v>
      </c>
      <c r="B18" s="3">
        <v>0.13055555555555556</v>
      </c>
      <c r="C18">
        <v>6</v>
      </c>
      <c r="D18">
        <v>0</v>
      </c>
      <c r="E18">
        <v>2</v>
      </c>
      <c r="F18">
        <v>1.7010000000000001</v>
      </c>
      <c r="G18">
        <f>(F18-F3)/(C18-C3)</f>
        <v>0.21550000000000002</v>
      </c>
      <c r="X18">
        <v>1.3574692497157164</v>
      </c>
      <c r="Y18">
        <v>0.1885</v>
      </c>
    </row>
    <row r="19" spans="1:25" x14ac:dyDescent="0.2">
      <c r="A19" s="2">
        <v>46006</v>
      </c>
      <c r="B19" s="3">
        <v>0.13055555555555556</v>
      </c>
      <c r="C19">
        <v>6</v>
      </c>
      <c r="D19">
        <v>0</v>
      </c>
      <c r="E19">
        <v>3</v>
      </c>
      <c r="F19">
        <v>1.6819999999999999</v>
      </c>
      <c r="G19">
        <f>(F19-F4)/(C19-C4)</f>
        <v>0.21333333333333329</v>
      </c>
      <c r="X19">
        <v>1.3574692497157164</v>
      </c>
      <c r="Y19">
        <v>0.18987499999999999</v>
      </c>
    </row>
    <row r="20" spans="1:25" x14ac:dyDescent="0.2">
      <c r="A20" s="2">
        <v>46006</v>
      </c>
      <c r="B20" s="3">
        <v>0.13055555555555556</v>
      </c>
      <c r="C20">
        <v>6</v>
      </c>
      <c r="D20">
        <v>2</v>
      </c>
      <c r="E20">
        <v>1</v>
      </c>
      <c r="F20">
        <v>1.657</v>
      </c>
      <c r="G20">
        <f t="shared" ref="G20:G22" si="0">(F20-F5)/(C20-C5)</f>
        <v>0.21</v>
      </c>
      <c r="X20">
        <v>2.7149384994314327</v>
      </c>
      <c r="Y20">
        <v>0.19012500000000002</v>
      </c>
    </row>
    <row r="21" spans="1:25" x14ac:dyDescent="0.2">
      <c r="A21" s="2">
        <v>46006</v>
      </c>
      <c r="B21" s="3">
        <v>0.13055555555555601</v>
      </c>
      <c r="C21">
        <v>6</v>
      </c>
      <c r="D21">
        <v>2</v>
      </c>
      <c r="E21">
        <v>2</v>
      </c>
      <c r="F21">
        <v>1.6539999999999999</v>
      </c>
      <c r="G21">
        <f>(F21-F6)/(C21-C6)</f>
        <v>0.20849999999999999</v>
      </c>
      <c r="X21">
        <v>2.8846221556458973</v>
      </c>
      <c r="Y21">
        <v>0.19949999999999998</v>
      </c>
    </row>
    <row r="22" spans="1:25" x14ac:dyDescent="0.2">
      <c r="A22" s="2">
        <v>46006</v>
      </c>
      <c r="B22" s="3">
        <v>0.13055555555555601</v>
      </c>
      <c r="C22">
        <v>6</v>
      </c>
      <c r="D22">
        <v>2</v>
      </c>
      <c r="E22">
        <v>3</v>
      </c>
      <c r="F22">
        <v>1.667</v>
      </c>
      <c r="G22">
        <f t="shared" si="0"/>
        <v>0.20833333333333334</v>
      </c>
      <c r="X22">
        <v>2.8846221556458973</v>
      </c>
      <c r="Y22">
        <v>0.20074999999999998</v>
      </c>
    </row>
    <row r="23" spans="1:25" x14ac:dyDescent="0.2">
      <c r="A23" s="2">
        <v>46006</v>
      </c>
      <c r="B23" s="3">
        <v>0.13055555555555601</v>
      </c>
      <c r="C23">
        <v>6</v>
      </c>
      <c r="D23">
        <v>20</v>
      </c>
      <c r="E23">
        <v>1</v>
      </c>
      <c r="F23">
        <v>0.875</v>
      </c>
      <c r="X23">
        <v>17.307732933875382</v>
      </c>
      <c r="Y23">
        <v>0.10237499999999999</v>
      </c>
    </row>
    <row r="24" spans="1:25" x14ac:dyDescent="0.2">
      <c r="A24" s="2">
        <v>46006</v>
      </c>
      <c r="B24" s="3">
        <v>0.13055555555555601</v>
      </c>
      <c r="C24">
        <v>6</v>
      </c>
      <c r="D24">
        <v>20</v>
      </c>
      <c r="E24">
        <v>2</v>
      </c>
      <c r="F24">
        <v>0.81100000000000005</v>
      </c>
      <c r="X24">
        <v>17.477416590089849</v>
      </c>
      <c r="Y24">
        <v>0.10100000000000001</v>
      </c>
    </row>
    <row r="25" spans="1:25" x14ac:dyDescent="0.2">
      <c r="A25" s="2">
        <v>46006</v>
      </c>
      <c r="B25" s="3">
        <v>0.13055555555555601</v>
      </c>
      <c r="C25">
        <v>6</v>
      </c>
      <c r="D25">
        <v>20</v>
      </c>
      <c r="E25">
        <v>3</v>
      </c>
      <c r="F25">
        <v>0.81499999999999995</v>
      </c>
      <c r="X25">
        <v>17.138049277660919</v>
      </c>
      <c r="Y25">
        <v>0.10237500000000001</v>
      </c>
    </row>
    <row r="26" spans="1:25" x14ac:dyDescent="0.2">
      <c r="A26" s="2">
        <v>46006</v>
      </c>
      <c r="B26" s="3">
        <v>0.13055555555555601</v>
      </c>
      <c r="C26">
        <v>6</v>
      </c>
      <c r="D26">
        <v>200</v>
      </c>
      <c r="E26">
        <v>1</v>
      </c>
      <c r="F26">
        <v>0.47399999999999998</v>
      </c>
      <c r="X26">
        <v>180.8827775246192</v>
      </c>
      <c r="Y26">
        <v>1.2500000000000004E-2</v>
      </c>
    </row>
    <row r="27" spans="1:25" x14ac:dyDescent="0.2">
      <c r="A27" s="2">
        <v>46006</v>
      </c>
      <c r="B27" s="3">
        <v>0.13055555555555601</v>
      </c>
      <c r="C27">
        <v>6</v>
      </c>
      <c r="D27">
        <v>200</v>
      </c>
      <c r="E27">
        <v>2</v>
      </c>
      <c r="F27">
        <v>0.47199999999999998</v>
      </c>
      <c r="X27">
        <v>170.70175815175133</v>
      </c>
      <c r="Y27">
        <v>1.0500000000000002E-2</v>
      </c>
    </row>
    <row r="28" spans="1:25" x14ac:dyDescent="0.2">
      <c r="A28" s="2">
        <v>46006</v>
      </c>
      <c r="B28" s="3">
        <v>0.13055555555555601</v>
      </c>
      <c r="C28">
        <v>6</v>
      </c>
      <c r="D28">
        <v>200</v>
      </c>
      <c r="E28">
        <v>3</v>
      </c>
      <c r="F28">
        <v>0.47399999999999998</v>
      </c>
      <c r="X28">
        <v>178.16783902518776</v>
      </c>
      <c r="Y28">
        <v>1.0999999999999996E-2</v>
      </c>
    </row>
    <row r="29" spans="1:25" x14ac:dyDescent="0.2">
      <c r="A29" s="2">
        <v>46006</v>
      </c>
      <c r="B29" s="3">
        <v>0.13055555555555601</v>
      </c>
      <c r="C29">
        <v>6</v>
      </c>
      <c r="D29">
        <v>2000</v>
      </c>
      <c r="E29">
        <v>1</v>
      </c>
      <c r="F29">
        <v>0.53</v>
      </c>
      <c r="X29">
        <v>1588.9177567922461</v>
      </c>
      <c r="Y29">
        <v>-6.2500000000000056E-4</v>
      </c>
    </row>
    <row r="30" spans="1:25" x14ac:dyDescent="0.2">
      <c r="A30" s="2">
        <v>46006</v>
      </c>
      <c r="B30" s="3">
        <v>0.13055555555555601</v>
      </c>
      <c r="C30">
        <v>6</v>
      </c>
      <c r="D30">
        <v>2000</v>
      </c>
      <c r="E30">
        <v>2</v>
      </c>
      <c r="F30">
        <v>0.42099999999999999</v>
      </c>
      <c r="X30">
        <v>1690.7279505209247</v>
      </c>
      <c r="Y30">
        <v>-2.6250000000000023E-3</v>
      </c>
    </row>
    <row r="31" spans="1:25" x14ac:dyDescent="0.2">
      <c r="A31" s="2">
        <v>46006</v>
      </c>
      <c r="B31" s="3">
        <v>0.13055555555555601</v>
      </c>
      <c r="C31">
        <v>6</v>
      </c>
      <c r="D31">
        <v>2000</v>
      </c>
      <c r="E31">
        <v>3</v>
      </c>
      <c r="F31">
        <v>0.44</v>
      </c>
      <c r="X31">
        <v>1730.0945587626804</v>
      </c>
      <c r="Y31">
        <v>-3.375000000000003E-3</v>
      </c>
    </row>
    <row r="32" spans="1:25" x14ac:dyDescent="0.2">
      <c r="A32" s="2">
        <v>46006</v>
      </c>
      <c r="B32" s="3">
        <v>0.375</v>
      </c>
      <c r="C32">
        <v>12</v>
      </c>
      <c r="D32">
        <v>0</v>
      </c>
      <c r="E32">
        <v>1</v>
      </c>
      <c r="F32">
        <v>2.2360000000000002</v>
      </c>
    </row>
    <row r="33" spans="1:7" x14ac:dyDescent="0.2">
      <c r="A33" s="2">
        <v>46006</v>
      </c>
      <c r="B33" s="3">
        <v>0.375</v>
      </c>
      <c r="C33">
        <v>12</v>
      </c>
      <c r="D33">
        <v>0</v>
      </c>
      <c r="E33">
        <v>2</v>
      </c>
      <c r="F33">
        <v>2.2240000000000002</v>
      </c>
    </row>
    <row r="34" spans="1:7" x14ac:dyDescent="0.2">
      <c r="A34" s="2">
        <v>46006</v>
      </c>
      <c r="B34" s="3">
        <v>0.375</v>
      </c>
      <c r="C34">
        <v>12</v>
      </c>
      <c r="D34">
        <v>0</v>
      </c>
      <c r="E34">
        <v>3</v>
      </c>
      <c r="F34">
        <v>2.2250000000000001</v>
      </c>
    </row>
    <row r="35" spans="1:7" x14ac:dyDescent="0.2">
      <c r="A35" s="2">
        <v>46006</v>
      </c>
      <c r="B35" s="3">
        <v>0.375</v>
      </c>
      <c r="C35">
        <v>12</v>
      </c>
      <c r="D35">
        <v>2</v>
      </c>
      <c r="E35">
        <v>1</v>
      </c>
      <c r="F35">
        <v>2.2240000000000002</v>
      </c>
    </row>
    <row r="36" spans="1:7" x14ac:dyDescent="0.2">
      <c r="A36" s="2">
        <v>46006</v>
      </c>
      <c r="B36" s="3">
        <v>0.375</v>
      </c>
      <c r="C36">
        <v>12</v>
      </c>
      <c r="D36">
        <v>2</v>
      </c>
      <c r="E36">
        <v>2</v>
      </c>
      <c r="F36">
        <v>2.2040000000000002</v>
      </c>
    </row>
    <row r="37" spans="1:7" x14ac:dyDescent="0.2">
      <c r="A37" s="2">
        <v>46006</v>
      </c>
      <c r="B37" s="3">
        <v>0.375</v>
      </c>
      <c r="C37">
        <v>12</v>
      </c>
      <c r="D37">
        <v>2</v>
      </c>
      <c r="E37">
        <v>3</v>
      </c>
      <c r="F37">
        <v>2.198</v>
      </c>
    </row>
    <row r="38" spans="1:7" x14ac:dyDescent="0.2">
      <c r="A38" s="2">
        <v>46006</v>
      </c>
      <c r="B38" s="3">
        <v>0.375</v>
      </c>
      <c r="C38">
        <v>12</v>
      </c>
      <c r="D38">
        <v>20</v>
      </c>
      <c r="E38">
        <v>1</v>
      </c>
      <c r="F38">
        <v>1.46</v>
      </c>
      <c r="G38">
        <f t="shared" ref="G38:G43" si="1">(F38-F8)/(C38-C8)</f>
        <v>8.8249999999999995E-2</v>
      </c>
    </row>
    <row r="39" spans="1:7" x14ac:dyDescent="0.2">
      <c r="A39" s="2">
        <v>46006</v>
      </c>
      <c r="B39" s="3">
        <v>0.375</v>
      </c>
      <c r="C39">
        <v>12</v>
      </c>
      <c r="D39">
        <v>20</v>
      </c>
      <c r="E39">
        <v>2</v>
      </c>
      <c r="F39">
        <v>1.363</v>
      </c>
      <c r="G39">
        <f t="shared" si="1"/>
        <v>7.9500000000000001E-2</v>
      </c>
    </row>
    <row r="40" spans="1:7" x14ac:dyDescent="0.2">
      <c r="A40" s="2">
        <v>46006</v>
      </c>
      <c r="B40" s="3">
        <v>0.375</v>
      </c>
      <c r="C40">
        <v>12</v>
      </c>
      <c r="D40">
        <v>20</v>
      </c>
      <c r="E40">
        <v>3</v>
      </c>
      <c r="F40">
        <v>1.369</v>
      </c>
      <c r="G40">
        <f t="shared" si="1"/>
        <v>8.0916666666666665E-2</v>
      </c>
    </row>
    <row r="41" spans="1:7" x14ac:dyDescent="0.2">
      <c r="A41" s="2">
        <v>46006</v>
      </c>
      <c r="B41" s="3">
        <v>0.375</v>
      </c>
      <c r="C41">
        <v>12</v>
      </c>
      <c r="D41">
        <v>200</v>
      </c>
      <c r="E41">
        <v>1</v>
      </c>
      <c r="F41">
        <v>0.48799999999999999</v>
      </c>
      <c r="G41">
        <f t="shared" si="1"/>
        <v>6.2500000000000012E-3</v>
      </c>
    </row>
    <row r="42" spans="1:7" x14ac:dyDescent="0.2">
      <c r="A42" s="2">
        <v>46006</v>
      </c>
      <c r="B42" s="3">
        <v>0.375</v>
      </c>
      <c r="C42">
        <v>12</v>
      </c>
      <c r="D42">
        <v>200</v>
      </c>
      <c r="E42">
        <v>2</v>
      </c>
      <c r="F42">
        <v>0.48599999999999999</v>
      </c>
      <c r="G42">
        <f t="shared" si="1"/>
        <v>7.5833333333333308E-3</v>
      </c>
    </row>
    <row r="43" spans="1:7" x14ac:dyDescent="0.2">
      <c r="A43" s="2">
        <v>46006</v>
      </c>
      <c r="B43" s="3">
        <v>0.375</v>
      </c>
      <c r="C43">
        <v>12</v>
      </c>
      <c r="D43">
        <v>200</v>
      </c>
      <c r="E43">
        <v>3</v>
      </c>
      <c r="F43">
        <v>0.47799999999999998</v>
      </c>
      <c r="G43">
        <f t="shared" si="1"/>
        <v>5.0000000000000001E-3</v>
      </c>
    </row>
    <row r="44" spans="1:7" x14ac:dyDescent="0.2">
      <c r="A44" s="2">
        <v>46006</v>
      </c>
      <c r="B44" s="3">
        <v>0.375</v>
      </c>
      <c r="C44">
        <v>12</v>
      </c>
      <c r="D44">
        <v>2000</v>
      </c>
      <c r="E44">
        <v>1</v>
      </c>
      <c r="F44">
        <v>0.6</v>
      </c>
      <c r="G44">
        <f t="shared" ref="G44:G46" si="2">(F44-F14)/(C44-C14)</f>
        <v>1.6583333333333328E-2</v>
      </c>
    </row>
    <row r="45" spans="1:7" x14ac:dyDescent="0.2">
      <c r="A45" s="2">
        <v>46006</v>
      </c>
      <c r="B45" s="3">
        <v>0.375</v>
      </c>
      <c r="C45">
        <v>12</v>
      </c>
      <c r="D45">
        <v>2000</v>
      </c>
      <c r="E45">
        <v>2</v>
      </c>
      <c r="F45">
        <v>0.5</v>
      </c>
      <c r="G45">
        <f t="shared" si="2"/>
        <v>7.0000000000000019E-3</v>
      </c>
    </row>
    <row r="46" spans="1:7" x14ac:dyDescent="0.2">
      <c r="A46" s="2">
        <v>46006</v>
      </c>
      <c r="B46" s="3">
        <v>0.375</v>
      </c>
      <c r="C46">
        <v>12</v>
      </c>
      <c r="D46">
        <v>2000</v>
      </c>
      <c r="E46">
        <v>3</v>
      </c>
      <c r="F46">
        <v>0.434</v>
      </c>
      <c r="G46">
        <f t="shared" si="2"/>
        <v>1.3333333333333346E-3</v>
      </c>
    </row>
    <row r="47" spans="1:7" x14ac:dyDescent="0.2">
      <c r="A47" s="2">
        <v>46007</v>
      </c>
      <c r="B47" s="3">
        <v>0.38541666666666669</v>
      </c>
      <c r="C47">
        <v>24</v>
      </c>
      <c r="D47">
        <v>0</v>
      </c>
      <c r="E47">
        <v>1</v>
      </c>
      <c r="F47">
        <v>2.0720000000000001</v>
      </c>
    </row>
    <row r="48" spans="1:7" x14ac:dyDescent="0.2">
      <c r="A48" s="2">
        <v>46007</v>
      </c>
      <c r="B48" s="3">
        <v>0.38541666666666669</v>
      </c>
      <c r="C48">
        <v>24</v>
      </c>
      <c r="D48">
        <v>0</v>
      </c>
      <c r="E48">
        <v>2</v>
      </c>
      <c r="F48">
        <v>2.06</v>
      </c>
    </row>
    <row r="49" spans="1:6" x14ac:dyDescent="0.2">
      <c r="A49" s="2">
        <v>46007</v>
      </c>
      <c r="B49" s="3">
        <v>0.38541666666666669</v>
      </c>
      <c r="C49">
        <v>24</v>
      </c>
      <c r="D49">
        <v>0</v>
      </c>
      <c r="E49">
        <v>3</v>
      </c>
      <c r="F49">
        <v>2.077</v>
      </c>
    </row>
    <row r="50" spans="1:6" x14ac:dyDescent="0.2">
      <c r="A50" s="2">
        <v>46007</v>
      </c>
      <c r="B50" s="3">
        <v>0.38541666666666702</v>
      </c>
      <c r="C50">
        <v>24</v>
      </c>
      <c r="D50">
        <v>2</v>
      </c>
      <c r="E50">
        <v>1</v>
      </c>
      <c r="F50">
        <v>2.1040000000000001</v>
      </c>
    </row>
    <row r="51" spans="1:6" x14ac:dyDescent="0.2">
      <c r="A51" s="2">
        <v>46007</v>
      </c>
      <c r="B51" s="3">
        <v>0.38541666666666702</v>
      </c>
      <c r="C51">
        <v>24</v>
      </c>
      <c r="D51">
        <v>2</v>
      </c>
      <c r="E51">
        <v>2</v>
      </c>
      <c r="F51">
        <v>2.0659999999999998</v>
      </c>
    </row>
    <row r="52" spans="1:6" x14ac:dyDescent="0.2">
      <c r="A52" s="2">
        <v>46007</v>
      </c>
      <c r="B52" s="3">
        <v>0.38541666666666702</v>
      </c>
      <c r="C52">
        <v>24</v>
      </c>
      <c r="D52">
        <v>2</v>
      </c>
      <c r="E52">
        <v>3</v>
      </c>
      <c r="F52">
        <v>2.0459999999999998</v>
      </c>
    </row>
    <row r="53" spans="1:6" x14ac:dyDescent="0.2">
      <c r="A53" s="2">
        <v>46007</v>
      </c>
      <c r="B53" s="3">
        <v>0.38541666666666702</v>
      </c>
      <c r="C53">
        <v>24</v>
      </c>
      <c r="D53">
        <v>20</v>
      </c>
      <c r="E53">
        <v>1</v>
      </c>
      <c r="F53">
        <v>1.956</v>
      </c>
    </row>
    <row r="54" spans="1:6" x14ac:dyDescent="0.2">
      <c r="A54" s="2">
        <v>46007</v>
      </c>
      <c r="B54" s="3">
        <v>0.38541666666666702</v>
      </c>
      <c r="C54">
        <v>24</v>
      </c>
      <c r="D54">
        <v>20</v>
      </c>
      <c r="E54">
        <v>2</v>
      </c>
      <c r="F54">
        <v>1.98</v>
      </c>
    </row>
    <row r="55" spans="1:6" x14ac:dyDescent="0.2">
      <c r="A55" s="2">
        <v>46007</v>
      </c>
      <c r="B55" s="3">
        <v>0.38541666666666702</v>
      </c>
      <c r="C55">
        <v>24</v>
      </c>
      <c r="D55">
        <v>20</v>
      </c>
      <c r="E55">
        <v>3</v>
      </c>
      <c r="F55">
        <v>1.9870000000000001</v>
      </c>
    </row>
    <row r="56" spans="1:6" x14ac:dyDescent="0.2">
      <c r="A56" s="2">
        <v>46007</v>
      </c>
      <c r="B56" s="3">
        <v>0.38541666666666702</v>
      </c>
      <c r="C56">
        <v>24</v>
      </c>
      <c r="D56">
        <v>200</v>
      </c>
      <c r="E56">
        <v>1</v>
      </c>
      <c r="F56">
        <v>0.47699999999999998</v>
      </c>
    </row>
    <row r="57" spans="1:6" x14ac:dyDescent="0.2">
      <c r="A57" s="2">
        <v>46007</v>
      </c>
      <c r="B57" s="3">
        <v>0.38541666666666702</v>
      </c>
      <c r="C57">
        <v>24</v>
      </c>
      <c r="D57">
        <v>200</v>
      </c>
      <c r="E57">
        <v>2</v>
      </c>
      <c r="F57">
        <v>0.48099999999999998</v>
      </c>
    </row>
    <row r="58" spans="1:6" x14ac:dyDescent="0.2">
      <c r="A58" s="2">
        <v>46007</v>
      </c>
      <c r="B58" s="3">
        <v>0.38541666666666702</v>
      </c>
      <c r="C58">
        <v>24</v>
      </c>
      <c r="D58">
        <v>200</v>
      </c>
      <c r="E58">
        <v>3</v>
      </c>
      <c r="F58">
        <v>0.47599999999999998</v>
      </c>
    </row>
    <row r="59" spans="1:6" x14ac:dyDescent="0.2">
      <c r="A59" s="2">
        <v>46007</v>
      </c>
      <c r="B59" s="3">
        <v>0.38541666666666702</v>
      </c>
      <c r="C59">
        <v>24</v>
      </c>
      <c r="D59">
        <v>2000</v>
      </c>
      <c r="E59">
        <v>1</v>
      </c>
      <c r="F59">
        <v>0.60699999999999998</v>
      </c>
    </row>
    <row r="60" spans="1:6" x14ac:dyDescent="0.2">
      <c r="A60" s="2">
        <v>46007</v>
      </c>
      <c r="B60" s="3">
        <v>0.38541666666666702</v>
      </c>
      <c r="C60">
        <v>24</v>
      </c>
      <c r="D60">
        <v>2000</v>
      </c>
      <c r="E60">
        <v>2</v>
      </c>
      <c r="F60">
        <v>0.52400000000000002</v>
      </c>
    </row>
    <row r="61" spans="1:6" x14ac:dyDescent="0.2">
      <c r="A61" s="2">
        <v>46007</v>
      </c>
      <c r="B61" s="3">
        <v>0.38541666666666702</v>
      </c>
      <c r="C61">
        <v>24</v>
      </c>
      <c r="D61">
        <v>2000</v>
      </c>
      <c r="E61">
        <v>3</v>
      </c>
      <c r="F61">
        <v>0.437</v>
      </c>
    </row>
    <row r="62" spans="1:6" x14ac:dyDescent="0.2">
      <c r="A62" s="2">
        <v>46007</v>
      </c>
      <c r="B62" s="3">
        <v>4.9999999999999996E-2</v>
      </c>
      <c r="C62">
        <v>28</v>
      </c>
      <c r="D62">
        <v>0</v>
      </c>
      <c r="E62">
        <v>1</v>
      </c>
      <c r="F62">
        <v>2.0499999999999998</v>
      </c>
    </row>
    <row r="63" spans="1:6" x14ac:dyDescent="0.2">
      <c r="A63" s="2">
        <v>46007</v>
      </c>
      <c r="B63" s="3">
        <v>4.9999999999999996E-2</v>
      </c>
      <c r="C63">
        <v>28</v>
      </c>
      <c r="D63">
        <v>0</v>
      </c>
      <c r="E63">
        <v>2</v>
      </c>
      <c r="F63">
        <v>2.0539999999999998</v>
      </c>
    </row>
    <row r="64" spans="1:6" x14ac:dyDescent="0.2">
      <c r="A64" s="2">
        <v>46007</v>
      </c>
      <c r="B64" s="3">
        <v>4.9999999999999996E-2</v>
      </c>
      <c r="C64">
        <v>28</v>
      </c>
      <c r="D64">
        <v>0</v>
      </c>
      <c r="E64">
        <v>3</v>
      </c>
      <c r="F64">
        <v>2.0630000000000002</v>
      </c>
    </row>
    <row r="65" spans="1:6" x14ac:dyDescent="0.2">
      <c r="A65" s="2">
        <v>46007</v>
      </c>
      <c r="B65" s="3">
        <v>0.05</v>
      </c>
      <c r="C65">
        <v>28</v>
      </c>
      <c r="D65">
        <v>2</v>
      </c>
      <c r="E65">
        <v>1</v>
      </c>
      <c r="F65">
        <v>2.0830000000000002</v>
      </c>
    </row>
    <row r="66" spans="1:6" x14ac:dyDescent="0.2">
      <c r="A66" s="2">
        <v>46007</v>
      </c>
      <c r="B66" s="3">
        <v>0.05</v>
      </c>
      <c r="C66">
        <v>28</v>
      </c>
      <c r="D66">
        <v>2</v>
      </c>
      <c r="E66">
        <v>2</v>
      </c>
      <c r="F66">
        <v>2.0510000000000002</v>
      </c>
    </row>
    <row r="67" spans="1:6" x14ac:dyDescent="0.2">
      <c r="A67" s="2">
        <v>46007</v>
      </c>
      <c r="B67" s="3">
        <v>0.05</v>
      </c>
      <c r="C67">
        <v>28</v>
      </c>
      <c r="D67">
        <v>2</v>
      </c>
      <c r="E67">
        <v>3</v>
      </c>
      <c r="F67">
        <v>2.028</v>
      </c>
    </row>
    <row r="68" spans="1:6" x14ac:dyDescent="0.2">
      <c r="A68" s="2">
        <v>46007</v>
      </c>
      <c r="B68" s="3">
        <v>0.05</v>
      </c>
      <c r="C68">
        <v>28</v>
      </c>
      <c r="D68">
        <v>20</v>
      </c>
      <c r="E68">
        <v>1</v>
      </c>
      <c r="F68">
        <v>1.9359999999999999</v>
      </c>
    </row>
    <row r="69" spans="1:6" x14ac:dyDescent="0.2">
      <c r="A69" s="2">
        <v>46007</v>
      </c>
      <c r="B69" s="3">
        <v>0.05</v>
      </c>
      <c r="C69">
        <v>28</v>
      </c>
      <c r="D69">
        <v>20</v>
      </c>
      <c r="E69">
        <v>2</v>
      </c>
      <c r="F69">
        <v>1.9330000000000001</v>
      </c>
    </row>
    <row r="70" spans="1:6" x14ac:dyDescent="0.2">
      <c r="A70" s="2">
        <v>46007</v>
      </c>
      <c r="B70" s="3">
        <v>0.05</v>
      </c>
      <c r="C70">
        <v>28</v>
      </c>
      <c r="D70">
        <v>20</v>
      </c>
      <c r="E70">
        <v>3</v>
      </c>
      <c r="F70">
        <v>1.9379999999999999</v>
      </c>
    </row>
    <row r="71" spans="1:6" x14ac:dyDescent="0.2">
      <c r="A71" s="2">
        <v>46007</v>
      </c>
      <c r="B71" s="3">
        <v>0.05</v>
      </c>
      <c r="C71">
        <v>28</v>
      </c>
      <c r="D71">
        <v>200</v>
      </c>
      <c r="E71">
        <v>1</v>
      </c>
      <c r="F71">
        <v>0.46600000000000003</v>
      </c>
    </row>
    <row r="72" spans="1:6" x14ac:dyDescent="0.2">
      <c r="A72" s="2">
        <v>46007</v>
      </c>
      <c r="B72" s="3">
        <v>0.05</v>
      </c>
      <c r="C72">
        <v>28</v>
      </c>
      <c r="D72">
        <v>200</v>
      </c>
      <c r="E72">
        <v>2</v>
      </c>
      <c r="F72">
        <v>0.47499999999999998</v>
      </c>
    </row>
    <row r="73" spans="1:6" x14ac:dyDescent="0.2">
      <c r="A73" s="2">
        <v>46007</v>
      </c>
      <c r="B73" s="3">
        <v>0.05</v>
      </c>
      <c r="C73">
        <v>28</v>
      </c>
      <c r="D73">
        <v>200</v>
      </c>
      <c r="E73">
        <v>3</v>
      </c>
      <c r="F73">
        <v>0.46600000000000003</v>
      </c>
    </row>
    <row r="74" spans="1:6" x14ac:dyDescent="0.2">
      <c r="A74" s="2">
        <v>46007</v>
      </c>
      <c r="B74" s="3">
        <v>0.05</v>
      </c>
      <c r="C74">
        <v>28</v>
      </c>
      <c r="D74">
        <v>2000</v>
      </c>
      <c r="E74">
        <v>1</v>
      </c>
      <c r="F74">
        <v>0.60599999999999998</v>
      </c>
    </row>
    <row r="75" spans="1:6" x14ac:dyDescent="0.2">
      <c r="A75" s="2">
        <v>46007</v>
      </c>
      <c r="B75" s="3">
        <v>0.05</v>
      </c>
      <c r="C75">
        <v>28</v>
      </c>
      <c r="D75">
        <v>2000</v>
      </c>
      <c r="E75">
        <v>2</v>
      </c>
      <c r="F75">
        <v>0.48599999999999999</v>
      </c>
    </row>
    <row r="76" spans="1:6" x14ac:dyDescent="0.2">
      <c r="A76" s="2">
        <v>46007</v>
      </c>
      <c r="B76" s="3">
        <v>0.05</v>
      </c>
      <c r="C76">
        <v>28</v>
      </c>
      <c r="D76">
        <v>2000</v>
      </c>
      <c r="E76">
        <v>3</v>
      </c>
      <c r="F76">
        <v>0.41599999999999998</v>
      </c>
    </row>
    <row r="77" spans="1:6" x14ac:dyDescent="0.2">
      <c r="A77" s="2">
        <v>46007</v>
      </c>
      <c r="B77" s="3">
        <v>0.21875</v>
      </c>
      <c r="C77">
        <v>32</v>
      </c>
      <c r="D77">
        <v>0</v>
      </c>
      <c r="E77">
        <v>1</v>
      </c>
      <c r="F77">
        <v>2.0470000000000002</v>
      </c>
    </row>
    <row r="78" spans="1:6" x14ac:dyDescent="0.2">
      <c r="A78" s="2">
        <v>46007</v>
      </c>
      <c r="B78" s="3">
        <v>0.21875</v>
      </c>
      <c r="C78">
        <v>32</v>
      </c>
      <c r="D78">
        <v>0</v>
      </c>
      <c r="E78">
        <v>2</v>
      </c>
      <c r="F78">
        <v>2.036</v>
      </c>
    </row>
    <row r="79" spans="1:6" x14ac:dyDescent="0.2">
      <c r="A79" s="2">
        <v>46007</v>
      </c>
      <c r="B79" s="3">
        <v>0.21875</v>
      </c>
      <c r="C79">
        <v>32</v>
      </c>
      <c r="D79">
        <v>0</v>
      </c>
      <c r="E79">
        <v>3</v>
      </c>
      <c r="F79">
        <v>2.0419999999999998</v>
      </c>
    </row>
    <row r="80" spans="1:6" x14ac:dyDescent="0.2">
      <c r="A80" s="2">
        <v>46007</v>
      </c>
      <c r="B80" s="3">
        <v>0.21875</v>
      </c>
      <c r="C80">
        <v>32</v>
      </c>
      <c r="D80">
        <v>2</v>
      </c>
      <c r="E80">
        <v>1</v>
      </c>
      <c r="F80">
        <v>2.073</v>
      </c>
    </row>
    <row r="81" spans="1:6" x14ac:dyDescent="0.2">
      <c r="A81" s="2">
        <v>46007</v>
      </c>
      <c r="B81" s="3">
        <v>0.21875</v>
      </c>
      <c r="C81">
        <v>32</v>
      </c>
      <c r="D81">
        <v>2</v>
      </c>
      <c r="E81">
        <v>2</v>
      </c>
      <c r="F81">
        <v>2.04</v>
      </c>
    </row>
    <row r="82" spans="1:6" x14ac:dyDescent="0.2">
      <c r="A82" s="2">
        <v>46007</v>
      </c>
      <c r="B82" s="3">
        <v>0.21875</v>
      </c>
      <c r="C82">
        <v>32</v>
      </c>
      <c r="D82">
        <v>2</v>
      </c>
      <c r="E82">
        <v>3</v>
      </c>
      <c r="F82">
        <v>2.0099999999999998</v>
      </c>
    </row>
    <row r="83" spans="1:6" x14ac:dyDescent="0.2">
      <c r="A83" s="2">
        <v>46007</v>
      </c>
      <c r="B83" s="3">
        <v>0.21875</v>
      </c>
      <c r="C83">
        <v>32</v>
      </c>
      <c r="D83">
        <v>20</v>
      </c>
      <c r="E83">
        <v>1</v>
      </c>
      <c r="F83">
        <v>1.9079999999999999</v>
      </c>
    </row>
    <row r="84" spans="1:6" x14ac:dyDescent="0.2">
      <c r="A84" s="2">
        <v>46007</v>
      </c>
      <c r="B84" s="3">
        <v>0.21875</v>
      </c>
      <c r="C84">
        <v>32</v>
      </c>
      <c r="D84">
        <v>20</v>
      </c>
      <c r="E84">
        <v>2</v>
      </c>
      <c r="F84">
        <v>1.915</v>
      </c>
    </row>
    <row r="85" spans="1:6" x14ac:dyDescent="0.2">
      <c r="A85" s="2">
        <v>46007</v>
      </c>
      <c r="B85" s="3">
        <v>0.21875</v>
      </c>
      <c r="C85">
        <v>32</v>
      </c>
      <c r="D85">
        <v>20</v>
      </c>
      <c r="E85">
        <v>3</v>
      </c>
      <c r="F85">
        <v>1.9139999999999999</v>
      </c>
    </row>
    <row r="86" spans="1:6" x14ac:dyDescent="0.2">
      <c r="A86" s="2">
        <v>46007</v>
      </c>
      <c r="B86" s="3">
        <v>0.21875</v>
      </c>
      <c r="C86">
        <v>32</v>
      </c>
      <c r="D86">
        <v>200</v>
      </c>
      <c r="E86">
        <v>1</v>
      </c>
      <c r="F86">
        <v>0.438</v>
      </c>
    </row>
    <row r="87" spans="1:6" x14ac:dyDescent="0.2">
      <c r="A87" s="2">
        <v>46007</v>
      </c>
      <c r="B87" s="3">
        <v>0.21875</v>
      </c>
      <c r="C87">
        <v>32</v>
      </c>
      <c r="D87">
        <v>200</v>
      </c>
      <c r="E87">
        <v>2</v>
      </c>
      <c r="F87">
        <v>0.46700000000000003</v>
      </c>
    </row>
    <row r="88" spans="1:6" x14ac:dyDescent="0.2">
      <c r="A88" s="2">
        <v>46007</v>
      </c>
      <c r="B88" s="3">
        <v>0.21875</v>
      </c>
      <c r="C88">
        <v>32</v>
      </c>
      <c r="D88">
        <v>200</v>
      </c>
      <c r="E88">
        <v>3</v>
      </c>
      <c r="F88">
        <v>0.439</v>
      </c>
    </row>
    <row r="89" spans="1:6" x14ac:dyDescent="0.2">
      <c r="A89" s="2">
        <v>46007</v>
      </c>
      <c r="B89" s="3">
        <v>0.21875</v>
      </c>
      <c r="C89">
        <v>32</v>
      </c>
      <c r="D89">
        <v>2000</v>
      </c>
      <c r="E89">
        <v>1</v>
      </c>
      <c r="F89">
        <v>0.52800000000000002</v>
      </c>
    </row>
    <row r="90" spans="1:6" x14ac:dyDescent="0.2">
      <c r="A90" s="2">
        <v>46007</v>
      </c>
      <c r="B90" s="3">
        <v>0.21875</v>
      </c>
      <c r="C90">
        <v>32</v>
      </c>
      <c r="D90">
        <v>2000</v>
      </c>
      <c r="E90">
        <v>2</v>
      </c>
      <c r="F90">
        <v>0.44600000000000001</v>
      </c>
    </row>
    <row r="91" spans="1:6" x14ac:dyDescent="0.2">
      <c r="A91" s="2">
        <v>46007</v>
      </c>
      <c r="B91" s="3">
        <v>0.21875</v>
      </c>
      <c r="C91">
        <v>32</v>
      </c>
      <c r="D91">
        <v>2000</v>
      </c>
      <c r="E91">
        <v>3</v>
      </c>
      <c r="F91">
        <v>0.39700000000000002</v>
      </c>
    </row>
    <row r="92" spans="1:6" x14ac:dyDescent="0.2">
      <c r="A92" s="2">
        <v>46008</v>
      </c>
      <c r="B92" s="3">
        <v>0.43541666666666662</v>
      </c>
      <c r="C92">
        <v>49.5</v>
      </c>
      <c r="D92">
        <v>0</v>
      </c>
      <c r="E92">
        <v>1</v>
      </c>
      <c r="F92">
        <v>1.998</v>
      </c>
    </row>
    <row r="93" spans="1:6" x14ac:dyDescent="0.2">
      <c r="A93" s="2">
        <v>46008</v>
      </c>
      <c r="B93" s="3">
        <v>0.43541666666666662</v>
      </c>
      <c r="C93">
        <v>49.5</v>
      </c>
      <c r="D93">
        <v>0</v>
      </c>
      <c r="E93">
        <v>2</v>
      </c>
      <c r="F93">
        <v>1.9990000000000001</v>
      </c>
    </row>
    <row r="94" spans="1:6" x14ac:dyDescent="0.2">
      <c r="A94" s="2">
        <v>46008</v>
      </c>
      <c r="B94" s="3">
        <v>0.43541666666666662</v>
      </c>
      <c r="C94">
        <v>49.5</v>
      </c>
      <c r="D94">
        <v>0</v>
      </c>
      <c r="E94">
        <v>3</v>
      </c>
      <c r="F94">
        <v>1.9850000000000001</v>
      </c>
    </row>
    <row r="95" spans="1:6" x14ac:dyDescent="0.2">
      <c r="A95" s="2">
        <v>46008</v>
      </c>
      <c r="B95" s="3">
        <v>0.43541666666666701</v>
      </c>
      <c r="C95">
        <v>49.5</v>
      </c>
      <c r="D95">
        <v>2</v>
      </c>
      <c r="E95">
        <v>1</v>
      </c>
      <c r="F95">
        <v>2.0249999999999999</v>
      </c>
    </row>
    <row r="96" spans="1:6" x14ac:dyDescent="0.2">
      <c r="A96" s="2">
        <v>46008</v>
      </c>
      <c r="B96" s="3">
        <v>0.43541666666666701</v>
      </c>
      <c r="C96">
        <v>49.5</v>
      </c>
      <c r="D96">
        <v>2</v>
      </c>
      <c r="E96">
        <v>2</v>
      </c>
      <c r="F96">
        <v>1.9890000000000001</v>
      </c>
    </row>
    <row r="97" spans="1:6" x14ac:dyDescent="0.2">
      <c r="A97" s="2">
        <v>46008</v>
      </c>
      <c r="B97" s="3">
        <v>0.43541666666666701</v>
      </c>
      <c r="C97">
        <v>49.5</v>
      </c>
      <c r="D97">
        <v>2</v>
      </c>
      <c r="E97">
        <v>3</v>
      </c>
      <c r="F97">
        <v>1.982</v>
      </c>
    </row>
    <row r="98" spans="1:6" x14ac:dyDescent="0.2">
      <c r="A98" s="2">
        <v>46008</v>
      </c>
      <c r="B98" s="3">
        <v>0.43541666666666701</v>
      </c>
      <c r="C98">
        <v>49.5</v>
      </c>
      <c r="D98">
        <v>20</v>
      </c>
      <c r="E98">
        <v>1</v>
      </c>
      <c r="F98">
        <v>1.8779999999999999</v>
      </c>
    </row>
    <row r="99" spans="1:6" x14ac:dyDescent="0.2">
      <c r="A99" s="2">
        <v>46008</v>
      </c>
      <c r="B99" s="3">
        <v>0.43541666666666701</v>
      </c>
      <c r="C99">
        <v>49.5</v>
      </c>
      <c r="D99">
        <v>20</v>
      </c>
      <c r="E99">
        <v>2</v>
      </c>
      <c r="F99">
        <v>1.857</v>
      </c>
    </row>
    <row r="100" spans="1:6" x14ac:dyDescent="0.2">
      <c r="A100" s="2">
        <v>46008</v>
      </c>
      <c r="B100" s="3">
        <v>0.43541666666666701</v>
      </c>
      <c r="C100">
        <v>49.5</v>
      </c>
      <c r="D100">
        <v>20</v>
      </c>
      <c r="E100">
        <v>3</v>
      </c>
      <c r="F100">
        <v>1.8660000000000001</v>
      </c>
    </row>
    <row r="101" spans="1:6" x14ac:dyDescent="0.2">
      <c r="A101" s="2">
        <v>46008</v>
      </c>
      <c r="B101" s="3">
        <v>0.43541666666666701</v>
      </c>
      <c r="C101">
        <v>49.5</v>
      </c>
      <c r="D101">
        <v>200</v>
      </c>
      <c r="E101">
        <v>1</v>
      </c>
      <c r="F101">
        <v>0.41899999999999998</v>
      </c>
    </row>
    <row r="102" spans="1:6" x14ac:dyDescent="0.2">
      <c r="A102" s="2">
        <v>46008</v>
      </c>
      <c r="B102" s="3">
        <v>0.43541666666666701</v>
      </c>
      <c r="C102">
        <v>49.5</v>
      </c>
      <c r="D102">
        <v>200</v>
      </c>
      <c r="E102">
        <v>2</v>
      </c>
      <c r="F102">
        <v>0.42299999999999999</v>
      </c>
    </row>
    <row r="103" spans="1:6" x14ac:dyDescent="0.2">
      <c r="A103" s="2">
        <v>46008</v>
      </c>
      <c r="B103" s="3">
        <v>0.43541666666666701</v>
      </c>
      <c r="C103">
        <v>49.5</v>
      </c>
      <c r="D103">
        <v>200</v>
      </c>
      <c r="E103">
        <v>3</v>
      </c>
      <c r="F103">
        <v>0.42</v>
      </c>
    </row>
    <row r="104" spans="1:6" x14ac:dyDescent="0.2">
      <c r="A104" s="2">
        <v>46008</v>
      </c>
      <c r="B104" s="3">
        <v>0.43541666666666701</v>
      </c>
      <c r="C104">
        <v>49.5</v>
      </c>
      <c r="D104">
        <v>2000</v>
      </c>
      <c r="E104">
        <v>1</v>
      </c>
      <c r="F104">
        <v>0.44</v>
      </c>
    </row>
    <row r="105" spans="1:6" x14ac:dyDescent="0.2">
      <c r="A105" s="2">
        <v>46008</v>
      </c>
      <c r="B105" s="3">
        <v>0.43541666666666701</v>
      </c>
      <c r="C105">
        <v>49.5</v>
      </c>
      <c r="D105">
        <v>2000</v>
      </c>
      <c r="E105">
        <v>2</v>
      </c>
      <c r="F105">
        <v>0.39200000000000002</v>
      </c>
    </row>
    <row r="106" spans="1:6" x14ac:dyDescent="0.2">
      <c r="A106" s="2">
        <v>46008</v>
      </c>
      <c r="B106" s="3">
        <v>0.43541666666666701</v>
      </c>
      <c r="C106">
        <v>49.5</v>
      </c>
      <c r="D106">
        <v>2000</v>
      </c>
      <c r="E106">
        <v>3</v>
      </c>
      <c r="F106">
        <v>0.40500000000000003</v>
      </c>
    </row>
    <row r="107" spans="1:6" x14ac:dyDescent="0.2">
      <c r="A107" s="2">
        <v>46008</v>
      </c>
      <c r="B107" s="3">
        <v>0.17569444444444446</v>
      </c>
      <c r="C107">
        <v>55</v>
      </c>
      <c r="D107">
        <v>0</v>
      </c>
      <c r="E107">
        <v>1</v>
      </c>
      <c r="F107">
        <v>1.9870000000000001</v>
      </c>
    </row>
    <row r="108" spans="1:6" x14ac:dyDescent="0.2">
      <c r="A108" s="2">
        <v>46008</v>
      </c>
      <c r="B108" s="3">
        <v>0.17569444444444446</v>
      </c>
      <c r="C108">
        <v>55</v>
      </c>
      <c r="D108">
        <v>0</v>
      </c>
      <c r="E108">
        <v>2</v>
      </c>
      <c r="F108">
        <v>2</v>
      </c>
    </row>
    <row r="109" spans="1:6" x14ac:dyDescent="0.2">
      <c r="A109" s="2">
        <v>46008</v>
      </c>
      <c r="B109" s="3">
        <v>0.17569444444444446</v>
      </c>
      <c r="C109">
        <v>55</v>
      </c>
      <c r="D109">
        <v>0</v>
      </c>
      <c r="E109">
        <v>3</v>
      </c>
      <c r="F109">
        <v>1.9870000000000001</v>
      </c>
    </row>
    <row r="110" spans="1:6" x14ac:dyDescent="0.2">
      <c r="A110" s="2">
        <v>46008</v>
      </c>
      <c r="B110" s="3">
        <v>0.17569444444444399</v>
      </c>
      <c r="C110">
        <v>55</v>
      </c>
      <c r="D110">
        <v>2</v>
      </c>
      <c r="E110">
        <v>1</v>
      </c>
      <c r="F110">
        <v>2.0219999999999998</v>
      </c>
    </row>
    <row r="111" spans="1:6" x14ac:dyDescent="0.2">
      <c r="A111" s="2">
        <v>46008</v>
      </c>
      <c r="B111" s="3">
        <v>0.17569444444444399</v>
      </c>
      <c r="C111">
        <v>55</v>
      </c>
      <c r="D111">
        <v>2</v>
      </c>
      <c r="E111">
        <v>2</v>
      </c>
      <c r="F111">
        <v>1.984</v>
      </c>
    </row>
    <row r="112" spans="1:6" x14ac:dyDescent="0.2">
      <c r="A112" s="2">
        <v>46008</v>
      </c>
      <c r="B112" s="3">
        <v>0.17569444444444399</v>
      </c>
      <c r="C112">
        <v>55</v>
      </c>
      <c r="D112">
        <v>2</v>
      </c>
      <c r="E112">
        <v>3</v>
      </c>
      <c r="F112">
        <v>1.9810000000000001</v>
      </c>
    </row>
    <row r="113" spans="1:6" x14ac:dyDescent="0.2">
      <c r="A113" s="2">
        <v>46008</v>
      </c>
      <c r="B113" s="3">
        <v>0.17569444444444399</v>
      </c>
      <c r="C113">
        <v>55</v>
      </c>
      <c r="D113">
        <v>20</v>
      </c>
      <c r="E113">
        <v>1</v>
      </c>
      <c r="F113">
        <v>1.901</v>
      </c>
    </row>
    <row r="114" spans="1:6" x14ac:dyDescent="0.2">
      <c r="A114" s="2">
        <v>46008</v>
      </c>
      <c r="B114" s="3">
        <v>0.17569444444444399</v>
      </c>
      <c r="C114">
        <v>55</v>
      </c>
      <c r="D114">
        <v>20</v>
      </c>
      <c r="E114">
        <v>2</v>
      </c>
      <c r="F114">
        <v>1.845</v>
      </c>
    </row>
    <row r="115" spans="1:6" x14ac:dyDescent="0.2">
      <c r="A115" s="2">
        <v>46008</v>
      </c>
      <c r="B115" s="3">
        <v>0.17569444444444399</v>
      </c>
      <c r="C115">
        <v>55</v>
      </c>
      <c r="D115">
        <v>20</v>
      </c>
      <c r="E115">
        <v>3</v>
      </c>
      <c r="F115">
        <v>1.877</v>
      </c>
    </row>
    <row r="116" spans="1:6" x14ac:dyDescent="0.2">
      <c r="A116" s="2">
        <v>46008</v>
      </c>
      <c r="B116" s="3">
        <v>0.17569444444444399</v>
      </c>
      <c r="C116">
        <v>55</v>
      </c>
      <c r="D116">
        <v>200</v>
      </c>
      <c r="E116">
        <v>1</v>
      </c>
      <c r="F116">
        <v>0.41599999999999998</v>
      </c>
    </row>
    <row r="117" spans="1:6" x14ac:dyDescent="0.2">
      <c r="A117" s="2">
        <v>46008</v>
      </c>
      <c r="B117" s="3">
        <v>0.17569444444444399</v>
      </c>
      <c r="C117">
        <v>55</v>
      </c>
      <c r="D117">
        <v>200</v>
      </c>
      <c r="E117">
        <v>2</v>
      </c>
      <c r="F117">
        <v>0.41699999999999998</v>
      </c>
    </row>
    <row r="118" spans="1:6" x14ac:dyDescent="0.2">
      <c r="A118" s="2">
        <v>46008</v>
      </c>
      <c r="B118" s="3">
        <v>0.17569444444444399</v>
      </c>
      <c r="C118">
        <v>55</v>
      </c>
      <c r="D118">
        <v>200</v>
      </c>
      <c r="E118">
        <v>3</v>
      </c>
      <c r="F118">
        <v>0.42</v>
      </c>
    </row>
    <row r="119" spans="1:6" x14ac:dyDescent="0.2">
      <c r="A119" s="2">
        <v>46008</v>
      </c>
      <c r="B119" s="3">
        <v>0.17569444444444399</v>
      </c>
      <c r="C119">
        <v>55</v>
      </c>
      <c r="D119">
        <v>2000</v>
      </c>
      <c r="E119">
        <v>1</v>
      </c>
      <c r="F119">
        <v>0.41099999999999998</v>
      </c>
    </row>
    <row r="120" spans="1:6" x14ac:dyDescent="0.2">
      <c r="A120" s="2">
        <v>46008</v>
      </c>
      <c r="B120" s="3">
        <v>0.17569444444444399</v>
      </c>
      <c r="C120">
        <v>55</v>
      </c>
      <c r="D120">
        <v>2000</v>
      </c>
      <c r="E120">
        <v>2</v>
      </c>
      <c r="F120">
        <v>0.38300000000000001</v>
      </c>
    </row>
    <row r="121" spans="1:6" x14ac:dyDescent="0.2">
      <c r="A121" s="2">
        <v>46008</v>
      </c>
      <c r="B121" s="3">
        <v>0.17569444444444399</v>
      </c>
      <c r="C121">
        <v>55</v>
      </c>
      <c r="D121">
        <v>2000</v>
      </c>
      <c r="E121">
        <v>3</v>
      </c>
      <c r="F121">
        <v>0.39900000000000002</v>
      </c>
    </row>
    <row r="122" spans="1:6" x14ac:dyDescent="0.2">
      <c r="A122" s="2">
        <v>46141</v>
      </c>
      <c r="B122" s="3">
        <v>0.45833333333333331</v>
      </c>
      <c r="C122">
        <v>0</v>
      </c>
      <c r="D122">
        <v>0</v>
      </c>
      <c r="E122">
        <v>1</v>
      </c>
      <c r="F122">
        <v>0.4</v>
      </c>
    </row>
    <row r="123" spans="1:6" x14ac:dyDescent="0.2">
      <c r="A123" s="2">
        <v>46141</v>
      </c>
      <c r="B123" s="3">
        <v>0.45833333333333331</v>
      </c>
      <c r="C123">
        <v>0</v>
      </c>
      <c r="D123">
        <v>0</v>
      </c>
      <c r="E123">
        <v>2</v>
      </c>
      <c r="F123">
        <v>0.41199999999999998</v>
      </c>
    </row>
    <row r="124" spans="1:6" x14ac:dyDescent="0.2">
      <c r="A124" s="2">
        <v>46141</v>
      </c>
      <c r="B124" s="3">
        <v>0.45833333333333298</v>
      </c>
      <c r="C124">
        <v>0</v>
      </c>
      <c r="D124">
        <v>0</v>
      </c>
      <c r="E124">
        <v>3</v>
      </c>
      <c r="F124">
        <v>0.41499999999999998</v>
      </c>
    </row>
    <row r="125" spans="1:6" x14ac:dyDescent="0.2">
      <c r="A125" s="2">
        <v>46141</v>
      </c>
      <c r="B125" s="3">
        <v>0.45833333333333298</v>
      </c>
      <c r="C125">
        <v>0</v>
      </c>
      <c r="D125">
        <v>2</v>
      </c>
      <c r="E125">
        <v>1</v>
      </c>
      <c r="F125">
        <v>0.41199999999999998</v>
      </c>
    </row>
    <row r="126" spans="1:6" x14ac:dyDescent="0.2">
      <c r="A126" s="2">
        <v>46141</v>
      </c>
      <c r="B126" s="3">
        <v>0.45833333333333298</v>
      </c>
      <c r="C126">
        <v>0</v>
      </c>
      <c r="D126">
        <v>2</v>
      </c>
      <c r="E126">
        <v>2</v>
      </c>
      <c r="F126">
        <v>0.42599999999999999</v>
      </c>
    </row>
    <row r="127" spans="1:6" x14ac:dyDescent="0.2">
      <c r="A127" s="2">
        <v>46141</v>
      </c>
      <c r="B127" s="3">
        <v>0.45833333333333298</v>
      </c>
      <c r="C127">
        <v>0</v>
      </c>
      <c r="D127">
        <v>2</v>
      </c>
      <c r="E127">
        <v>3</v>
      </c>
      <c r="F127">
        <v>0.4</v>
      </c>
    </row>
    <row r="128" spans="1:6" x14ac:dyDescent="0.2">
      <c r="A128" s="2">
        <v>46141</v>
      </c>
      <c r="B128" s="3">
        <v>0.45833333333333298</v>
      </c>
      <c r="C128">
        <v>0</v>
      </c>
      <c r="D128">
        <v>20</v>
      </c>
      <c r="E128">
        <v>1</v>
      </c>
      <c r="F128">
        <v>0.38700000000000001</v>
      </c>
    </row>
    <row r="129" spans="1:7" x14ac:dyDescent="0.2">
      <c r="A129" s="2">
        <v>46141</v>
      </c>
      <c r="B129" s="3">
        <v>0.45833333333333298</v>
      </c>
      <c r="C129">
        <v>0</v>
      </c>
      <c r="D129">
        <v>20</v>
      </c>
      <c r="E129">
        <v>2</v>
      </c>
      <c r="F129">
        <v>0.41199999999999998</v>
      </c>
    </row>
    <row r="130" spans="1:7" x14ac:dyDescent="0.2">
      <c r="A130" s="2">
        <v>46141</v>
      </c>
      <c r="B130" s="3">
        <v>0.45833333333333298</v>
      </c>
      <c r="C130">
        <v>0</v>
      </c>
      <c r="D130">
        <v>20</v>
      </c>
      <c r="E130">
        <v>3</v>
      </c>
      <c r="F130">
        <v>0.40400000000000003</v>
      </c>
    </row>
    <row r="131" spans="1:7" x14ac:dyDescent="0.2">
      <c r="A131" s="2">
        <v>46141</v>
      </c>
      <c r="B131" s="3">
        <v>0.45833333333333298</v>
      </c>
      <c r="C131">
        <v>0</v>
      </c>
      <c r="D131">
        <v>200</v>
      </c>
      <c r="E131">
        <v>1</v>
      </c>
      <c r="F131">
        <v>0.36</v>
      </c>
    </row>
    <row r="132" spans="1:7" x14ac:dyDescent="0.2">
      <c r="A132" s="2">
        <v>46141</v>
      </c>
      <c r="B132" s="3">
        <v>0.45833333333333298</v>
      </c>
      <c r="C132">
        <v>0</v>
      </c>
      <c r="D132">
        <v>200</v>
      </c>
      <c r="E132">
        <v>2</v>
      </c>
      <c r="F132">
        <v>0.41199999999999998</v>
      </c>
    </row>
    <row r="133" spans="1:7" x14ac:dyDescent="0.2">
      <c r="A133" s="2">
        <v>46141</v>
      </c>
      <c r="B133" s="3">
        <v>0.45833333333333298</v>
      </c>
      <c r="C133">
        <v>0</v>
      </c>
      <c r="D133">
        <v>200</v>
      </c>
      <c r="E133">
        <v>3</v>
      </c>
      <c r="F133">
        <v>0.39800000000000002</v>
      </c>
    </row>
    <row r="134" spans="1:7" x14ac:dyDescent="0.2">
      <c r="A134" s="2">
        <v>46141</v>
      </c>
      <c r="B134" s="3">
        <v>0.45833333333333298</v>
      </c>
      <c r="C134">
        <v>0</v>
      </c>
      <c r="D134">
        <v>2000</v>
      </c>
      <c r="E134">
        <v>1</v>
      </c>
      <c r="F134">
        <v>0.443</v>
      </c>
    </row>
    <row r="135" spans="1:7" x14ac:dyDescent="0.2">
      <c r="A135" s="2">
        <v>46141</v>
      </c>
      <c r="B135" s="3">
        <v>0.45833333333333298</v>
      </c>
      <c r="C135">
        <v>0</v>
      </c>
      <c r="D135">
        <v>2000</v>
      </c>
      <c r="E135">
        <v>2</v>
      </c>
      <c r="F135">
        <v>0.436</v>
      </c>
    </row>
    <row r="136" spans="1:7" x14ac:dyDescent="0.2">
      <c r="A136" s="2">
        <v>46141</v>
      </c>
      <c r="B136" s="3">
        <v>0.45833333333333298</v>
      </c>
      <c r="C136">
        <v>0</v>
      </c>
      <c r="D136">
        <v>2000</v>
      </c>
      <c r="E136">
        <v>3</v>
      </c>
      <c r="F136">
        <v>0.44600000000000001</v>
      </c>
    </row>
    <row r="137" spans="1:7" x14ac:dyDescent="0.2">
      <c r="A137" s="2">
        <v>46141</v>
      </c>
      <c r="B137" s="3">
        <v>0.79166666666666663</v>
      </c>
      <c r="C137">
        <v>8</v>
      </c>
      <c r="D137">
        <v>0</v>
      </c>
      <c r="E137">
        <v>1</v>
      </c>
      <c r="F137">
        <v>1.919</v>
      </c>
      <c r="G137">
        <f>(F137-F122)/(C137-C122)</f>
        <v>0.18987500000000002</v>
      </c>
    </row>
    <row r="138" spans="1:7" x14ac:dyDescent="0.2">
      <c r="A138" s="2">
        <v>46141</v>
      </c>
      <c r="B138" s="3">
        <v>0.79166666666666663</v>
      </c>
      <c r="C138">
        <v>8</v>
      </c>
      <c r="D138">
        <v>0</v>
      </c>
      <c r="E138">
        <v>2</v>
      </c>
      <c r="F138">
        <v>1.92</v>
      </c>
      <c r="G138">
        <f>(F138-F123)/(C138-C123)</f>
        <v>0.1885</v>
      </c>
    </row>
    <row r="139" spans="1:7" x14ac:dyDescent="0.2">
      <c r="A139" s="2">
        <v>46141</v>
      </c>
      <c r="B139" s="3">
        <v>0.79166666666666696</v>
      </c>
      <c r="C139">
        <v>8</v>
      </c>
      <c r="D139">
        <v>0</v>
      </c>
      <c r="E139">
        <v>3</v>
      </c>
      <c r="F139">
        <v>1.9339999999999999</v>
      </c>
      <c r="G139">
        <f>(F139-F124)/(C139-C124)</f>
        <v>0.18987499999999999</v>
      </c>
    </row>
    <row r="140" spans="1:7" x14ac:dyDescent="0.2">
      <c r="A140" s="2">
        <v>46141</v>
      </c>
      <c r="B140" s="3">
        <v>0.79166666666666696</v>
      </c>
      <c r="C140">
        <v>8</v>
      </c>
      <c r="D140">
        <v>2</v>
      </c>
      <c r="E140">
        <v>1</v>
      </c>
      <c r="F140">
        <v>1.9330000000000001</v>
      </c>
      <c r="G140">
        <f t="shared" ref="G140:G151" si="3">(F140-F125)/(C140-C125)</f>
        <v>0.19012500000000002</v>
      </c>
    </row>
    <row r="141" spans="1:7" x14ac:dyDescent="0.2">
      <c r="A141" s="2">
        <v>46141</v>
      </c>
      <c r="B141" s="3">
        <v>0.79166666666666696</v>
      </c>
      <c r="C141">
        <v>8</v>
      </c>
      <c r="D141">
        <v>2</v>
      </c>
      <c r="E141">
        <v>2</v>
      </c>
      <c r="F141">
        <v>2.0219999999999998</v>
      </c>
      <c r="G141">
        <f>(F141-F126)/(C141-C126)</f>
        <v>0.19949999999999998</v>
      </c>
    </row>
    <row r="142" spans="1:7" x14ac:dyDescent="0.2">
      <c r="A142" s="2">
        <v>46141</v>
      </c>
      <c r="B142" s="3">
        <v>0.79166666666666696</v>
      </c>
      <c r="C142">
        <v>8</v>
      </c>
      <c r="D142">
        <v>2</v>
      </c>
      <c r="E142">
        <v>3</v>
      </c>
      <c r="F142">
        <v>2.0059999999999998</v>
      </c>
      <c r="G142">
        <f t="shared" si="3"/>
        <v>0.20074999999999998</v>
      </c>
    </row>
    <row r="143" spans="1:7" x14ac:dyDescent="0.2">
      <c r="A143" s="2">
        <v>46141</v>
      </c>
      <c r="B143" s="3">
        <v>0.79166666666666696</v>
      </c>
      <c r="C143">
        <v>8</v>
      </c>
      <c r="D143">
        <v>20</v>
      </c>
      <c r="E143">
        <v>1</v>
      </c>
      <c r="F143">
        <v>1.206</v>
      </c>
      <c r="G143">
        <f t="shared" si="3"/>
        <v>0.10237499999999999</v>
      </c>
    </row>
    <row r="144" spans="1:7" x14ac:dyDescent="0.2">
      <c r="A144" s="2">
        <v>46141</v>
      </c>
      <c r="B144" s="3">
        <v>0.79166666666666696</v>
      </c>
      <c r="C144">
        <v>8</v>
      </c>
      <c r="D144">
        <v>20</v>
      </c>
      <c r="E144">
        <v>2</v>
      </c>
      <c r="F144">
        <v>1.22</v>
      </c>
      <c r="G144">
        <f t="shared" si="3"/>
        <v>0.10100000000000001</v>
      </c>
    </row>
    <row r="145" spans="1:7" x14ac:dyDescent="0.2">
      <c r="A145" s="2">
        <v>46141</v>
      </c>
      <c r="B145" s="3">
        <v>0.79166666666666696</v>
      </c>
      <c r="C145">
        <v>8</v>
      </c>
      <c r="D145">
        <v>20</v>
      </c>
      <c r="E145">
        <v>3</v>
      </c>
      <c r="F145">
        <v>1.2230000000000001</v>
      </c>
      <c r="G145">
        <f t="shared" si="3"/>
        <v>0.10237500000000001</v>
      </c>
    </row>
    <row r="146" spans="1:7" x14ac:dyDescent="0.2">
      <c r="A146" s="2">
        <v>46141</v>
      </c>
      <c r="B146" s="3">
        <v>0.79166666666666696</v>
      </c>
      <c r="C146">
        <v>8</v>
      </c>
      <c r="D146">
        <v>200</v>
      </c>
      <c r="E146">
        <v>1</v>
      </c>
      <c r="F146">
        <v>0.46</v>
      </c>
      <c r="G146">
        <f t="shared" si="3"/>
        <v>1.2500000000000004E-2</v>
      </c>
    </row>
    <row r="147" spans="1:7" x14ac:dyDescent="0.2">
      <c r="A147" s="2">
        <v>46141</v>
      </c>
      <c r="B147" s="3">
        <v>0.79166666666666696</v>
      </c>
      <c r="C147">
        <v>8</v>
      </c>
      <c r="D147">
        <v>200</v>
      </c>
      <c r="E147">
        <v>2</v>
      </c>
      <c r="F147">
        <v>0.496</v>
      </c>
      <c r="G147">
        <f t="shared" si="3"/>
        <v>1.0500000000000002E-2</v>
      </c>
    </row>
    <row r="148" spans="1:7" x14ac:dyDescent="0.2">
      <c r="A148" s="2">
        <v>46141</v>
      </c>
      <c r="B148" s="3">
        <v>0.79166666666666696</v>
      </c>
      <c r="C148">
        <v>8</v>
      </c>
      <c r="D148">
        <v>200</v>
      </c>
      <c r="E148">
        <v>3</v>
      </c>
      <c r="F148">
        <v>0.48599999999999999</v>
      </c>
      <c r="G148">
        <f t="shared" si="3"/>
        <v>1.0999999999999996E-2</v>
      </c>
    </row>
    <row r="149" spans="1:7" x14ac:dyDescent="0.2">
      <c r="A149" s="2">
        <v>46141</v>
      </c>
      <c r="B149" s="3">
        <v>0.79166666666666696</v>
      </c>
      <c r="C149">
        <v>8</v>
      </c>
      <c r="D149">
        <v>2000</v>
      </c>
      <c r="E149">
        <v>1</v>
      </c>
      <c r="F149">
        <v>0.438</v>
      </c>
      <c r="G149">
        <f t="shared" si="3"/>
        <v>-6.2500000000000056E-4</v>
      </c>
    </row>
    <row r="150" spans="1:7" x14ac:dyDescent="0.2">
      <c r="A150" s="2">
        <v>46141</v>
      </c>
      <c r="B150" s="3">
        <v>0.79166666666666696</v>
      </c>
      <c r="C150">
        <v>8</v>
      </c>
      <c r="D150">
        <v>2000</v>
      </c>
      <c r="E150">
        <v>2</v>
      </c>
      <c r="F150">
        <v>0.41499999999999998</v>
      </c>
      <c r="G150">
        <f t="shared" si="3"/>
        <v>-2.6250000000000023E-3</v>
      </c>
    </row>
    <row r="151" spans="1:7" x14ac:dyDescent="0.2">
      <c r="A151" s="2">
        <v>46141</v>
      </c>
      <c r="B151" s="3">
        <v>0.79166666666666696</v>
      </c>
      <c r="C151">
        <v>8</v>
      </c>
      <c r="D151">
        <v>2000</v>
      </c>
      <c r="E151">
        <v>3</v>
      </c>
      <c r="F151">
        <v>0.41899999999999998</v>
      </c>
      <c r="G151">
        <f t="shared" si="3"/>
        <v>-3.375000000000003E-3</v>
      </c>
    </row>
    <row r="152" spans="1:7" x14ac:dyDescent="0.2">
      <c r="A152" s="2">
        <v>46142</v>
      </c>
      <c r="B152" s="3">
        <v>0.375</v>
      </c>
      <c r="C152">
        <v>21</v>
      </c>
      <c r="D152">
        <v>0</v>
      </c>
      <c r="E152">
        <v>1</v>
      </c>
      <c r="F152">
        <v>1.9950000000000001</v>
      </c>
    </row>
    <row r="153" spans="1:7" x14ac:dyDescent="0.2">
      <c r="A153" s="2">
        <v>46142</v>
      </c>
      <c r="B153" s="3">
        <v>0.375</v>
      </c>
      <c r="C153">
        <v>21</v>
      </c>
      <c r="D153">
        <v>0</v>
      </c>
      <c r="E153">
        <v>2</v>
      </c>
      <c r="F153">
        <v>2.0070000000000001</v>
      </c>
    </row>
    <row r="154" spans="1:7" x14ac:dyDescent="0.2">
      <c r="A154" s="2">
        <v>46142</v>
      </c>
      <c r="B154" s="3">
        <v>0.375</v>
      </c>
      <c r="C154">
        <v>21</v>
      </c>
      <c r="D154">
        <v>0</v>
      </c>
      <c r="E154">
        <v>3</v>
      </c>
      <c r="F154">
        <v>2.0110000000000001</v>
      </c>
    </row>
    <row r="155" spans="1:7" x14ac:dyDescent="0.2">
      <c r="A155" s="2">
        <v>46142</v>
      </c>
      <c r="B155" s="3">
        <v>0.375</v>
      </c>
      <c r="C155">
        <v>21</v>
      </c>
      <c r="D155">
        <v>2</v>
      </c>
      <c r="E155">
        <v>1</v>
      </c>
      <c r="F155">
        <v>2.0099999999999998</v>
      </c>
    </row>
    <row r="156" spans="1:7" x14ac:dyDescent="0.2">
      <c r="A156" s="2">
        <v>46142</v>
      </c>
      <c r="B156" s="3">
        <v>0.375</v>
      </c>
      <c r="C156">
        <v>21</v>
      </c>
      <c r="D156">
        <v>2</v>
      </c>
      <c r="E156">
        <v>2</v>
      </c>
      <c r="F156">
        <v>2.02</v>
      </c>
    </row>
    <row r="157" spans="1:7" x14ac:dyDescent="0.2">
      <c r="A157" s="2">
        <v>46142</v>
      </c>
      <c r="B157" s="3">
        <v>0.375</v>
      </c>
      <c r="C157">
        <v>21</v>
      </c>
      <c r="D157">
        <v>2</v>
      </c>
      <c r="E157">
        <v>3</v>
      </c>
      <c r="F157">
        <v>2.0030000000000001</v>
      </c>
    </row>
    <row r="158" spans="1:7" x14ac:dyDescent="0.2">
      <c r="A158" s="2">
        <v>46142</v>
      </c>
      <c r="B158" s="3">
        <v>0.375</v>
      </c>
      <c r="C158">
        <v>21</v>
      </c>
      <c r="D158">
        <v>20</v>
      </c>
      <c r="E158">
        <v>1</v>
      </c>
      <c r="F158">
        <v>1.9450000000000001</v>
      </c>
    </row>
    <row r="159" spans="1:7" x14ac:dyDescent="0.2">
      <c r="A159" s="2">
        <v>46142</v>
      </c>
      <c r="B159" s="3">
        <v>0.375</v>
      </c>
      <c r="C159">
        <v>21</v>
      </c>
      <c r="D159">
        <v>20</v>
      </c>
      <c r="E159">
        <v>2</v>
      </c>
      <c r="F159">
        <v>1.9339999999999999</v>
      </c>
    </row>
    <row r="160" spans="1:7" x14ac:dyDescent="0.2">
      <c r="A160" s="2">
        <v>46142</v>
      </c>
      <c r="B160" s="3">
        <v>0.375</v>
      </c>
      <c r="C160">
        <v>21</v>
      </c>
      <c r="D160">
        <v>20</v>
      </c>
      <c r="E160">
        <v>3</v>
      </c>
      <c r="F160">
        <v>1.956</v>
      </c>
    </row>
    <row r="161" spans="1:6" x14ac:dyDescent="0.2">
      <c r="A161" s="2">
        <v>46142</v>
      </c>
      <c r="B161" s="3">
        <v>0.375</v>
      </c>
      <c r="C161">
        <v>21</v>
      </c>
      <c r="D161">
        <v>200</v>
      </c>
      <c r="E161">
        <v>1</v>
      </c>
      <c r="F161">
        <v>0.47</v>
      </c>
    </row>
    <row r="162" spans="1:6" x14ac:dyDescent="0.2">
      <c r="A162" s="2">
        <v>46142</v>
      </c>
      <c r="B162" s="3">
        <v>0.375</v>
      </c>
      <c r="C162">
        <v>21</v>
      </c>
      <c r="D162">
        <v>200</v>
      </c>
      <c r="E162">
        <v>2</v>
      </c>
      <c r="F162">
        <v>0.48299999999999998</v>
      </c>
    </row>
    <row r="163" spans="1:6" x14ac:dyDescent="0.2">
      <c r="A163" s="2">
        <v>46142</v>
      </c>
      <c r="B163" s="3">
        <v>0.375</v>
      </c>
      <c r="C163">
        <v>21</v>
      </c>
      <c r="D163">
        <v>200</v>
      </c>
      <c r="E163">
        <v>3</v>
      </c>
      <c r="F163">
        <v>0.48499999999999999</v>
      </c>
    </row>
    <row r="164" spans="1:6" x14ac:dyDescent="0.2">
      <c r="A164" s="2">
        <v>46142</v>
      </c>
      <c r="B164" s="3">
        <v>0.375</v>
      </c>
      <c r="C164">
        <v>21</v>
      </c>
      <c r="D164">
        <v>2000</v>
      </c>
      <c r="E164">
        <v>1</v>
      </c>
      <c r="F164">
        <v>0.36899999999999999</v>
      </c>
    </row>
    <row r="165" spans="1:6" x14ac:dyDescent="0.2">
      <c r="A165" s="2">
        <v>46142</v>
      </c>
      <c r="B165" s="3">
        <v>0.375</v>
      </c>
      <c r="C165">
        <v>21</v>
      </c>
      <c r="D165">
        <v>2000</v>
      </c>
      <c r="E165">
        <v>2</v>
      </c>
      <c r="F165">
        <v>0.36599999999999999</v>
      </c>
    </row>
    <row r="166" spans="1:6" x14ac:dyDescent="0.2">
      <c r="A166" s="2">
        <v>46142</v>
      </c>
      <c r="B166" s="3">
        <v>0.375</v>
      </c>
      <c r="C166">
        <v>21</v>
      </c>
      <c r="D166">
        <v>2000</v>
      </c>
      <c r="E166">
        <v>3</v>
      </c>
      <c r="F166">
        <v>0.44400000000000001</v>
      </c>
    </row>
    <row r="167" spans="1:6" x14ac:dyDescent="0.2">
      <c r="A167" s="2">
        <v>46142</v>
      </c>
      <c r="B167" s="3">
        <v>0.45833333333333331</v>
      </c>
      <c r="C167">
        <v>24</v>
      </c>
      <c r="D167">
        <v>0</v>
      </c>
      <c r="E167">
        <v>1</v>
      </c>
      <c r="F167">
        <v>1.9930000000000001</v>
      </c>
    </row>
    <row r="168" spans="1:6" x14ac:dyDescent="0.2">
      <c r="A168" s="2">
        <v>46142</v>
      </c>
      <c r="B168" s="3">
        <v>0.45833333333333331</v>
      </c>
      <c r="C168">
        <v>24</v>
      </c>
      <c r="D168">
        <v>0</v>
      </c>
      <c r="E168">
        <v>2</v>
      </c>
      <c r="F168">
        <v>2.008</v>
      </c>
    </row>
    <row r="169" spans="1:6" x14ac:dyDescent="0.2">
      <c r="A169" s="2">
        <v>46142</v>
      </c>
      <c r="B169" s="3">
        <v>0.45833333333333331</v>
      </c>
      <c r="C169">
        <v>24</v>
      </c>
      <c r="D169">
        <v>0</v>
      </c>
      <c r="E169">
        <v>3</v>
      </c>
      <c r="F169">
        <v>2.0099999999999998</v>
      </c>
    </row>
    <row r="170" spans="1:6" x14ac:dyDescent="0.2">
      <c r="A170" s="2">
        <v>46142</v>
      </c>
      <c r="B170" s="3">
        <v>0.45833333333333298</v>
      </c>
      <c r="C170">
        <v>24</v>
      </c>
      <c r="D170">
        <v>2</v>
      </c>
      <c r="E170">
        <v>1</v>
      </c>
      <c r="F170">
        <v>2.0150000000000001</v>
      </c>
    </row>
    <row r="171" spans="1:6" x14ac:dyDescent="0.2">
      <c r="A171" s="2">
        <v>46142</v>
      </c>
      <c r="B171" s="3">
        <v>0.45833333333333298</v>
      </c>
      <c r="C171">
        <v>24</v>
      </c>
      <c r="D171">
        <v>2</v>
      </c>
      <c r="E171">
        <v>2</v>
      </c>
      <c r="F171">
        <v>2.0499999999999998</v>
      </c>
    </row>
    <row r="172" spans="1:6" x14ac:dyDescent="0.2">
      <c r="A172" s="2">
        <v>46142</v>
      </c>
      <c r="B172" s="3">
        <v>0.45833333333333298</v>
      </c>
      <c r="C172">
        <v>24</v>
      </c>
      <c r="D172">
        <v>2</v>
      </c>
      <c r="E172">
        <v>3</v>
      </c>
      <c r="F172">
        <v>2.0510000000000002</v>
      </c>
    </row>
    <row r="173" spans="1:6" x14ac:dyDescent="0.2">
      <c r="A173" s="2">
        <v>46142</v>
      </c>
      <c r="B173" s="3">
        <v>0.45833333333333298</v>
      </c>
      <c r="C173">
        <v>24</v>
      </c>
      <c r="D173">
        <v>20</v>
      </c>
      <c r="E173">
        <v>1</v>
      </c>
      <c r="F173">
        <v>1.9370000000000001</v>
      </c>
    </row>
    <row r="174" spans="1:6" x14ac:dyDescent="0.2">
      <c r="A174" s="2">
        <v>46142</v>
      </c>
      <c r="B174" s="3">
        <v>0.45833333333333298</v>
      </c>
      <c r="C174">
        <v>24</v>
      </c>
      <c r="D174">
        <v>20</v>
      </c>
      <c r="E174">
        <v>2</v>
      </c>
      <c r="F174">
        <v>1.946</v>
      </c>
    </row>
    <row r="175" spans="1:6" x14ac:dyDescent="0.2">
      <c r="A175" s="2">
        <v>46142</v>
      </c>
      <c r="B175" s="3">
        <v>0.45833333333333298</v>
      </c>
      <c r="C175">
        <v>24</v>
      </c>
      <c r="D175">
        <v>20</v>
      </c>
      <c r="E175">
        <v>3</v>
      </c>
      <c r="F175">
        <v>1.9470000000000001</v>
      </c>
    </row>
    <row r="176" spans="1:6" x14ac:dyDescent="0.2">
      <c r="A176" s="2">
        <v>46142</v>
      </c>
      <c r="B176" s="3">
        <v>0.45833333333333298</v>
      </c>
      <c r="C176">
        <v>24</v>
      </c>
      <c r="D176">
        <v>200</v>
      </c>
      <c r="E176">
        <v>1</v>
      </c>
      <c r="F176">
        <v>0.47599999999999998</v>
      </c>
    </row>
    <row r="177" spans="1:6" x14ac:dyDescent="0.2">
      <c r="A177" s="2">
        <v>46142</v>
      </c>
      <c r="B177" s="3">
        <v>0.45833333333333298</v>
      </c>
      <c r="C177">
        <v>24</v>
      </c>
      <c r="D177">
        <v>200</v>
      </c>
      <c r="E177">
        <v>2</v>
      </c>
      <c r="F177">
        <v>0.47799999999999998</v>
      </c>
    </row>
    <row r="178" spans="1:6" x14ac:dyDescent="0.2">
      <c r="A178" s="2">
        <v>46142</v>
      </c>
      <c r="B178" s="3">
        <v>0.45833333333333298</v>
      </c>
      <c r="C178">
        <v>24</v>
      </c>
      <c r="D178">
        <v>200</v>
      </c>
      <c r="E178">
        <v>3</v>
      </c>
      <c r="F178">
        <v>0.48899999999999999</v>
      </c>
    </row>
    <row r="179" spans="1:6" x14ac:dyDescent="0.2">
      <c r="A179" s="2">
        <v>46142</v>
      </c>
      <c r="B179" s="3">
        <v>0.45833333333333298</v>
      </c>
      <c r="C179">
        <v>24</v>
      </c>
      <c r="D179">
        <v>2000</v>
      </c>
      <c r="E179">
        <v>1</v>
      </c>
      <c r="F179">
        <v>0.42099999999999999</v>
      </c>
    </row>
    <row r="180" spans="1:6" x14ac:dyDescent="0.2">
      <c r="A180" s="2">
        <v>46142</v>
      </c>
      <c r="B180" s="3">
        <v>0.45833333333333298</v>
      </c>
      <c r="C180">
        <v>24</v>
      </c>
      <c r="D180">
        <v>2000</v>
      </c>
      <c r="E180">
        <v>2</v>
      </c>
      <c r="F180">
        <v>0.49399999999999999</v>
      </c>
    </row>
    <row r="181" spans="1:6" x14ac:dyDescent="0.2">
      <c r="A181" s="2">
        <v>46142</v>
      </c>
      <c r="B181" s="3">
        <v>0.45833333333333298</v>
      </c>
      <c r="C181">
        <v>24</v>
      </c>
      <c r="D181">
        <v>2000</v>
      </c>
      <c r="E181">
        <v>3</v>
      </c>
      <c r="F181">
        <v>0.44800000000000001</v>
      </c>
    </row>
    <row r="182" spans="1:6" x14ac:dyDescent="0.2">
      <c r="A182" s="2">
        <v>46143</v>
      </c>
      <c r="B182" s="3">
        <v>0.45833333333333331</v>
      </c>
      <c r="C182">
        <v>48</v>
      </c>
      <c r="D182">
        <v>0</v>
      </c>
      <c r="E182">
        <v>1</v>
      </c>
      <c r="F182">
        <v>1.9470000000000001</v>
      </c>
    </row>
    <row r="183" spans="1:6" x14ac:dyDescent="0.2">
      <c r="A183" s="2">
        <v>46143</v>
      </c>
      <c r="B183" s="3">
        <v>0.45833333333333398</v>
      </c>
      <c r="C183">
        <v>48</v>
      </c>
      <c r="D183">
        <v>0</v>
      </c>
      <c r="E183">
        <v>2</v>
      </c>
      <c r="F183">
        <v>1.9339999999999999</v>
      </c>
    </row>
    <row r="184" spans="1:6" x14ac:dyDescent="0.2">
      <c r="A184" s="2">
        <v>46143</v>
      </c>
      <c r="B184" s="3">
        <v>0.45833333333333398</v>
      </c>
      <c r="C184">
        <v>48</v>
      </c>
      <c r="D184">
        <v>0</v>
      </c>
      <c r="E184">
        <v>3</v>
      </c>
      <c r="F184">
        <v>1.95</v>
      </c>
    </row>
    <row r="185" spans="1:6" x14ac:dyDescent="0.2">
      <c r="A185" s="2">
        <v>46143</v>
      </c>
      <c r="B185" s="3">
        <v>0.45833333333333398</v>
      </c>
      <c r="C185">
        <v>48</v>
      </c>
      <c r="D185">
        <v>2</v>
      </c>
      <c r="E185">
        <v>1</v>
      </c>
      <c r="F185">
        <v>1.944</v>
      </c>
    </row>
    <row r="186" spans="1:6" x14ac:dyDescent="0.2">
      <c r="A186" s="2">
        <v>46143</v>
      </c>
      <c r="B186" s="3">
        <v>0.45833333333333498</v>
      </c>
      <c r="C186">
        <v>48</v>
      </c>
      <c r="D186">
        <v>2</v>
      </c>
      <c r="E186">
        <v>2</v>
      </c>
      <c r="F186">
        <v>1.954</v>
      </c>
    </row>
    <row r="187" spans="1:6" x14ac:dyDescent="0.2">
      <c r="A187" s="2">
        <v>46143</v>
      </c>
      <c r="B187" s="3">
        <v>0.45833333333333498</v>
      </c>
      <c r="C187">
        <v>48</v>
      </c>
      <c r="D187">
        <v>2</v>
      </c>
      <c r="E187">
        <v>3</v>
      </c>
      <c r="F187">
        <v>1.9350000000000001</v>
      </c>
    </row>
    <row r="188" spans="1:6" x14ac:dyDescent="0.2">
      <c r="A188" s="2">
        <v>46143</v>
      </c>
      <c r="B188" s="3">
        <v>0.45833333333333498</v>
      </c>
      <c r="C188">
        <v>48</v>
      </c>
      <c r="D188">
        <v>20</v>
      </c>
      <c r="E188">
        <v>1</v>
      </c>
      <c r="F188">
        <v>1.891</v>
      </c>
    </row>
    <row r="189" spans="1:6" x14ac:dyDescent="0.2">
      <c r="A189" s="2">
        <v>46143</v>
      </c>
      <c r="B189" s="3">
        <v>0.45833333333333598</v>
      </c>
      <c r="C189">
        <v>48</v>
      </c>
      <c r="D189">
        <v>20</v>
      </c>
      <c r="E189">
        <v>2</v>
      </c>
      <c r="F189">
        <v>1.875</v>
      </c>
    </row>
    <row r="190" spans="1:6" x14ac:dyDescent="0.2">
      <c r="A190" s="2">
        <v>46143</v>
      </c>
      <c r="B190" s="3">
        <v>0.45833333333333598</v>
      </c>
      <c r="C190">
        <v>48</v>
      </c>
      <c r="D190">
        <v>20</v>
      </c>
      <c r="E190">
        <v>3</v>
      </c>
      <c r="F190">
        <v>1.883</v>
      </c>
    </row>
    <row r="191" spans="1:6" x14ac:dyDescent="0.2">
      <c r="A191" s="2">
        <v>46143</v>
      </c>
      <c r="B191" s="3">
        <v>0.45833333333333598</v>
      </c>
      <c r="C191">
        <v>48</v>
      </c>
      <c r="D191">
        <v>200</v>
      </c>
      <c r="E191">
        <v>1</v>
      </c>
      <c r="F191">
        <v>0.42799999999999999</v>
      </c>
    </row>
    <row r="192" spans="1:6" x14ac:dyDescent="0.2">
      <c r="A192" s="2">
        <v>46143</v>
      </c>
      <c r="B192" s="3">
        <v>0.45833333333333698</v>
      </c>
      <c r="C192">
        <v>48</v>
      </c>
      <c r="D192">
        <v>200</v>
      </c>
      <c r="E192">
        <v>2</v>
      </c>
      <c r="F192">
        <v>0.41499999999999998</v>
      </c>
    </row>
    <row r="193" spans="1:6" x14ac:dyDescent="0.2">
      <c r="A193" s="2">
        <v>46143</v>
      </c>
      <c r="B193" s="3">
        <v>0.45833333333333698</v>
      </c>
      <c r="C193">
        <v>48</v>
      </c>
      <c r="D193">
        <v>200</v>
      </c>
      <c r="E193">
        <v>3</v>
      </c>
      <c r="F193">
        <v>0.42199999999999999</v>
      </c>
    </row>
    <row r="194" spans="1:6" x14ac:dyDescent="0.2">
      <c r="A194" s="2">
        <v>46143</v>
      </c>
      <c r="B194" s="3">
        <v>0.45833333333333698</v>
      </c>
      <c r="C194">
        <v>48</v>
      </c>
      <c r="D194">
        <v>2000</v>
      </c>
      <c r="E194">
        <v>1</v>
      </c>
      <c r="F194">
        <v>0.41</v>
      </c>
    </row>
    <row r="195" spans="1:6" x14ac:dyDescent="0.2">
      <c r="A195" s="2">
        <v>46143</v>
      </c>
      <c r="B195" s="3">
        <v>0.45833333333333798</v>
      </c>
      <c r="C195">
        <v>48</v>
      </c>
      <c r="D195">
        <v>2000</v>
      </c>
      <c r="E195">
        <v>2</v>
      </c>
      <c r="F195">
        <v>0.41599999999999998</v>
      </c>
    </row>
    <row r="196" spans="1:6" x14ac:dyDescent="0.2">
      <c r="A196" s="2">
        <v>46143</v>
      </c>
      <c r="B196" s="3">
        <v>0.45833333333333798</v>
      </c>
      <c r="C196">
        <v>48</v>
      </c>
      <c r="D196">
        <v>2000</v>
      </c>
      <c r="E196">
        <v>3</v>
      </c>
      <c r="F196">
        <v>0.43099999999999999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8611-5C30-D041-82DB-8D91BBA33A65}">
  <sheetPr codeName="Sheet3"/>
  <dimension ref="A1:B31"/>
  <sheetViews>
    <sheetView workbookViewId="0">
      <selection activeCell="D33" sqref="D33"/>
    </sheetView>
  </sheetViews>
  <sheetFormatPr baseColWidth="10" defaultRowHeight="16" x14ac:dyDescent="0.2"/>
  <cols>
    <col min="1" max="1" width="25" bestFit="1" customWidth="1"/>
    <col min="2" max="2" width="12.1640625" bestFit="1" customWidth="1"/>
  </cols>
  <sheetData>
    <row r="1" spans="1:2" x14ac:dyDescent="0.2">
      <c r="A1" s="1" t="s">
        <v>75</v>
      </c>
      <c r="B1" s="1" t="s">
        <v>76</v>
      </c>
    </row>
    <row r="2" spans="1:2" x14ac:dyDescent="0.2">
      <c r="A2">
        <v>1.3574692497157164</v>
      </c>
      <c r="B2">
        <v>0.20716666666666669</v>
      </c>
    </row>
    <row r="3" spans="1:2" x14ac:dyDescent="0.2">
      <c r="A3">
        <v>1.3574692497157164</v>
      </c>
      <c r="B3">
        <v>0.21550000000000002</v>
      </c>
    </row>
    <row r="4" spans="1:2" x14ac:dyDescent="0.2">
      <c r="A4">
        <v>1.3574692497157164</v>
      </c>
      <c r="B4">
        <v>0.21333333333333329</v>
      </c>
    </row>
    <row r="5" spans="1:2" x14ac:dyDescent="0.2">
      <c r="A5">
        <v>2.8846221556458973</v>
      </c>
      <c r="B5">
        <v>0.21</v>
      </c>
    </row>
    <row r="6" spans="1:2" x14ac:dyDescent="0.2">
      <c r="A6">
        <v>2.8846221556458973</v>
      </c>
      <c r="B6">
        <v>0.20849999999999999</v>
      </c>
    </row>
    <row r="7" spans="1:2" x14ac:dyDescent="0.2">
      <c r="A7">
        <v>2.8846221556458973</v>
      </c>
      <c r="B7">
        <v>0.20833333333333334</v>
      </c>
    </row>
    <row r="8" spans="1:2" x14ac:dyDescent="0.2">
      <c r="A8">
        <v>15.7805800279452</v>
      </c>
      <c r="B8">
        <v>8.8249999999999995E-2</v>
      </c>
    </row>
    <row r="9" spans="1:2" x14ac:dyDescent="0.2">
      <c r="A9">
        <v>16.289630996588595</v>
      </c>
      <c r="B9">
        <v>7.9500000000000001E-2</v>
      </c>
    </row>
    <row r="10" spans="1:2" x14ac:dyDescent="0.2">
      <c r="A10">
        <v>16.119947340374132</v>
      </c>
      <c r="B10">
        <v>8.0916666666666665E-2</v>
      </c>
    </row>
    <row r="11" spans="1:2" x14ac:dyDescent="0.2">
      <c r="A11">
        <v>170.70175815175133</v>
      </c>
      <c r="B11">
        <v>6.2500000000000012E-3</v>
      </c>
    </row>
    <row r="12" spans="1:2" x14ac:dyDescent="0.2">
      <c r="A12">
        <v>162.89630996588596</v>
      </c>
      <c r="B12">
        <v>7.5833333333333308E-3</v>
      </c>
    </row>
    <row r="13" spans="1:2" x14ac:dyDescent="0.2">
      <c r="A13">
        <v>159.16326952916771</v>
      </c>
      <c r="B13">
        <v>5.0000000000000001E-3</v>
      </c>
    </row>
    <row r="14" spans="1:2" x14ac:dyDescent="0.2">
      <c r="A14">
        <v>1523.4198654934626</v>
      </c>
      <c r="B14">
        <v>1.6583333333333328E-2</v>
      </c>
    </row>
    <row r="15" spans="1:2" x14ac:dyDescent="0.2">
      <c r="A15">
        <v>1596.7232049781112</v>
      </c>
      <c r="B15">
        <v>7.0000000000000019E-3</v>
      </c>
    </row>
    <row r="16" spans="1:2" x14ac:dyDescent="0.2">
      <c r="A16">
        <v>1623.8725899724257</v>
      </c>
      <c r="B16">
        <v>1.3333333333333346E-3</v>
      </c>
    </row>
    <row r="17" spans="1:2" x14ac:dyDescent="0.2">
      <c r="A17">
        <v>1.3574692497157164</v>
      </c>
      <c r="B17">
        <v>0.18987500000000002</v>
      </c>
    </row>
    <row r="18" spans="1:2" x14ac:dyDescent="0.2">
      <c r="A18">
        <v>1.3574692497157164</v>
      </c>
      <c r="B18">
        <v>0.1885</v>
      </c>
    </row>
    <row r="19" spans="1:2" x14ac:dyDescent="0.2">
      <c r="A19">
        <v>1.3574692497157164</v>
      </c>
      <c r="B19">
        <v>0.18987499999999999</v>
      </c>
    </row>
    <row r="20" spans="1:2" x14ac:dyDescent="0.2">
      <c r="A20">
        <v>2.7149384994314327</v>
      </c>
      <c r="B20">
        <v>0.19012500000000002</v>
      </c>
    </row>
    <row r="21" spans="1:2" x14ac:dyDescent="0.2">
      <c r="A21">
        <v>2.8846221556458973</v>
      </c>
      <c r="B21">
        <v>0.19949999999999998</v>
      </c>
    </row>
    <row r="22" spans="1:2" x14ac:dyDescent="0.2">
      <c r="A22">
        <v>2.8846221556458973</v>
      </c>
      <c r="B22">
        <v>0.20074999999999998</v>
      </c>
    </row>
    <row r="23" spans="1:2" x14ac:dyDescent="0.2">
      <c r="A23">
        <v>17.307732933875382</v>
      </c>
      <c r="B23">
        <v>0.10237499999999999</v>
      </c>
    </row>
    <row r="24" spans="1:2" x14ac:dyDescent="0.2">
      <c r="A24">
        <v>17.477416590089849</v>
      </c>
      <c r="B24">
        <v>0.10100000000000001</v>
      </c>
    </row>
    <row r="25" spans="1:2" x14ac:dyDescent="0.2">
      <c r="A25">
        <v>17.138049277660919</v>
      </c>
      <c r="B25">
        <v>0.10237500000000001</v>
      </c>
    </row>
    <row r="26" spans="1:2" x14ac:dyDescent="0.2">
      <c r="A26">
        <v>180.8827775246192</v>
      </c>
      <c r="B26">
        <v>1.2500000000000004E-2</v>
      </c>
    </row>
    <row r="27" spans="1:2" x14ac:dyDescent="0.2">
      <c r="A27">
        <v>170.70175815175133</v>
      </c>
      <c r="B27">
        <v>1.0500000000000002E-2</v>
      </c>
    </row>
    <row r="28" spans="1:2" x14ac:dyDescent="0.2">
      <c r="A28">
        <v>178.16783902518776</v>
      </c>
      <c r="B28">
        <v>1.0999999999999996E-2</v>
      </c>
    </row>
    <row r="29" spans="1:2" x14ac:dyDescent="0.2">
      <c r="A29">
        <v>1588.9177567922461</v>
      </c>
      <c r="B29">
        <v>-6.2500000000000056E-4</v>
      </c>
    </row>
    <row r="30" spans="1:2" x14ac:dyDescent="0.2">
      <c r="A30">
        <v>1690.7279505209247</v>
      </c>
      <c r="B30">
        <v>-2.6250000000000023E-3</v>
      </c>
    </row>
    <row r="31" spans="1:2" x14ac:dyDescent="0.2">
      <c r="A31">
        <v>1730.0945587626804</v>
      </c>
      <c r="B31">
        <v>-3.375000000000003E-3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CC68-7156-A44F-9BD8-4260F0FA23FD}">
  <sheetPr codeName="Sheet4"/>
  <dimension ref="A1:H61"/>
  <sheetViews>
    <sheetView workbookViewId="0">
      <selection activeCell="B18" sqref="B18"/>
    </sheetView>
  </sheetViews>
  <sheetFormatPr baseColWidth="10" defaultRowHeight="16" x14ac:dyDescent="0.2"/>
  <cols>
    <col min="1" max="1" width="14.1640625" bestFit="1" customWidth="1"/>
    <col min="2" max="2" width="41.6640625" bestFit="1" customWidth="1"/>
    <col min="3" max="3" width="16.33203125" bestFit="1" customWidth="1"/>
    <col min="4" max="4" width="12.1640625" bestFit="1" customWidth="1"/>
    <col min="5" max="5" width="17.33203125" bestFit="1" customWidth="1"/>
    <col min="6" max="6" width="14.6640625" bestFit="1" customWidth="1"/>
  </cols>
  <sheetData>
    <row r="1" spans="1:8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4" t="s">
        <v>12</v>
      </c>
      <c r="H1" s="1"/>
    </row>
    <row r="2" spans="1:8" x14ac:dyDescent="0.2">
      <c r="A2" t="s">
        <v>43</v>
      </c>
      <c r="B2" t="s">
        <v>58</v>
      </c>
      <c r="C2">
        <v>1</v>
      </c>
      <c r="D2">
        <v>45</v>
      </c>
      <c r="E2">
        <v>0.1</v>
      </c>
      <c r="F2" s="5">
        <v>1000000</v>
      </c>
      <c r="G2" s="5">
        <f>(D2*F2)/E2</f>
        <v>450000000</v>
      </c>
    </row>
    <row r="3" spans="1:8" x14ac:dyDescent="0.2">
      <c r="A3" t="s">
        <v>44</v>
      </c>
      <c r="B3" t="s">
        <v>59</v>
      </c>
      <c r="C3">
        <v>2</v>
      </c>
      <c r="D3">
        <v>67</v>
      </c>
      <c r="E3">
        <v>0.1</v>
      </c>
      <c r="F3" s="5">
        <v>1000000</v>
      </c>
      <c r="G3" s="5">
        <f t="shared" ref="G3:G16" si="0">(D3*F3)/E3</f>
        <v>670000000</v>
      </c>
    </row>
    <row r="4" spans="1:8" x14ac:dyDescent="0.2">
      <c r="A4" t="s">
        <v>45</v>
      </c>
      <c r="B4" t="s">
        <v>60</v>
      </c>
      <c r="C4">
        <v>3</v>
      </c>
      <c r="D4">
        <v>44</v>
      </c>
      <c r="E4">
        <v>0.1</v>
      </c>
      <c r="F4" s="5">
        <v>1000000</v>
      </c>
      <c r="G4" s="5">
        <f t="shared" si="0"/>
        <v>440000000</v>
      </c>
    </row>
    <row r="5" spans="1:8" x14ac:dyDescent="0.2">
      <c r="A5" t="s">
        <v>46</v>
      </c>
      <c r="B5" t="s">
        <v>61</v>
      </c>
      <c r="C5">
        <v>1</v>
      </c>
      <c r="D5">
        <v>38</v>
      </c>
      <c r="E5">
        <v>0.1</v>
      </c>
      <c r="F5" s="5">
        <v>1000000</v>
      </c>
      <c r="G5" s="5">
        <f t="shared" si="0"/>
        <v>380000000</v>
      </c>
    </row>
    <row r="6" spans="1:8" x14ac:dyDescent="0.2">
      <c r="A6" t="s">
        <v>47</v>
      </c>
      <c r="B6" t="s">
        <v>62</v>
      </c>
      <c r="C6">
        <v>2</v>
      </c>
      <c r="D6">
        <v>47</v>
      </c>
      <c r="E6">
        <v>0.1</v>
      </c>
      <c r="F6" s="5">
        <v>1000000</v>
      </c>
      <c r="G6" s="5">
        <f t="shared" si="0"/>
        <v>470000000</v>
      </c>
    </row>
    <row r="7" spans="1:8" x14ac:dyDescent="0.2">
      <c r="A7" t="s">
        <v>48</v>
      </c>
      <c r="B7" t="s">
        <v>63</v>
      </c>
      <c r="C7">
        <v>3</v>
      </c>
      <c r="D7">
        <v>48</v>
      </c>
      <c r="E7">
        <v>0.1</v>
      </c>
      <c r="F7" s="5">
        <v>1000000</v>
      </c>
      <c r="G7" s="5">
        <f t="shared" si="0"/>
        <v>480000000</v>
      </c>
    </row>
    <row r="8" spans="1:8" x14ac:dyDescent="0.2">
      <c r="A8" t="s">
        <v>49</v>
      </c>
      <c r="B8" t="s">
        <v>64</v>
      </c>
      <c r="C8">
        <v>1</v>
      </c>
      <c r="D8">
        <v>59</v>
      </c>
      <c r="E8">
        <v>0.1</v>
      </c>
      <c r="F8" s="5">
        <v>1000000</v>
      </c>
      <c r="G8" s="5">
        <f t="shared" si="0"/>
        <v>590000000</v>
      </c>
    </row>
    <row r="9" spans="1:8" x14ac:dyDescent="0.2">
      <c r="A9" t="s">
        <v>50</v>
      </c>
      <c r="B9" t="s">
        <v>65</v>
      </c>
      <c r="C9">
        <v>2</v>
      </c>
      <c r="D9">
        <v>69</v>
      </c>
      <c r="E9">
        <v>0.1</v>
      </c>
      <c r="F9" s="5">
        <v>1000000</v>
      </c>
      <c r="G9" s="5">
        <f t="shared" si="0"/>
        <v>690000000</v>
      </c>
    </row>
    <row r="10" spans="1:8" x14ac:dyDescent="0.2">
      <c r="A10" t="s">
        <v>51</v>
      </c>
      <c r="B10" t="s">
        <v>66</v>
      </c>
      <c r="C10">
        <v>3</v>
      </c>
      <c r="D10">
        <v>59</v>
      </c>
      <c r="E10">
        <v>0.1</v>
      </c>
      <c r="F10" s="5">
        <v>1000000</v>
      </c>
      <c r="G10" s="5">
        <f t="shared" si="0"/>
        <v>590000000</v>
      </c>
    </row>
    <row r="11" spans="1:8" x14ac:dyDescent="0.2">
      <c r="A11" t="s">
        <v>52</v>
      </c>
      <c r="B11" t="s">
        <v>67</v>
      </c>
      <c r="C11">
        <v>1</v>
      </c>
      <c r="D11">
        <v>36</v>
      </c>
      <c r="E11">
        <v>0.1</v>
      </c>
      <c r="F11" s="5">
        <v>1000000</v>
      </c>
      <c r="G11" s="5">
        <f t="shared" si="0"/>
        <v>360000000</v>
      </c>
    </row>
    <row r="12" spans="1:8" x14ac:dyDescent="0.2">
      <c r="A12" t="s">
        <v>53</v>
      </c>
      <c r="B12" t="s">
        <v>68</v>
      </c>
      <c r="C12">
        <v>2</v>
      </c>
      <c r="D12">
        <v>47</v>
      </c>
      <c r="E12">
        <v>0.1</v>
      </c>
      <c r="F12" s="5">
        <v>1000000</v>
      </c>
      <c r="G12" s="5">
        <f t="shared" si="0"/>
        <v>470000000</v>
      </c>
    </row>
    <row r="13" spans="1:8" x14ac:dyDescent="0.2">
      <c r="A13" t="s">
        <v>54</v>
      </c>
      <c r="B13" t="s">
        <v>69</v>
      </c>
      <c r="C13">
        <v>3</v>
      </c>
      <c r="D13">
        <v>48</v>
      </c>
      <c r="E13">
        <v>0.1</v>
      </c>
      <c r="F13" s="5">
        <v>1000000</v>
      </c>
      <c r="G13" s="5">
        <f t="shared" si="0"/>
        <v>480000000</v>
      </c>
    </row>
    <row r="14" spans="1:8" x14ac:dyDescent="0.2">
      <c r="A14" t="s">
        <v>55</v>
      </c>
      <c r="B14" t="s">
        <v>70</v>
      </c>
      <c r="C14">
        <v>1</v>
      </c>
      <c r="D14">
        <v>37</v>
      </c>
      <c r="E14">
        <v>0.1</v>
      </c>
      <c r="F14" s="5">
        <v>1000000</v>
      </c>
      <c r="G14" s="5">
        <f t="shared" si="0"/>
        <v>370000000</v>
      </c>
    </row>
    <row r="15" spans="1:8" x14ac:dyDescent="0.2">
      <c r="A15" t="s">
        <v>56</v>
      </c>
      <c r="B15" t="s">
        <v>71</v>
      </c>
      <c r="C15">
        <v>2</v>
      </c>
      <c r="D15">
        <v>42</v>
      </c>
      <c r="E15">
        <v>0.1</v>
      </c>
      <c r="F15" s="5">
        <v>1000000</v>
      </c>
      <c r="G15" s="5">
        <f t="shared" si="0"/>
        <v>420000000</v>
      </c>
    </row>
    <row r="16" spans="1:8" x14ac:dyDescent="0.2">
      <c r="A16" t="s">
        <v>57</v>
      </c>
      <c r="B16" t="s">
        <v>72</v>
      </c>
      <c r="C16">
        <v>3</v>
      </c>
      <c r="D16">
        <v>49</v>
      </c>
      <c r="E16">
        <v>0.1</v>
      </c>
      <c r="F16" s="5">
        <v>1000000</v>
      </c>
      <c r="G16" s="5">
        <f t="shared" si="0"/>
        <v>490000000</v>
      </c>
    </row>
    <row r="17" spans="1:7" x14ac:dyDescent="0.2">
      <c r="A17" t="s">
        <v>13</v>
      </c>
      <c r="B17" t="s">
        <v>14</v>
      </c>
      <c r="C17">
        <v>1</v>
      </c>
      <c r="D17">
        <v>47</v>
      </c>
      <c r="E17">
        <v>0.1</v>
      </c>
      <c r="F17" s="5">
        <v>10000000</v>
      </c>
      <c r="G17" s="5">
        <f>(D17*F17)/E17</f>
        <v>4700000000</v>
      </c>
    </row>
    <row r="18" spans="1:7" x14ac:dyDescent="0.2">
      <c r="A18" t="s">
        <v>15</v>
      </c>
      <c r="B18" t="s">
        <v>16</v>
      </c>
      <c r="C18">
        <v>2</v>
      </c>
      <c r="D18">
        <v>65</v>
      </c>
      <c r="E18">
        <v>0.1</v>
      </c>
      <c r="F18" s="5">
        <v>10000000</v>
      </c>
      <c r="G18" s="5">
        <f t="shared" ref="G18:G31" si="1">(D18*F18)/E18</f>
        <v>6500000000</v>
      </c>
    </row>
    <row r="19" spans="1:7" x14ac:dyDescent="0.2">
      <c r="A19" t="s">
        <v>17</v>
      </c>
      <c r="B19" t="s">
        <v>18</v>
      </c>
      <c r="C19">
        <v>3</v>
      </c>
      <c r="D19">
        <v>33</v>
      </c>
      <c r="E19">
        <v>0.1</v>
      </c>
      <c r="F19" s="5">
        <v>10000000</v>
      </c>
      <c r="G19" s="5">
        <f t="shared" si="1"/>
        <v>3300000000</v>
      </c>
    </row>
    <row r="20" spans="1:7" x14ac:dyDescent="0.2">
      <c r="A20" t="s">
        <v>19</v>
      </c>
      <c r="B20" t="s">
        <v>20</v>
      </c>
      <c r="C20">
        <v>1</v>
      </c>
      <c r="D20">
        <v>25</v>
      </c>
      <c r="E20">
        <v>0.1</v>
      </c>
      <c r="F20" s="5">
        <v>10000000</v>
      </c>
      <c r="G20" s="5">
        <f t="shared" si="1"/>
        <v>2500000000</v>
      </c>
    </row>
    <row r="21" spans="1:7" x14ac:dyDescent="0.2">
      <c r="A21" t="s">
        <v>21</v>
      </c>
      <c r="B21" t="s">
        <v>22</v>
      </c>
      <c r="C21">
        <v>2</v>
      </c>
      <c r="D21">
        <v>38</v>
      </c>
      <c r="E21">
        <v>0.1</v>
      </c>
      <c r="F21" s="5">
        <v>10000000</v>
      </c>
      <c r="G21" s="5">
        <f t="shared" si="1"/>
        <v>3800000000</v>
      </c>
    </row>
    <row r="22" spans="1:7" x14ac:dyDescent="0.2">
      <c r="A22" t="s">
        <v>23</v>
      </c>
      <c r="B22" t="s">
        <v>24</v>
      </c>
      <c r="C22">
        <v>3</v>
      </c>
      <c r="D22">
        <v>54</v>
      </c>
      <c r="E22">
        <v>0.1</v>
      </c>
      <c r="F22" s="5">
        <v>10000000</v>
      </c>
      <c r="G22" s="5">
        <f t="shared" si="1"/>
        <v>5400000000</v>
      </c>
    </row>
    <row r="23" spans="1:7" x14ac:dyDescent="0.2">
      <c r="A23" t="s">
        <v>25</v>
      </c>
      <c r="B23" t="s">
        <v>26</v>
      </c>
      <c r="C23">
        <v>1</v>
      </c>
      <c r="D23">
        <v>642</v>
      </c>
      <c r="E23">
        <v>0.1</v>
      </c>
      <c r="F23" s="5">
        <v>1000000</v>
      </c>
      <c r="G23" s="5">
        <f t="shared" si="1"/>
        <v>6420000000</v>
      </c>
    </row>
    <row r="24" spans="1:7" x14ac:dyDescent="0.2">
      <c r="A24" t="s">
        <v>27</v>
      </c>
      <c r="B24" t="s">
        <v>28</v>
      </c>
      <c r="C24">
        <v>2</v>
      </c>
      <c r="D24">
        <v>548</v>
      </c>
      <c r="E24">
        <v>0.1</v>
      </c>
      <c r="F24" s="5">
        <v>1000000</v>
      </c>
      <c r="G24" s="5">
        <f t="shared" si="1"/>
        <v>5480000000</v>
      </c>
    </row>
    <row r="25" spans="1:7" x14ac:dyDescent="0.2">
      <c r="A25" t="s">
        <v>29</v>
      </c>
      <c r="B25" t="s">
        <v>30</v>
      </c>
      <c r="C25">
        <v>3</v>
      </c>
      <c r="D25">
        <v>547</v>
      </c>
      <c r="E25">
        <v>0.1</v>
      </c>
      <c r="F25" s="5">
        <v>1000000</v>
      </c>
      <c r="G25" s="5">
        <f t="shared" si="1"/>
        <v>5470000000</v>
      </c>
    </row>
    <row r="26" spans="1:7" x14ac:dyDescent="0.2">
      <c r="A26" t="s">
        <v>31</v>
      </c>
      <c r="B26" t="s">
        <v>32</v>
      </c>
      <c r="C26">
        <v>1</v>
      </c>
      <c r="D26">
        <v>672</v>
      </c>
      <c r="E26">
        <v>0.1</v>
      </c>
      <c r="F26" s="6">
        <v>1000</v>
      </c>
      <c r="G26" s="5">
        <f t="shared" si="1"/>
        <v>6720000</v>
      </c>
    </row>
    <row r="27" spans="1:7" x14ac:dyDescent="0.2">
      <c r="A27" t="s">
        <v>33</v>
      </c>
      <c r="B27" t="s">
        <v>34</v>
      </c>
      <c r="C27">
        <v>2</v>
      </c>
      <c r="D27">
        <v>999</v>
      </c>
      <c r="E27">
        <v>0.1</v>
      </c>
      <c r="F27" s="6">
        <v>1000</v>
      </c>
      <c r="G27" s="5">
        <f t="shared" si="1"/>
        <v>9990000</v>
      </c>
    </row>
    <row r="28" spans="1:7" x14ac:dyDescent="0.2">
      <c r="A28" t="s">
        <v>35</v>
      </c>
      <c r="B28" t="s">
        <v>36</v>
      </c>
      <c r="C28">
        <v>3</v>
      </c>
      <c r="D28">
        <v>395</v>
      </c>
      <c r="E28">
        <v>0.1</v>
      </c>
      <c r="F28" s="6">
        <v>1000</v>
      </c>
      <c r="G28" s="5">
        <f t="shared" si="1"/>
        <v>3950000</v>
      </c>
    </row>
    <row r="29" spans="1:7" x14ac:dyDescent="0.2">
      <c r="A29" t="s">
        <v>37</v>
      </c>
      <c r="B29" t="s">
        <v>38</v>
      </c>
      <c r="C29">
        <v>1</v>
      </c>
      <c r="D29">
        <v>97</v>
      </c>
      <c r="E29">
        <v>0.1</v>
      </c>
      <c r="F29" s="6">
        <v>100000</v>
      </c>
      <c r="G29" s="5">
        <f t="shared" si="1"/>
        <v>97000000</v>
      </c>
    </row>
    <row r="30" spans="1:7" x14ac:dyDescent="0.2">
      <c r="A30" t="s">
        <v>39</v>
      </c>
      <c r="B30" t="s">
        <v>40</v>
      </c>
      <c r="C30">
        <v>2</v>
      </c>
      <c r="D30">
        <v>19</v>
      </c>
      <c r="E30">
        <v>0.1</v>
      </c>
      <c r="F30" s="6">
        <v>100000</v>
      </c>
      <c r="G30" s="5">
        <f t="shared" si="1"/>
        <v>19000000</v>
      </c>
    </row>
    <row r="31" spans="1:7" x14ac:dyDescent="0.2">
      <c r="A31" t="s">
        <v>41</v>
      </c>
      <c r="B31" t="s">
        <v>42</v>
      </c>
      <c r="C31">
        <v>3</v>
      </c>
      <c r="D31">
        <v>56</v>
      </c>
      <c r="E31">
        <v>0.1</v>
      </c>
      <c r="F31" s="6">
        <v>100000</v>
      </c>
      <c r="G31" s="5">
        <f t="shared" si="1"/>
        <v>56000000</v>
      </c>
    </row>
    <row r="32" spans="1:7" x14ac:dyDescent="0.2">
      <c r="A32" t="s">
        <v>43</v>
      </c>
      <c r="B32" t="s">
        <v>77</v>
      </c>
      <c r="C32">
        <v>1</v>
      </c>
      <c r="D32">
        <v>40</v>
      </c>
      <c r="E32">
        <v>0.1</v>
      </c>
      <c r="F32" s="5">
        <v>1000000</v>
      </c>
      <c r="G32" s="5">
        <f>(D32*F32)/E32</f>
        <v>400000000</v>
      </c>
    </row>
    <row r="33" spans="1:7" x14ac:dyDescent="0.2">
      <c r="A33" t="s">
        <v>44</v>
      </c>
      <c r="B33" t="s">
        <v>78</v>
      </c>
      <c r="C33">
        <v>2</v>
      </c>
      <c r="D33">
        <v>36</v>
      </c>
      <c r="E33">
        <v>0.1</v>
      </c>
      <c r="F33" s="5">
        <v>1000000</v>
      </c>
      <c r="G33" s="5">
        <f t="shared" ref="G33:G46" si="2">(D33*F33)/E33</f>
        <v>360000000</v>
      </c>
    </row>
    <row r="34" spans="1:7" x14ac:dyDescent="0.2">
      <c r="A34" t="s">
        <v>45</v>
      </c>
      <c r="B34" t="s">
        <v>79</v>
      </c>
      <c r="C34">
        <v>3</v>
      </c>
      <c r="D34">
        <v>33</v>
      </c>
      <c r="E34">
        <v>0.1</v>
      </c>
      <c r="F34" s="5">
        <v>1000000</v>
      </c>
      <c r="G34" s="5">
        <f t="shared" si="2"/>
        <v>330000000</v>
      </c>
    </row>
    <row r="35" spans="1:7" x14ac:dyDescent="0.2">
      <c r="A35" t="s">
        <v>46</v>
      </c>
      <c r="B35" t="s">
        <v>80</v>
      </c>
      <c r="C35">
        <v>1</v>
      </c>
      <c r="D35">
        <v>75</v>
      </c>
      <c r="E35">
        <v>0.1</v>
      </c>
      <c r="F35" s="5">
        <v>1000000</v>
      </c>
      <c r="G35" s="5">
        <f t="shared" si="2"/>
        <v>750000000</v>
      </c>
    </row>
    <row r="36" spans="1:7" x14ac:dyDescent="0.2">
      <c r="A36" t="s">
        <v>47</v>
      </c>
      <c r="B36" t="s">
        <v>81</v>
      </c>
      <c r="C36">
        <v>2</v>
      </c>
      <c r="D36">
        <v>46</v>
      </c>
      <c r="E36">
        <v>0.1</v>
      </c>
      <c r="F36" s="5">
        <v>1000000</v>
      </c>
      <c r="G36" s="5">
        <f t="shared" si="2"/>
        <v>460000000</v>
      </c>
    </row>
    <row r="37" spans="1:7" x14ac:dyDescent="0.2">
      <c r="A37" t="s">
        <v>48</v>
      </c>
      <c r="B37" t="s">
        <v>82</v>
      </c>
      <c r="C37">
        <v>3</v>
      </c>
      <c r="D37">
        <v>46</v>
      </c>
      <c r="E37">
        <v>0.1</v>
      </c>
      <c r="F37" s="5">
        <v>1000000</v>
      </c>
      <c r="G37" s="5">
        <f t="shared" si="2"/>
        <v>460000000</v>
      </c>
    </row>
    <row r="38" spans="1:7" x14ac:dyDescent="0.2">
      <c r="A38" t="s">
        <v>49</v>
      </c>
      <c r="B38" t="s">
        <v>83</v>
      </c>
      <c r="C38">
        <v>1</v>
      </c>
      <c r="D38">
        <v>42</v>
      </c>
      <c r="E38">
        <v>0.1</v>
      </c>
      <c r="F38" s="5">
        <v>1000000</v>
      </c>
      <c r="G38" s="5">
        <f t="shared" si="2"/>
        <v>420000000</v>
      </c>
    </row>
    <row r="39" spans="1:7" x14ac:dyDescent="0.2">
      <c r="A39" t="s">
        <v>50</v>
      </c>
      <c r="B39" t="s">
        <v>84</v>
      </c>
      <c r="C39">
        <v>2</v>
      </c>
      <c r="D39">
        <v>63</v>
      </c>
      <c r="E39">
        <v>0.1</v>
      </c>
      <c r="F39" s="5">
        <v>1000000</v>
      </c>
      <c r="G39" s="5">
        <f t="shared" si="2"/>
        <v>630000000</v>
      </c>
    </row>
    <row r="40" spans="1:7" x14ac:dyDescent="0.2">
      <c r="A40" t="s">
        <v>51</v>
      </c>
      <c r="B40" t="s">
        <v>85</v>
      </c>
      <c r="C40">
        <v>3</v>
      </c>
      <c r="D40">
        <v>29</v>
      </c>
      <c r="E40">
        <v>0.1</v>
      </c>
      <c r="F40" s="5">
        <v>1000000</v>
      </c>
      <c r="G40" s="5">
        <f t="shared" si="2"/>
        <v>290000000</v>
      </c>
    </row>
    <row r="41" spans="1:7" x14ac:dyDescent="0.2">
      <c r="A41" t="s">
        <v>52</v>
      </c>
      <c r="B41" t="s">
        <v>86</v>
      </c>
      <c r="C41">
        <v>1</v>
      </c>
      <c r="D41">
        <v>33</v>
      </c>
      <c r="E41">
        <v>0.1</v>
      </c>
      <c r="F41" s="5">
        <v>1000000</v>
      </c>
      <c r="G41" s="5">
        <f t="shared" si="2"/>
        <v>330000000</v>
      </c>
    </row>
    <row r="42" spans="1:7" x14ac:dyDescent="0.2">
      <c r="A42" t="s">
        <v>53</v>
      </c>
      <c r="B42" t="s">
        <v>87</v>
      </c>
      <c r="C42">
        <v>2</v>
      </c>
      <c r="D42">
        <v>40</v>
      </c>
      <c r="E42">
        <v>0.1</v>
      </c>
      <c r="F42" s="5">
        <v>1000000</v>
      </c>
      <c r="G42" s="5">
        <f t="shared" si="2"/>
        <v>400000000</v>
      </c>
    </row>
    <row r="43" spans="1:7" x14ac:dyDescent="0.2">
      <c r="A43" t="s">
        <v>54</v>
      </c>
      <c r="B43" t="s">
        <v>88</v>
      </c>
      <c r="C43">
        <v>3</v>
      </c>
      <c r="D43">
        <v>40</v>
      </c>
      <c r="E43">
        <v>0.1</v>
      </c>
      <c r="F43" s="5">
        <v>1000000</v>
      </c>
      <c r="G43" s="5">
        <f t="shared" si="2"/>
        <v>400000000</v>
      </c>
    </row>
    <row r="44" spans="1:7" x14ac:dyDescent="0.2">
      <c r="A44" t="s">
        <v>55</v>
      </c>
      <c r="B44" t="s">
        <v>89</v>
      </c>
      <c r="C44">
        <v>1</v>
      </c>
      <c r="D44">
        <v>43</v>
      </c>
      <c r="E44">
        <v>0.1</v>
      </c>
      <c r="F44" s="5">
        <v>1000000</v>
      </c>
      <c r="G44" s="5">
        <f t="shared" si="2"/>
        <v>430000000</v>
      </c>
    </row>
    <row r="45" spans="1:7" x14ac:dyDescent="0.2">
      <c r="A45" t="s">
        <v>56</v>
      </c>
      <c r="B45" t="s">
        <v>90</v>
      </c>
      <c r="C45">
        <v>2</v>
      </c>
      <c r="D45">
        <v>38</v>
      </c>
      <c r="E45">
        <v>0.1</v>
      </c>
      <c r="F45" s="5">
        <v>1000000</v>
      </c>
      <c r="G45" s="5">
        <f t="shared" si="2"/>
        <v>380000000</v>
      </c>
    </row>
    <row r="46" spans="1:7" x14ac:dyDescent="0.2">
      <c r="A46" t="s">
        <v>57</v>
      </c>
      <c r="B46" t="s">
        <v>91</v>
      </c>
      <c r="C46">
        <v>3</v>
      </c>
      <c r="D46">
        <v>37</v>
      </c>
      <c r="E46">
        <v>0.1</v>
      </c>
      <c r="F46" s="5">
        <v>1000000</v>
      </c>
      <c r="G46" s="5">
        <f t="shared" si="2"/>
        <v>370000000</v>
      </c>
    </row>
    <row r="47" spans="1:7" x14ac:dyDescent="0.2">
      <c r="A47" t="s">
        <v>92</v>
      </c>
      <c r="B47" t="s">
        <v>93</v>
      </c>
      <c r="C47">
        <v>1</v>
      </c>
      <c r="D47">
        <v>39</v>
      </c>
      <c r="E47">
        <v>0.1</v>
      </c>
      <c r="F47" s="5">
        <v>10000000</v>
      </c>
      <c r="G47" s="5">
        <f>(D47*F47)/E47</f>
        <v>3900000000</v>
      </c>
    </row>
    <row r="48" spans="1:7" x14ac:dyDescent="0.2">
      <c r="A48" t="s">
        <v>94</v>
      </c>
      <c r="B48" t="s">
        <v>95</v>
      </c>
      <c r="C48">
        <v>2</v>
      </c>
      <c r="D48">
        <v>32</v>
      </c>
      <c r="E48">
        <v>0.1</v>
      </c>
      <c r="F48" s="5">
        <v>10000000</v>
      </c>
      <c r="G48" s="5">
        <f t="shared" ref="G48:G58" si="3">(D48*F48)/E48</f>
        <v>3200000000</v>
      </c>
    </row>
    <row r="49" spans="1:7" x14ac:dyDescent="0.2">
      <c r="A49" t="s">
        <v>96</v>
      </c>
      <c r="B49" t="s">
        <v>97</v>
      </c>
      <c r="C49">
        <v>3</v>
      </c>
      <c r="D49">
        <v>39</v>
      </c>
      <c r="E49">
        <v>0.1</v>
      </c>
      <c r="F49" s="5">
        <v>10000000</v>
      </c>
      <c r="G49" s="5">
        <f t="shared" si="3"/>
        <v>3900000000</v>
      </c>
    </row>
    <row r="50" spans="1:7" x14ac:dyDescent="0.2">
      <c r="A50" t="s">
        <v>98</v>
      </c>
      <c r="B50" t="s">
        <v>99</v>
      </c>
      <c r="C50">
        <v>1</v>
      </c>
      <c r="D50">
        <v>60</v>
      </c>
      <c r="E50">
        <v>0.1</v>
      </c>
      <c r="F50" s="5">
        <v>10000000</v>
      </c>
      <c r="G50" s="5">
        <f t="shared" si="3"/>
        <v>6000000000</v>
      </c>
    </row>
    <row r="51" spans="1:7" x14ac:dyDescent="0.2">
      <c r="A51" t="s">
        <v>100</v>
      </c>
      <c r="B51" t="s">
        <v>101</v>
      </c>
      <c r="C51">
        <v>2</v>
      </c>
      <c r="D51">
        <v>48</v>
      </c>
      <c r="E51">
        <v>0.1</v>
      </c>
      <c r="F51" s="5">
        <v>10000000</v>
      </c>
      <c r="G51" s="5">
        <f t="shared" si="3"/>
        <v>4800000000</v>
      </c>
    </row>
    <row r="52" spans="1:7" x14ac:dyDescent="0.2">
      <c r="A52" t="s">
        <v>102</v>
      </c>
      <c r="B52" t="s">
        <v>103</v>
      </c>
      <c r="C52">
        <v>3</v>
      </c>
      <c r="D52">
        <v>30</v>
      </c>
      <c r="E52">
        <v>0.1</v>
      </c>
      <c r="F52" s="5">
        <v>10000000</v>
      </c>
      <c r="G52" s="5">
        <f t="shared" si="3"/>
        <v>3000000000</v>
      </c>
    </row>
    <row r="53" spans="1:7" x14ac:dyDescent="0.2">
      <c r="A53" t="s">
        <v>104</v>
      </c>
      <c r="B53" t="s">
        <v>105</v>
      </c>
      <c r="C53">
        <v>1</v>
      </c>
      <c r="D53">
        <v>44</v>
      </c>
      <c r="E53">
        <v>0.1</v>
      </c>
      <c r="F53" s="5">
        <v>10000000</v>
      </c>
      <c r="G53" s="5">
        <f t="shared" si="3"/>
        <v>4400000000</v>
      </c>
    </row>
    <row r="54" spans="1:7" x14ac:dyDescent="0.2">
      <c r="A54" t="s">
        <v>106</v>
      </c>
      <c r="B54" t="s">
        <v>107</v>
      </c>
      <c r="C54">
        <v>2</v>
      </c>
      <c r="D54">
        <v>48</v>
      </c>
      <c r="E54">
        <v>0.1</v>
      </c>
      <c r="F54" s="5">
        <v>10000000</v>
      </c>
      <c r="G54" s="5">
        <f t="shared" si="3"/>
        <v>4800000000</v>
      </c>
    </row>
    <row r="55" spans="1:7" x14ac:dyDescent="0.2">
      <c r="A55" t="s">
        <v>108</v>
      </c>
      <c r="B55" t="s">
        <v>109</v>
      </c>
      <c r="C55">
        <v>3</v>
      </c>
      <c r="D55">
        <v>61</v>
      </c>
      <c r="E55">
        <v>0.1</v>
      </c>
      <c r="F55" s="5">
        <v>10000000</v>
      </c>
      <c r="G55" s="5">
        <f t="shared" si="3"/>
        <v>6100000000</v>
      </c>
    </row>
    <row r="56" spans="1:7" x14ac:dyDescent="0.2">
      <c r="A56" t="s">
        <v>110</v>
      </c>
      <c r="B56" t="s">
        <v>111</v>
      </c>
      <c r="C56">
        <v>1</v>
      </c>
      <c r="D56">
        <v>47</v>
      </c>
      <c r="E56">
        <v>0.1</v>
      </c>
      <c r="F56" s="6">
        <v>10000</v>
      </c>
      <c r="G56" s="5">
        <f t="shared" si="3"/>
        <v>4700000</v>
      </c>
    </row>
    <row r="57" spans="1:7" x14ac:dyDescent="0.2">
      <c r="A57" t="s">
        <v>112</v>
      </c>
      <c r="B57" t="s">
        <v>113</v>
      </c>
      <c r="C57">
        <v>2</v>
      </c>
      <c r="D57">
        <v>15</v>
      </c>
      <c r="E57">
        <v>0.1</v>
      </c>
      <c r="F57" s="6">
        <v>10000</v>
      </c>
      <c r="G57" s="5">
        <f t="shared" si="3"/>
        <v>1500000</v>
      </c>
    </row>
    <row r="58" spans="1:7" x14ac:dyDescent="0.2">
      <c r="A58" t="s">
        <v>114</v>
      </c>
      <c r="B58" t="s">
        <v>115</v>
      </c>
      <c r="C58">
        <v>3</v>
      </c>
      <c r="D58">
        <v>151</v>
      </c>
      <c r="E58">
        <v>0.1</v>
      </c>
      <c r="F58" s="6">
        <v>1000</v>
      </c>
      <c r="G58" s="5">
        <f t="shared" si="3"/>
        <v>1510000</v>
      </c>
    </row>
    <row r="59" spans="1:7" x14ac:dyDescent="0.2">
      <c r="A59" t="s">
        <v>116</v>
      </c>
      <c r="B59" t="s">
        <v>117</v>
      </c>
      <c r="C59">
        <v>1</v>
      </c>
      <c r="D59">
        <v>1</v>
      </c>
      <c r="E59">
        <v>0.1</v>
      </c>
      <c r="F59" s="6">
        <v>10000</v>
      </c>
      <c r="G59" s="5">
        <f>(D59*F59)/E59</f>
        <v>100000</v>
      </c>
    </row>
    <row r="60" spans="1:7" x14ac:dyDescent="0.2">
      <c r="A60" t="s">
        <v>118</v>
      </c>
      <c r="B60" t="s">
        <v>119</v>
      </c>
      <c r="C60">
        <v>2</v>
      </c>
      <c r="D60">
        <v>134</v>
      </c>
      <c r="E60">
        <v>0.1</v>
      </c>
      <c r="F60" s="6">
        <v>10000</v>
      </c>
      <c r="G60" s="5">
        <f>(D60*F60)/E60</f>
        <v>13400000</v>
      </c>
    </row>
    <row r="61" spans="1:7" x14ac:dyDescent="0.2">
      <c r="A61" t="s">
        <v>120</v>
      </c>
      <c r="B61" t="s">
        <v>121</v>
      </c>
      <c r="C61">
        <v>3</v>
      </c>
      <c r="D61">
        <v>55</v>
      </c>
      <c r="E61">
        <v>0.1</v>
      </c>
      <c r="F61" s="6">
        <v>10000</v>
      </c>
      <c r="G61" s="5">
        <f>(D61*F61)/E61</f>
        <v>5500000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OD600</vt:lpstr>
      <vt:lpstr>Growth curves</vt:lpstr>
      <vt:lpstr>Growth rates</vt:lpstr>
      <vt:lpstr>Plate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Annika Dejager</cp:lastModifiedBy>
  <dcterms:created xsi:type="dcterms:W3CDTF">2025-12-16T17:39:50Z</dcterms:created>
  <dcterms:modified xsi:type="dcterms:W3CDTF">2026-07-30T18:06:41Z</dcterms:modified>
</cp:coreProperties>
</file>