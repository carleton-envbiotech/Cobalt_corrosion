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ICP-MS Data Carleton/Co2+ dose-response curve A-F,F-A/"/>
    </mc:Choice>
  </mc:AlternateContent>
  <xr:revisionPtr revIDLastSave="0" documentId="13_ncr:1_{0534A516-C54C-0E42-BB81-2D4E934585FE}" xr6:coauthVersionLast="47" xr6:coauthVersionMax="47" xr10:uidLastSave="{00000000-0000-0000-0000-000000000000}"/>
  <bookViews>
    <workbookView xWindow="180" yWindow="500" windowWidth="25140" windowHeight="16080" activeTab="1" xr2:uid="{00000000-000D-0000-FFFF-FFFF00000000}"/>
  </bookViews>
  <sheets>
    <sheet name="Paired analyses" sheetId="6" r:id="rId1"/>
    <sheet name="Plate count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22" i="6" l="1"/>
  <c r="F19" i="6" l="1"/>
  <c r="F20" i="6"/>
  <c r="F21" i="6"/>
  <c r="F23" i="6"/>
  <c r="F24" i="6"/>
  <c r="F25" i="6"/>
  <c r="F26" i="6"/>
  <c r="F27" i="6"/>
  <c r="G27" i="6" s="1"/>
  <c r="F28" i="6"/>
  <c r="G28" i="6" s="1"/>
  <c r="F29" i="6"/>
  <c r="G29" i="6" s="1"/>
  <c r="F30" i="6"/>
  <c r="F31" i="6"/>
  <c r="G31" i="6" s="1"/>
  <c r="F32" i="6"/>
  <c r="F33" i="6"/>
  <c r="G33" i="6" s="1"/>
  <c r="F34" i="6"/>
  <c r="G34" i="6" s="1"/>
  <c r="F18" i="6"/>
  <c r="F14" i="6"/>
  <c r="G14" i="6" s="1"/>
  <c r="H14" i="6" s="1"/>
  <c r="K14" i="6" s="1"/>
  <c r="F17" i="6"/>
  <c r="F13" i="6"/>
  <c r="F16" i="6"/>
  <c r="F12" i="6"/>
  <c r="F15" i="6"/>
  <c r="F11" i="6"/>
  <c r="F10" i="6"/>
  <c r="F6" i="6"/>
  <c r="F9" i="6"/>
  <c r="F5" i="6"/>
  <c r="F8" i="6"/>
  <c r="G4" i="6"/>
  <c r="H4" i="6" s="1"/>
  <c r="F7" i="6"/>
  <c r="F3" i="6"/>
  <c r="G24" i="6" l="1"/>
  <c r="H24" i="6" s="1"/>
  <c r="G26" i="6"/>
  <c r="H26" i="6" s="1"/>
  <c r="K26" i="6" s="1"/>
  <c r="L26" i="6" s="1"/>
  <c r="G30" i="6"/>
  <c r="H30" i="6" s="1"/>
  <c r="K30" i="6" s="1"/>
  <c r="L30" i="6" s="1"/>
  <c r="G25" i="6"/>
  <c r="I25" i="6" s="1"/>
  <c r="G32" i="6"/>
  <c r="H32" i="6" s="1"/>
  <c r="K32" i="6" s="1"/>
  <c r="L32" i="6" s="1"/>
  <c r="I32" i="6"/>
  <c r="I31" i="6"/>
  <c r="H31" i="6"/>
  <c r="K31" i="6" s="1"/>
  <c r="L31" i="6" s="1"/>
  <c r="I28" i="6"/>
  <c r="H28" i="6"/>
  <c r="K28" i="6" s="1"/>
  <c r="L28" i="6" s="1"/>
  <c r="I29" i="6"/>
  <c r="H29" i="6"/>
  <c r="K29" i="6" s="1"/>
  <c r="L29" i="6" s="1"/>
  <c r="H34" i="6"/>
  <c r="K34" i="6" s="1"/>
  <c r="L34" i="6" s="1"/>
  <c r="I34" i="6"/>
  <c r="I27" i="6"/>
  <c r="H27" i="6"/>
  <c r="K27" i="6" s="1"/>
  <c r="L27" i="6" s="1"/>
  <c r="I33" i="6"/>
  <c r="H33" i="6"/>
  <c r="K33" i="6" s="1"/>
  <c r="L33" i="6" s="1"/>
  <c r="G15" i="6"/>
  <c r="I15" i="6" s="1"/>
  <c r="G22" i="6"/>
  <c r="H22" i="6" s="1"/>
  <c r="K22" i="6" s="1"/>
  <c r="L22" i="6" s="1"/>
  <c r="G21" i="6"/>
  <c r="H21" i="6" s="1"/>
  <c r="K21" i="6" s="1"/>
  <c r="L21" i="6" s="1"/>
  <c r="G20" i="6"/>
  <c r="I20" i="6" s="1"/>
  <c r="G23" i="6"/>
  <c r="H23" i="6" s="1"/>
  <c r="K23" i="6" s="1"/>
  <c r="L23" i="6" s="1"/>
  <c r="G19" i="6"/>
  <c r="H19" i="6" s="1"/>
  <c r="K19" i="6" s="1"/>
  <c r="L19" i="6" s="1"/>
  <c r="I24" i="6"/>
  <c r="K24" i="6"/>
  <c r="L24" i="6" s="1"/>
  <c r="H25" i="6"/>
  <c r="K25" i="6" s="1"/>
  <c r="L25" i="6" s="1"/>
  <c r="G8" i="6"/>
  <c r="H8" i="6" s="1"/>
  <c r="K8" i="6" s="1"/>
  <c r="G13" i="6"/>
  <c r="I13" i="6" s="1"/>
  <c r="G6" i="6"/>
  <c r="I6" i="6" s="1"/>
  <c r="G17" i="6"/>
  <c r="I17" i="6" s="1"/>
  <c r="G3" i="6"/>
  <c r="G5" i="6"/>
  <c r="H5" i="6" s="1"/>
  <c r="K5" i="6" s="1"/>
  <c r="G12" i="6"/>
  <c r="I12" i="6" s="1"/>
  <c r="G11" i="6"/>
  <c r="H11" i="6" s="1"/>
  <c r="K11" i="6" s="1"/>
  <c r="G7" i="6"/>
  <c r="I7" i="6" s="1"/>
  <c r="G9" i="6"/>
  <c r="H9" i="6" s="1"/>
  <c r="K9" i="6" s="1"/>
  <c r="G10" i="6"/>
  <c r="H10" i="6" s="1"/>
  <c r="K10" i="6" s="1"/>
  <c r="G16" i="6"/>
  <c r="I16" i="6" s="1"/>
  <c r="G18" i="6"/>
  <c r="I18" i="6" s="1"/>
  <c r="I4" i="6"/>
  <c r="K4" i="6"/>
  <c r="L14" i="6"/>
  <c r="I14" i="6"/>
  <c r="H16" i="6" l="1"/>
  <c r="K16" i="6" s="1"/>
  <c r="L16" i="6" s="1"/>
  <c r="I26" i="6"/>
  <c r="H6" i="6"/>
  <c r="K6" i="6" s="1"/>
  <c r="H13" i="6"/>
  <c r="K13" i="6" s="1"/>
  <c r="L13" i="6" s="1"/>
  <c r="I30" i="6"/>
  <c r="I8" i="6"/>
  <c r="H3" i="6"/>
  <c r="K3" i="6" s="1"/>
  <c r="L3" i="6" s="1"/>
  <c r="I3" i="6"/>
  <c r="H20" i="6"/>
  <c r="K20" i="6" s="1"/>
  <c r="L20" i="6" s="1"/>
  <c r="I21" i="6"/>
  <c r="I22" i="6"/>
  <c r="H17" i="6"/>
  <c r="K17" i="6" s="1"/>
  <c r="L17" i="6" s="1"/>
  <c r="H15" i="6"/>
  <c r="K15" i="6" s="1"/>
  <c r="L15" i="6" s="1"/>
  <c r="I23" i="6"/>
  <c r="I19" i="6"/>
  <c r="H7" i="6"/>
  <c r="K7" i="6" s="1"/>
  <c r="L7" i="6" s="1"/>
  <c r="I10" i="6"/>
  <c r="I9" i="6"/>
  <c r="I5" i="6"/>
  <c r="H18" i="6"/>
  <c r="K18" i="6" s="1"/>
  <c r="L18" i="6" s="1"/>
  <c r="I11" i="6"/>
  <c r="H12" i="6"/>
  <c r="K12" i="6" s="1"/>
  <c r="L12" i="6" s="1"/>
  <c r="L5" i="6"/>
  <c r="L6" i="6"/>
  <c r="L9" i="6"/>
  <c r="L8" i="6"/>
  <c r="L10" i="6"/>
  <c r="L4" i="6"/>
  <c r="L11" i="6"/>
  <c r="I14" i="5" l="1"/>
  <c r="I22" i="5"/>
  <c r="I41" i="5"/>
  <c r="I40" i="5"/>
  <c r="I25" i="5"/>
  <c r="I28" i="5"/>
  <c r="I31" i="5"/>
  <c r="I34" i="5"/>
  <c r="H3" i="5"/>
  <c r="H4" i="5"/>
  <c r="H5" i="5"/>
  <c r="I5" i="5" s="1"/>
  <c r="H6" i="5"/>
  <c r="H7" i="5"/>
  <c r="H8" i="5"/>
  <c r="I8" i="5" s="1"/>
  <c r="H9" i="5"/>
  <c r="H10" i="5"/>
  <c r="H11" i="5"/>
  <c r="I11" i="5" s="1"/>
  <c r="H12" i="5"/>
  <c r="H13" i="5"/>
  <c r="H14" i="5"/>
  <c r="H15" i="5"/>
  <c r="H16" i="5"/>
  <c r="H17" i="5"/>
  <c r="I17" i="5" s="1"/>
  <c r="H18" i="5"/>
  <c r="H19" i="5"/>
  <c r="H20" i="5"/>
  <c r="I20" i="5" s="1"/>
  <c r="H21" i="5"/>
  <c r="I21" i="5" s="1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I37" i="5" s="1"/>
  <c r="H38" i="5"/>
  <c r="H39" i="5"/>
  <c r="H40" i="5"/>
  <c r="H41" i="5"/>
  <c r="H2" i="5"/>
  <c r="I2" i="5" s="1"/>
</calcChain>
</file>

<file path=xl/sharedStrings.xml><?xml version="1.0" encoding="utf-8"?>
<sst xmlns="http://schemas.openxmlformats.org/spreadsheetml/2006/main" count="267" uniqueCount="87">
  <si>
    <t>Sample_name</t>
  </si>
  <si>
    <t>Time</t>
  </si>
  <si>
    <t>0-5.1</t>
  </si>
  <si>
    <t>0-6.1</t>
  </si>
  <si>
    <t>0-9.1</t>
  </si>
  <si>
    <t>2024-02-13_0hr_Wire+10%inoc_9_A-F</t>
  </si>
  <si>
    <t>0-10.1</t>
  </si>
  <si>
    <t>2024-02-13_0hr_Wire+10%inoc_10_A-F</t>
  </si>
  <si>
    <t>0-11.1</t>
  </si>
  <si>
    <t>2024-02-13_0hr_NoWire+10%inoc_11_A-F</t>
  </si>
  <si>
    <t>0-12.1</t>
  </si>
  <si>
    <t>2024-02-13_0hr_NoWire+10%inoc_12_A-F</t>
  </si>
  <si>
    <t>24-5.1</t>
  </si>
  <si>
    <t>24-6.1</t>
  </si>
  <si>
    <t>24-9.1</t>
  </si>
  <si>
    <t>2024-02-14_24hr_Wire+10%inoc_9_A-F</t>
  </si>
  <si>
    <t>24-10.1</t>
  </si>
  <si>
    <t>2024-02-14_24hr_Wire+10%inoc_10_A-F</t>
  </si>
  <si>
    <t>24-11.1</t>
  </si>
  <si>
    <t>2024-02-14_24hr_NoWire+10%inoc_11_A-F</t>
  </si>
  <si>
    <t>24-12.1</t>
  </si>
  <si>
    <t>2024-02-14_24hr_NoWire+10%inoc_12_A-F</t>
  </si>
  <si>
    <t>72-5.1</t>
  </si>
  <si>
    <t>72-6.1</t>
  </si>
  <si>
    <t>72-9.1</t>
  </si>
  <si>
    <t>2024-02-16_72hr_Wire+10%inoc_9_A-F</t>
  </si>
  <si>
    <t>72-10.1</t>
  </si>
  <si>
    <t>2024-02-16_72hr_Wire+10%inoc_10_A-F</t>
  </si>
  <si>
    <t>72-11.1</t>
  </si>
  <si>
    <t>2024-02-16_72hr_NoWire+10%inoc_11_A-F</t>
  </si>
  <si>
    <t>72-12.1</t>
  </si>
  <si>
    <t>2024-02-16_72hr_NoWire+10%inoc_12_A-F</t>
  </si>
  <si>
    <t>168-5.1</t>
  </si>
  <si>
    <t>168-6.1</t>
  </si>
  <si>
    <t>168-9.1</t>
  </si>
  <si>
    <t>2024-02-20_168hr_Wire+10%inoc_9_A-F</t>
  </si>
  <si>
    <t>168-10.1</t>
  </si>
  <si>
    <t>2024-02-20_168hr_Wire+10%inoc_10_A-F</t>
  </si>
  <si>
    <t>168-11.1</t>
  </si>
  <si>
    <t>2024-02-20_168hr_NoWire+10%inoc_11_A-F</t>
  </si>
  <si>
    <t>168-12.1</t>
  </si>
  <si>
    <t>2024-02-20_168hr_NoWire+10%inoc_12_A-F</t>
  </si>
  <si>
    <t>2024-05-14_0hr_Wire+10%inoc_5_A-F</t>
  </si>
  <si>
    <t>2024-05-14_0hr_NoWire+10%inoc_6_A-F</t>
  </si>
  <si>
    <t>2024-05-15_24hr_Wire+10%inoc_5_A-F</t>
  </si>
  <si>
    <t>2024-05-15_24hr_NoWire+10%inoc_6_A-F</t>
  </si>
  <si>
    <t>2024-05-17_72hr_Wire+10%inoc_5_A-F</t>
  </si>
  <si>
    <t>2024-05-17_72hr_NoWire+10%inoc_6_A-F</t>
  </si>
  <si>
    <t>2024-05-21_168hr_Wire+10%inoc_5_A-F</t>
  </si>
  <si>
    <t>2024-05-21_168hr_NoWire+10%inoc_6_A-F</t>
  </si>
  <si>
    <t>0-5.3-B</t>
  </si>
  <si>
    <t>2024-05-28_0hr_Wire+10%inoc_5_A-F</t>
  </si>
  <si>
    <t>0-6.3-B</t>
  </si>
  <si>
    <t>2024-05-28_0hr_NoWire+10%inoc_6_A-F</t>
  </si>
  <si>
    <t>24-5.3-B</t>
  </si>
  <si>
    <t>2024-05-29_24hr_Wire+10%inoc_5_A-F</t>
  </si>
  <si>
    <t>24-6.3-B</t>
  </si>
  <si>
    <t>2024-05-29_24hr_NoWire+10%inoc_6_A-F</t>
  </si>
  <si>
    <t>72-5.3-B</t>
  </si>
  <si>
    <t>2024-05-31_72hr_Wire+10%inoc_5_A-F</t>
  </si>
  <si>
    <t>72-6.3-B</t>
  </si>
  <si>
    <t>2024-05-31_72hr_NoWire+10%inoc_6_A-F</t>
  </si>
  <si>
    <t>168-5.3-B</t>
  </si>
  <si>
    <t>2024-06-04_168hr_Wire+10%inoc_5_A-F</t>
  </si>
  <si>
    <t>168-6.3-B</t>
  </si>
  <si>
    <t>2024-06-04_168hr_NoWire+10%inoc_6_A-F</t>
  </si>
  <si>
    <t>Comment</t>
  </si>
  <si>
    <t>CFU/mL</t>
  </si>
  <si>
    <t>Flask_number</t>
  </si>
  <si>
    <t>Replicate_number</t>
  </si>
  <si>
    <t>Colony_count</t>
  </si>
  <si>
    <t>Volume_plated_mL</t>
  </si>
  <si>
    <t>Dilution_applied</t>
  </si>
  <si>
    <t>CFU_mL</t>
  </si>
  <si>
    <t>Avg CFU_mL</t>
  </si>
  <si>
    <t>Acidified-filtered</t>
  </si>
  <si>
    <t>Filtered-acidified</t>
  </si>
  <si>
    <t>Sample Name</t>
  </si>
  <si>
    <t>Conc. [ uM ]</t>
  </si>
  <si>
    <t>Total Co(2+) recovered [ uM ]</t>
  </si>
  <si>
    <t>Cell-associated Co(2+) [ uM ]</t>
  </si>
  <si>
    <t>Cell-associated Co(2+) [ umol/mL ]</t>
  </si>
  <si>
    <t>Cell-associated Co(2+) [ % ]</t>
  </si>
  <si>
    <t>umol Co(2+)/CFU</t>
  </si>
  <si>
    <t>log ( umol Co(2+)/CFU )</t>
  </si>
  <si>
    <t>Legend</t>
  </si>
  <si>
    <t>Yellow = replicates 1-4 used to generate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</si>
</sst>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11" fontId="0" fillId="0" borderId="0" xfId="0" applyNumberFormat="1"/>
    <xf numFmtId="11" fontId="16" fillId="0" borderId="0" xfId="0" applyNumberFormat="1" applyFont="1"/>
    <xf numFmtId="0" fontId="18" fillId="33" borderId="10" xfId="0" applyFont="1" applyFill="1" applyBorder="1" applyAlignment="1">
      <alignment horizontal="center" vertical="center"/>
    </xf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18" fillId="33" borderId="15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2" fontId="0" fillId="0" borderId="0" xfId="0" applyNumberFormat="1"/>
    <xf numFmtId="0" fontId="18" fillId="35" borderId="17" xfId="0" applyFont="1" applyFill="1" applyBorder="1" applyAlignment="1">
      <alignment horizontal="center" vertical="center"/>
    </xf>
    <xf numFmtId="164" fontId="0" fillId="0" borderId="0" xfId="0" applyNumberFormat="1"/>
    <xf numFmtId="164" fontId="18" fillId="0" borderId="0" xfId="0" applyNumberFormat="1" applyFont="1"/>
    <xf numFmtId="164" fontId="0" fillId="0" borderId="18" xfId="0" applyNumberFormat="1" applyBorder="1"/>
    <xf numFmtId="0" fontId="18" fillId="33" borderId="11" xfId="0" applyFont="1" applyFill="1" applyBorder="1" applyAlignment="1">
      <alignment vertical="center"/>
    </xf>
    <xf numFmtId="0" fontId="0" fillId="36" borderId="0" xfId="0" applyFill="1"/>
    <xf numFmtId="0" fontId="18" fillId="36" borderId="0" xfId="0" applyFont="1" applyFill="1"/>
    <xf numFmtId="0" fontId="18" fillId="37" borderId="0" xfId="0" applyFont="1" applyFill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0" xfId="0" applyFont="1"/>
    <xf numFmtId="0" fontId="0" fillId="0" borderId="0" xfId="0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6236116180844"/>
          <c:y val="0.15378948678845974"/>
          <c:w val="0.68557035389163712"/>
          <c:h val="0.79939707136963123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'Paired analyses'!$F$3:$F$6</c:f>
              <c:numCache>
                <c:formatCode>0.0000</c:formatCode>
                <c:ptCount val="4"/>
                <c:pt idx="0">
                  <c:v>4.8993399200000001</c:v>
                </c:pt>
                <c:pt idx="1">
                  <c:v>1209.049694</c:v>
                </c:pt>
                <c:pt idx="2">
                  <c:v>4.9401359439999997</c:v>
                </c:pt>
                <c:pt idx="3">
                  <c:v>902.91301320000002</c:v>
                </c:pt>
              </c:numCache>
            </c:numRef>
          </c:xVal>
          <c:yVal>
            <c:numRef>
              <c:f>'Paired analyses'!$L$3:$L$6</c:f>
              <c:numCache>
                <c:formatCode>General</c:formatCode>
                <c:ptCount val="4"/>
                <c:pt idx="0">
                  <c:v>0</c:v>
                </c:pt>
                <c:pt idx="1">
                  <c:v>-9.6619746549013072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2-B14B-875F-4E3815F13DAB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'Paired analyses'!$F$7:$F$10</c:f>
              <c:numCache>
                <c:formatCode>0.0000</c:formatCode>
                <c:ptCount val="4"/>
                <c:pt idx="0">
                  <c:v>949.26412619999996</c:v>
                </c:pt>
                <c:pt idx="1">
                  <c:v>1776.1980719999999</c:v>
                </c:pt>
                <c:pt idx="2">
                  <c:v>618.63334239999995</c:v>
                </c:pt>
                <c:pt idx="3">
                  <c:v>1795.6102169999999</c:v>
                </c:pt>
              </c:numCache>
            </c:numRef>
          </c:xVal>
          <c:yVal>
            <c:numRef>
              <c:f>'Paired analyses'!$L$7:$L$10</c:f>
              <c:numCache>
                <c:formatCode>General</c:formatCode>
                <c:ptCount val="4"/>
                <c:pt idx="0">
                  <c:v>-8.6515796687832456</c:v>
                </c:pt>
                <c:pt idx="1">
                  <c:v>-8.7550156596496738</c:v>
                </c:pt>
                <c:pt idx="2">
                  <c:v>-9.1191352305585873</c:v>
                </c:pt>
                <c:pt idx="3">
                  <c:v>-6.9271010143114067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70-DA4B-B0DE-8D5C6E3BC09D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'Paired analyses'!$F$19:$F$22</c:f>
              <c:numCache>
                <c:formatCode>0.0000</c:formatCode>
                <c:ptCount val="4"/>
                <c:pt idx="0">
                  <c:v>1.9102807669999999</c:v>
                </c:pt>
                <c:pt idx="1">
                  <c:v>804.45490380000001</c:v>
                </c:pt>
                <c:pt idx="2">
                  <c:v>992.0822981</c:v>
                </c:pt>
                <c:pt idx="3">
                  <c:v>1157.6538479999999</c:v>
                </c:pt>
              </c:numCache>
            </c:numRef>
          </c:xVal>
          <c:yVal>
            <c:numRef>
              <c:f>'Paired analyses'!$L$19:$L$22</c:f>
              <c:numCache>
                <c:formatCode>General</c:formatCode>
                <c:ptCount val="4"/>
                <c:pt idx="0">
                  <c:v>0</c:v>
                </c:pt>
                <c:pt idx="1">
                  <c:v>-10.887929802417768</c:v>
                </c:pt>
                <c:pt idx="2">
                  <c:v>0</c:v>
                </c:pt>
                <c:pt idx="3">
                  <c:v>-7.3659266018496501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70-DA4B-B0DE-8D5C6E3BC09D}"/>
            </c:ext>
          </c:extLst>
        </c:ser>
        <c:ser>
          <c:idx val="3"/>
          <c:order val="3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'Paired analyses'!$F$23:$F$26</c:f>
              <c:numCache>
                <c:formatCode>0.0000</c:formatCode>
                <c:ptCount val="4"/>
                <c:pt idx="0">
                  <c:v>2.5308316130000001</c:v>
                </c:pt>
                <c:pt idx="1">
                  <c:v>322.46235030000003</c:v>
                </c:pt>
                <c:pt idx="2">
                  <c:v>1669.6292269999999</c:v>
                </c:pt>
                <c:pt idx="3">
                  <c:v>2966.4188549999999</c:v>
                </c:pt>
              </c:numCache>
            </c:numRef>
          </c:xVal>
          <c:yVal>
            <c:numRef>
              <c:f>'Paired analyses'!$L$23:$L$26</c:f>
              <c:numCache>
                <c:formatCode>General</c:formatCode>
                <c:ptCount val="4"/>
                <c:pt idx="0">
                  <c:v>-13.05915276208845</c:v>
                </c:pt>
                <c:pt idx="1">
                  <c:v>-10.497691168469402</c:v>
                </c:pt>
                <c:pt idx="2">
                  <c:v>-6.2770967725556206</c:v>
                </c:pt>
                <c:pt idx="3">
                  <c:v>-6.4078137071125827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70-DA4B-B0DE-8D5C6E3BC09D}"/>
            </c:ext>
          </c:extLst>
        </c:ser>
        <c:ser>
          <c:idx val="4"/>
          <c:order val="4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alpha val="0"/>
                </a:schemeClr>
              </a:solidFill>
              <a:ln w="9525">
                <a:solidFill>
                  <a:schemeClr val="bg1">
                    <a:alpha val="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('Paired analyses'!$F$4,'Paired analyses'!$F$7:$F$10,'Paired analyses'!$F$20,'Paired analyses'!$F$22:$F$24,'Paired analyses'!$F$25:$F$26)</c:f>
              <c:numCache>
                <c:formatCode>0.0000</c:formatCode>
                <c:ptCount val="11"/>
                <c:pt idx="0">
                  <c:v>1209.049694</c:v>
                </c:pt>
                <c:pt idx="1">
                  <c:v>949.26412619999996</c:v>
                </c:pt>
                <c:pt idx="2">
                  <c:v>1776.1980719999999</c:v>
                </c:pt>
                <c:pt idx="3">
                  <c:v>618.63334239999995</c:v>
                </c:pt>
                <c:pt idx="4">
                  <c:v>1795.6102169999999</c:v>
                </c:pt>
                <c:pt idx="5">
                  <c:v>804.45490380000001</c:v>
                </c:pt>
                <c:pt idx="6">
                  <c:v>1157.6538479999999</c:v>
                </c:pt>
                <c:pt idx="7">
                  <c:v>2.5308316130000001</c:v>
                </c:pt>
                <c:pt idx="8">
                  <c:v>322.46235030000003</c:v>
                </c:pt>
                <c:pt idx="9">
                  <c:v>1669.6292269999999</c:v>
                </c:pt>
                <c:pt idx="10">
                  <c:v>2966.4188549999999</c:v>
                </c:pt>
              </c:numCache>
            </c:numRef>
          </c:xVal>
          <c:yVal>
            <c:numRef>
              <c:f>('Paired analyses'!$L$4,'Paired analyses'!$L$7:$L$10,'Paired analyses'!$L$20,'Paired analyses'!$L$22:$L$26)</c:f>
              <c:numCache>
                <c:formatCode>General</c:formatCode>
                <c:ptCount val="11"/>
                <c:pt idx="0">
                  <c:v>-9.6619746549013072</c:v>
                </c:pt>
                <c:pt idx="1">
                  <c:v>-8.6515796687832456</c:v>
                </c:pt>
                <c:pt idx="2">
                  <c:v>-8.7550156596496738</c:v>
                </c:pt>
                <c:pt idx="3">
                  <c:v>-9.1191352305585873</c:v>
                </c:pt>
                <c:pt idx="4">
                  <c:v>-6.9271010143114067</c:v>
                </c:pt>
                <c:pt idx="5">
                  <c:v>-10.887929802417768</c:v>
                </c:pt>
                <c:pt idx="6">
                  <c:v>-7.3659266018496501</c:v>
                </c:pt>
                <c:pt idx="7">
                  <c:v>-13.05915276208845</c:v>
                </c:pt>
                <c:pt idx="8">
                  <c:v>-10.497691168469402</c:v>
                </c:pt>
                <c:pt idx="9">
                  <c:v>-6.2770967725556206</c:v>
                </c:pt>
                <c:pt idx="10">
                  <c:v>-6.4078137071125827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E-4945-9FF3-0EBB305FC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0688"/>
        <c:axId val="332512688"/>
      </c:scatterChart>
      <c:valAx>
        <c:axId val="33251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Co(2+) concentration recovered (µM)</a:t>
                </a:r>
              </a:p>
            </c:rich>
          </c:tx>
          <c:layout>
            <c:manualLayout>
              <c:xMode val="edge"/>
              <c:yMode val="edge"/>
              <c:x val="0.22781254573661563"/>
              <c:y val="3.61314884183166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high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2688"/>
        <c:crosses val="autoZero"/>
        <c:crossBetween val="midCat"/>
      </c:valAx>
      <c:valAx>
        <c:axId val="332512688"/>
        <c:scaling>
          <c:orientation val="minMax"/>
          <c:max val="-4"/>
          <c:min val="-1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8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</a:t>
                </a:r>
                <a:r>
                  <a:rPr lang="en-US" sz="18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µmol Co(2+)/CFU]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068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5893034560247017"/>
          <c:y val="0.39893925424486293"/>
          <c:w val="3.4441980366175032E-2"/>
          <c:h val="0.16612576030945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414133</xdr:colOff>
      <xdr:row>4</xdr:row>
      <xdr:rowOff>54758</xdr:rowOff>
    </xdr:from>
    <xdr:to>
      <xdr:col>25</xdr:col>
      <xdr:colOff>757532</xdr:colOff>
      <xdr:row>36</xdr:row>
      <xdr:rowOff>92858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CECF0-4623-1B47-BFC0-6DFC6E914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830987</xdr:colOff>
      <xdr:row>37</xdr:row>
      <xdr:rowOff>78395</xdr:rowOff>
    </xdr:from>
    <xdr:to>
      <xdr:col>25</xdr:col>
      <xdr:colOff>642838</xdr:colOff>
      <xdr:row>40</xdr:row>
      <xdr:rowOff>156791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6C99A7-425E-8842-A2DD-6C5523714DD0}"/>
            </a:ext>
          </a:extLst>
        </xdr:cNvPr>
        <xdr:cNvSpPr txBox="1"/>
      </xdr:nvSpPr>
      <xdr:spPr>
        <a:xfrm>
          <a:off x="21150987" y="7620000"/>
          <a:ext cx="9783703" cy="6898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Figure S5A:</a:t>
          </a:r>
          <a:r>
            <a:rPr lang="en-US" sz="1100" baseline="0"/>
            <a:t> log(µmol </a:t>
          </a:r>
          <a:r>
            <a:rPr lang="en-US" sz="1100"/>
            <a:t>Co(2+) per CFU) normalized to total µM Co(2+) concentration recovered from</a:t>
          </a:r>
          <a:r>
            <a:rPr lang="en-US" sz="1100" baseline="0"/>
            <a:t> A-F treatment for wild-type incubations with Co(0) wires in corrosion assay. Cobalt per cell values that came back as null across replicates were not included in this plot. Equation for logarithmic curve is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0.8738ln(x) - 14.531,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R^2 value is 0.6517.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0.84885</cdr:x>
      <cdr:y>0.33113</cdr:y>
    </cdr:from>
    <cdr:to>
      <cdr:x>0.98067</cdr:x>
      <cdr:y>0.39739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B1C4AF-9B74-25B6-2859-2E298E4BBB6A}"/>
            </a:ext>
          </a:extLst>
        </cdr:cNvPr>
        <cdr:cNvSpPr txBox="1"/>
      </cdr:nvSpPr>
      <cdr:spPr>
        <a:xfrm xmlns:a="http://schemas.openxmlformats.org/drawingml/2006/main">
          <a:off x="8699771" y="2165784"/>
          <a:ext cx="1351053" cy="433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Replicate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6350-8455-394C-A5F9-0701ECC66A88}">
  <dimension ref="A1:R34"/>
  <sheetViews>
    <sheetView topLeftCell="M1" zoomScale="81" workbookViewId="0">
      <selection activeCell="O1" sqref="O1:O2"/>
    </sheetView>
  </sheetViews>
  <sheetFormatPr baseColWidth="10" defaultRowHeight="16" x14ac:dyDescent="0.2"/>
  <cols>
    <col min="1" max="1" width="14.1640625" bestFit="1" customWidth="1"/>
    <col min="2" max="2" width="41.6640625" bestFit="1" customWidth="1"/>
    <col min="3" max="3" width="13.5" customWidth="1"/>
    <col min="4" max="4" width="15" bestFit="1" customWidth="1"/>
    <col min="5" max="5" width="15.1640625" bestFit="1" customWidth="1"/>
    <col min="6" max="6" width="25.5" bestFit="1" customWidth="1"/>
    <col min="7" max="7" width="25.1640625" bestFit="1" customWidth="1"/>
    <col min="8" max="8" width="30.1640625" bestFit="1" customWidth="1"/>
    <col min="9" max="9" width="24" bestFit="1" customWidth="1"/>
    <col min="10" max="10" width="13" customWidth="1"/>
    <col min="11" max="11" width="15.33203125" bestFit="1" customWidth="1"/>
    <col min="12" max="12" width="20.83203125" bestFit="1" customWidth="1"/>
    <col min="13" max="13" width="12.83203125" bestFit="1" customWidth="1"/>
  </cols>
  <sheetData>
    <row r="1" spans="1:18" x14ac:dyDescent="0.2">
      <c r="A1" s="20"/>
      <c r="B1" s="20"/>
      <c r="C1" s="4"/>
      <c r="D1" s="16" t="s">
        <v>75</v>
      </c>
      <c r="E1" s="16" t="s">
        <v>76</v>
      </c>
      <c r="F1" s="5"/>
      <c r="G1" s="6"/>
      <c r="H1" s="6"/>
      <c r="I1" s="6"/>
      <c r="J1" s="6"/>
      <c r="K1" s="6"/>
      <c r="L1" s="7"/>
      <c r="O1" s="1" t="s">
        <v>85</v>
      </c>
    </row>
    <row r="2" spans="1:18" x14ac:dyDescent="0.2">
      <c r="A2" s="8" t="s">
        <v>77</v>
      </c>
      <c r="B2" s="9" t="s">
        <v>66</v>
      </c>
      <c r="C2" s="9" t="s">
        <v>1</v>
      </c>
      <c r="D2" s="10" t="s">
        <v>78</v>
      </c>
      <c r="E2" s="10" t="s">
        <v>78</v>
      </c>
      <c r="F2" s="12" t="s">
        <v>79</v>
      </c>
      <c r="G2" s="8" t="s">
        <v>80</v>
      </c>
      <c r="H2" s="8" t="s">
        <v>81</v>
      </c>
      <c r="I2" s="8" t="s">
        <v>82</v>
      </c>
      <c r="J2" s="10" t="s">
        <v>67</v>
      </c>
      <c r="K2" s="8" t="s">
        <v>83</v>
      </c>
      <c r="L2" s="10" t="s">
        <v>84</v>
      </c>
      <c r="O2" s="19" t="s">
        <v>86</v>
      </c>
      <c r="P2" s="17"/>
      <c r="Q2" s="17"/>
      <c r="R2" s="17"/>
    </row>
    <row r="3" spans="1:18" x14ac:dyDescent="0.2">
      <c r="A3" s="17" t="s">
        <v>4</v>
      </c>
      <c r="B3" t="s">
        <v>5</v>
      </c>
      <c r="C3">
        <v>0</v>
      </c>
      <c r="D3">
        <v>4.8993399200000001</v>
      </c>
      <c r="E3">
        <v>5.2157394940000001</v>
      </c>
      <c r="F3" s="15">
        <f t="shared" ref="F3:F34" si="0">D3</f>
        <v>4.8993399200000001</v>
      </c>
      <c r="G3">
        <f>F3-E3</f>
        <v>-0.31639957400000007</v>
      </c>
      <c r="H3">
        <f>G3/1000</f>
        <v>-3.1639957400000007E-4</v>
      </c>
      <c r="I3">
        <f>G3/F3*100</f>
        <v>-6.4580041223185853</v>
      </c>
      <c r="J3" s="2">
        <v>208666666.66666666</v>
      </c>
      <c r="K3" s="2">
        <f>H3/J3</f>
        <v>-1.5162918881789142E-12</v>
      </c>
      <c r="L3" t="e">
        <f>LOG10(K3)</f>
        <v>#NUM!</v>
      </c>
    </row>
    <row r="4" spans="1:18" x14ac:dyDescent="0.2">
      <c r="A4" s="17" t="s">
        <v>14</v>
      </c>
      <c r="B4" t="s">
        <v>15</v>
      </c>
      <c r="C4">
        <v>24</v>
      </c>
      <c r="D4">
        <v>1209.049694</v>
      </c>
      <c r="E4">
        <v>989.81411619999994</v>
      </c>
      <c r="F4" s="14">
        <f t="shared" si="0"/>
        <v>1209.049694</v>
      </c>
      <c r="G4">
        <f>F4-E4</f>
        <v>219.2355778000001</v>
      </c>
      <c r="H4">
        <f>G4/1000</f>
        <v>0.21923557780000011</v>
      </c>
      <c r="I4">
        <f>G4/F4*100</f>
        <v>18.13288394083164</v>
      </c>
      <c r="J4" s="2">
        <v>1006666666.6666666</v>
      </c>
      <c r="K4" s="2">
        <f>H4/J4</f>
        <v>2.1778368655629152E-10</v>
      </c>
      <c r="L4">
        <f t="shared" ref="L4:L34" si="1">LOG10(K4)</f>
        <v>-9.6619746549013072</v>
      </c>
    </row>
    <row r="5" spans="1:18" x14ac:dyDescent="0.2">
      <c r="A5" s="17" t="s">
        <v>24</v>
      </c>
      <c r="B5" t="s">
        <v>25</v>
      </c>
      <c r="C5">
        <v>72</v>
      </c>
      <c r="D5">
        <v>4.9401359439999997</v>
      </c>
      <c r="E5">
        <v>5.5255661209999998</v>
      </c>
      <c r="F5" s="14">
        <f t="shared" si="0"/>
        <v>4.9401359439999997</v>
      </c>
      <c r="G5">
        <f>F5-E5</f>
        <v>-0.58543017700000011</v>
      </c>
      <c r="H5">
        <f>G5/1000</f>
        <v>-5.8543017700000012E-4</v>
      </c>
      <c r="I5">
        <f>G5/F5*100</f>
        <v>-11.850487185702438</v>
      </c>
      <c r="J5" s="2">
        <v>333333333.33333331</v>
      </c>
      <c r="K5" s="2">
        <f>H5/J5</f>
        <v>-1.7562905310000005E-12</v>
      </c>
      <c r="L5" t="e">
        <f t="shared" si="1"/>
        <v>#NUM!</v>
      </c>
    </row>
    <row r="6" spans="1:18" x14ac:dyDescent="0.2">
      <c r="A6" s="17" t="s">
        <v>34</v>
      </c>
      <c r="B6" t="s">
        <v>35</v>
      </c>
      <c r="C6">
        <v>168</v>
      </c>
      <c r="D6">
        <v>902.91301320000002</v>
      </c>
      <c r="E6">
        <v>948.12275109999996</v>
      </c>
      <c r="F6" s="14">
        <f t="shared" si="0"/>
        <v>902.91301320000002</v>
      </c>
      <c r="G6">
        <f>F6-E6</f>
        <v>-45.209737899999936</v>
      </c>
      <c r="H6">
        <f>G6/1000</f>
        <v>-4.5209737899999936E-2</v>
      </c>
      <c r="I6">
        <f>G6/F6*100</f>
        <v>-5.0070978310272443</v>
      </c>
      <c r="J6" s="2">
        <v>10000000</v>
      </c>
      <c r="K6" s="2">
        <f>H6/J6</f>
        <v>-4.5209737899999939E-9</v>
      </c>
      <c r="L6" t="e">
        <f t="shared" si="1"/>
        <v>#NUM!</v>
      </c>
    </row>
    <row r="7" spans="1:18" x14ac:dyDescent="0.2">
      <c r="A7" s="17" t="s">
        <v>6</v>
      </c>
      <c r="B7" t="s">
        <v>7</v>
      </c>
      <c r="C7">
        <v>0</v>
      </c>
      <c r="D7">
        <v>949.26412619999996</v>
      </c>
      <c r="E7">
        <v>382.69350910000003</v>
      </c>
      <c r="F7" s="13">
        <f t="shared" si="0"/>
        <v>949.26412619999996</v>
      </c>
      <c r="G7">
        <f t="shared" ref="G7:G34" si="2">F7-E7</f>
        <v>566.57061709999994</v>
      </c>
      <c r="H7">
        <f t="shared" ref="H7:H34" si="3">G7/1000</f>
        <v>0.5665706170999999</v>
      </c>
      <c r="I7">
        <f t="shared" ref="I7:I34" si="4">G7/F7*100</f>
        <v>59.685244755644483</v>
      </c>
      <c r="J7" s="2">
        <v>254000000</v>
      </c>
      <c r="K7" s="2">
        <f t="shared" ref="K7:K34" si="5">H7/J7</f>
        <v>2.2305929807086608E-9</v>
      </c>
      <c r="L7">
        <f t="shared" si="1"/>
        <v>-8.6515796687832456</v>
      </c>
    </row>
    <row r="8" spans="1:18" x14ac:dyDescent="0.2">
      <c r="A8" s="17" t="s">
        <v>16</v>
      </c>
      <c r="B8" t="s">
        <v>17</v>
      </c>
      <c r="C8">
        <v>24</v>
      </c>
      <c r="D8">
        <v>1776.1980719999999</v>
      </c>
      <c r="E8">
        <v>633.58892349999996</v>
      </c>
      <c r="F8" s="14">
        <f t="shared" si="0"/>
        <v>1776.1980719999999</v>
      </c>
      <c r="G8">
        <f t="shared" si="2"/>
        <v>1142.6091484999999</v>
      </c>
      <c r="H8">
        <f t="shared" si="3"/>
        <v>1.1426091484999998</v>
      </c>
      <c r="I8">
        <f t="shared" si="4"/>
        <v>64.328926289927864</v>
      </c>
      <c r="J8" s="2">
        <v>650000000</v>
      </c>
      <c r="K8" s="2">
        <f t="shared" si="5"/>
        <v>1.7578602284615383E-9</v>
      </c>
      <c r="L8">
        <f t="shared" si="1"/>
        <v>-8.7550156596496738</v>
      </c>
    </row>
    <row r="9" spans="1:18" x14ac:dyDescent="0.2">
      <c r="A9" s="17" t="s">
        <v>26</v>
      </c>
      <c r="B9" t="s">
        <v>27</v>
      </c>
      <c r="C9">
        <v>72</v>
      </c>
      <c r="D9">
        <v>618.63334239999995</v>
      </c>
      <c r="E9">
        <v>466.61542969999999</v>
      </c>
      <c r="F9" s="14">
        <f t="shared" si="0"/>
        <v>618.63334239999995</v>
      </c>
      <c r="G9">
        <f t="shared" si="2"/>
        <v>152.01791269999995</v>
      </c>
      <c r="H9">
        <f t="shared" si="3"/>
        <v>0.15201791269999995</v>
      </c>
      <c r="I9">
        <f t="shared" si="4"/>
        <v>24.57318451511901</v>
      </c>
      <c r="J9" s="2">
        <v>200000000</v>
      </c>
      <c r="K9" s="2">
        <f t="shared" si="5"/>
        <v>7.6008956349999971E-10</v>
      </c>
      <c r="L9">
        <f t="shared" si="1"/>
        <v>-9.1191352305585873</v>
      </c>
    </row>
    <row r="10" spans="1:18" x14ac:dyDescent="0.2">
      <c r="A10" s="17" t="s">
        <v>36</v>
      </c>
      <c r="B10" t="s">
        <v>37</v>
      </c>
      <c r="C10">
        <v>168</v>
      </c>
      <c r="D10">
        <v>1795.6102169999999</v>
      </c>
      <c r="E10">
        <v>612.84379769999998</v>
      </c>
      <c r="F10" s="14">
        <f t="shared" si="0"/>
        <v>1795.6102169999999</v>
      </c>
      <c r="G10">
        <f t="shared" si="2"/>
        <v>1182.7664193000001</v>
      </c>
      <c r="H10">
        <f t="shared" si="3"/>
        <v>1.1827664193</v>
      </c>
      <c r="I10" s="11">
        <f t="shared" si="4"/>
        <v>65.869886910985429</v>
      </c>
      <c r="J10" s="2">
        <v>10000000</v>
      </c>
      <c r="K10" s="2">
        <f t="shared" si="5"/>
        <v>1.1827664193E-7</v>
      </c>
      <c r="L10">
        <f t="shared" si="1"/>
        <v>-6.9271010143114067</v>
      </c>
    </row>
    <row r="11" spans="1:18" x14ac:dyDescent="0.2">
      <c r="A11" t="s">
        <v>8</v>
      </c>
      <c r="B11" t="s">
        <v>9</v>
      </c>
      <c r="C11">
        <v>0</v>
      </c>
      <c r="D11">
        <v>3.0711553989999998</v>
      </c>
      <c r="E11">
        <v>2.0262095069999999</v>
      </c>
      <c r="F11" s="14">
        <f t="shared" si="0"/>
        <v>3.0711553989999998</v>
      </c>
      <c r="G11">
        <f t="shared" si="2"/>
        <v>1.0449458919999999</v>
      </c>
      <c r="H11">
        <f t="shared" si="3"/>
        <v>1.0449458919999999E-3</v>
      </c>
      <c r="I11" s="11">
        <f t="shared" si="4"/>
        <v>34.024520294226896</v>
      </c>
      <c r="J11" s="2">
        <v>123666666.66666667</v>
      </c>
      <c r="K11" s="2">
        <f t="shared" si="5"/>
        <v>8.4496972398921828E-12</v>
      </c>
      <c r="L11">
        <f t="shared" si="1"/>
        <v>-11.073158851926022</v>
      </c>
    </row>
    <row r="12" spans="1:18" x14ac:dyDescent="0.2">
      <c r="A12" t="s">
        <v>18</v>
      </c>
      <c r="B12" t="s">
        <v>19</v>
      </c>
      <c r="C12">
        <v>24</v>
      </c>
      <c r="D12">
        <v>2.1035004129999999</v>
      </c>
      <c r="E12">
        <v>1.9071594540000001</v>
      </c>
      <c r="F12" s="14">
        <f t="shared" si="0"/>
        <v>2.1035004129999999</v>
      </c>
      <c r="G12">
        <f t="shared" si="2"/>
        <v>0.19634095899999982</v>
      </c>
      <c r="H12">
        <f t="shared" si="3"/>
        <v>1.9634095899999981E-4</v>
      </c>
      <c r="I12" s="11">
        <f t="shared" si="4"/>
        <v>9.3340109555756872</v>
      </c>
      <c r="J12" s="2">
        <v>5136666666.666667</v>
      </c>
      <c r="K12" s="2">
        <f t="shared" si="5"/>
        <v>3.8223418364698206E-14</v>
      </c>
      <c r="L12">
        <f t="shared" si="1"/>
        <v>-13.417670476084254</v>
      </c>
    </row>
    <row r="13" spans="1:18" x14ac:dyDescent="0.2">
      <c r="A13" t="s">
        <v>28</v>
      </c>
      <c r="B13" t="s">
        <v>29</v>
      </c>
      <c r="C13">
        <v>72</v>
      </c>
      <c r="D13">
        <v>2.0449765200000001</v>
      </c>
      <c r="E13">
        <v>1.9548744979999999</v>
      </c>
      <c r="F13" s="14">
        <f t="shared" si="0"/>
        <v>2.0449765200000001</v>
      </c>
      <c r="G13">
        <f t="shared" si="2"/>
        <v>9.010202200000017E-2</v>
      </c>
      <c r="H13">
        <f t="shared" si="3"/>
        <v>9.0102022000000169E-5</v>
      </c>
      <c r="I13" s="11">
        <f t="shared" si="4"/>
        <v>4.406017434371333</v>
      </c>
      <c r="J13" s="2">
        <v>4600000000</v>
      </c>
      <c r="K13" s="2">
        <f t="shared" si="5"/>
        <v>1.9587396086956558E-14</v>
      </c>
      <c r="L13">
        <f t="shared" si="1"/>
        <v>-13.708023294491756</v>
      </c>
    </row>
    <row r="14" spans="1:18" x14ac:dyDescent="0.2">
      <c r="A14" t="s">
        <v>38</v>
      </c>
      <c r="B14" t="s">
        <v>39</v>
      </c>
      <c r="C14">
        <v>168</v>
      </c>
      <c r="D14">
        <v>1.877753276</v>
      </c>
      <c r="E14">
        <v>1.7212710090000001</v>
      </c>
      <c r="F14" s="14">
        <f t="shared" si="0"/>
        <v>1.877753276</v>
      </c>
      <c r="G14">
        <f t="shared" si="2"/>
        <v>0.1564822669999999</v>
      </c>
      <c r="H14">
        <f t="shared" si="3"/>
        <v>1.5648226699999991E-4</v>
      </c>
      <c r="I14" s="11">
        <f t="shared" si="4"/>
        <v>8.3334839033453463</v>
      </c>
      <c r="J14" s="2">
        <v>5200000000</v>
      </c>
      <c r="K14" s="2">
        <f t="shared" si="5"/>
        <v>3.0092743653846136E-14</v>
      </c>
      <c r="L14">
        <f t="shared" si="1"/>
        <v>-13.521538214406645</v>
      </c>
    </row>
    <row r="15" spans="1:18" x14ac:dyDescent="0.2">
      <c r="A15" t="s">
        <v>10</v>
      </c>
      <c r="B15" t="s">
        <v>11</v>
      </c>
      <c r="C15">
        <v>0</v>
      </c>
      <c r="D15">
        <v>2.400395906</v>
      </c>
      <c r="E15">
        <v>1.360116315</v>
      </c>
      <c r="F15" s="14">
        <f t="shared" si="0"/>
        <v>2.400395906</v>
      </c>
      <c r="G15">
        <f t="shared" si="2"/>
        <v>1.040279591</v>
      </c>
      <c r="H15">
        <f t="shared" si="3"/>
        <v>1.0402795910000001E-3</v>
      </c>
      <c r="I15" s="11">
        <f t="shared" si="4"/>
        <v>43.337833913136159</v>
      </c>
      <c r="J15" s="2">
        <v>175333333.33333334</v>
      </c>
      <c r="K15" s="2">
        <f t="shared" si="5"/>
        <v>5.9331535608365019E-12</v>
      </c>
      <c r="L15">
        <f t="shared" si="1"/>
        <v>-11.226714411183719</v>
      </c>
    </row>
    <row r="16" spans="1:18" x14ac:dyDescent="0.2">
      <c r="A16" t="s">
        <v>20</v>
      </c>
      <c r="B16" t="s">
        <v>21</v>
      </c>
      <c r="C16">
        <v>24</v>
      </c>
      <c r="D16">
        <v>2.534004817</v>
      </c>
      <c r="E16">
        <v>2.657806012</v>
      </c>
      <c r="F16" s="14">
        <f t="shared" si="0"/>
        <v>2.534004817</v>
      </c>
      <c r="G16">
        <f t="shared" si="2"/>
        <v>-0.12380119499999998</v>
      </c>
      <c r="H16">
        <f t="shared" si="3"/>
        <v>-1.2380119499999997E-4</v>
      </c>
      <c r="I16">
        <f t="shared" si="4"/>
        <v>-4.8855943039038019</v>
      </c>
      <c r="J16" s="2">
        <v>4333333333.333333</v>
      </c>
      <c r="K16" s="2">
        <f t="shared" si="5"/>
        <v>-2.8569506538461534E-14</v>
      </c>
      <c r="L16" t="e">
        <f t="shared" si="1"/>
        <v>#NUM!</v>
      </c>
    </row>
    <row r="17" spans="1:12" x14ac:dyDescent="0.2">
      <c r="A17" t="s">
        <v>30</v>
      </c>
      <c r="B17" t="s">
        <v>31</v>
      </c>
      <c r="C17">
        <v>72</v>
      </c>
      <c r="D17">
        <v>1.4056763759999999</v>
      </c>
      <c r="E17">
        <v>1.9820917570000001</v>
      </c>
      <c r="F17" s="14">
        <f t="shared" si="0"/>
        <v>1.4056763759999999</v>
      </c>
      <c r="G17">
        <f t="shared" si="2"/>
        <v>-0.57641538100000012</v>
      </c>
      <c r="H17">
        <f t="shared" si="3"/>
        <v>-5.7641538100000015E-4</v>
      </c>
      <c r="I17" s="11">
        <f t="shared" si="4"/>
        <v>-41.006265086438368</v>
      </c>
      <c r="J17" s="2">
        <v>3666666666.6666665</v>
      </c>
      <c r="K17" s="2">
        <f t="shared" si="5"/>
        <v>-1.5720419481818186E-13</v>
      </c>
      <c r="L17" t="e">
        <f t="shared" si="1"/>
        <v>#NUM!</v>
      </c>
    </row>
    <row r="18" spans="1:12" x14ac:dyDescent="0.2">
      <c r="A18" t="s">
        <v>40</v>
      </c>
      <c r="B18" t="s">
        <v>41</v>
      </c>
      <c r="C18">
        <v>168</v>
      </c>
      <c r="D18">
        <v>2.3102260110000001</v>
      </c>
      <c r="E18">
        <v>2.5198022949999999</v>
      </c>
      <c r="F18" s="14">
        <f t="shared" si="0"/>
        <v>2.3102260110000001</v>
      </c>
      <c r="G18">
        <f t="shared" si="2"/>
        <v>-0.20957628399999972</v>
      </c>
      <c r="H18">
        <f t="shared" si="3"/>
        <v>-2.0957628399999973E-4</v>
      </c>
      <c r="I18" s="11">
        <f t="shared" si="4"/>
        <v>-9.0716788315132391</v>
      </c>
      <c r="J18" s="2">
        <v>5100000000</v>
      </c>
      <c r="K18" s="2">
        <f t="shared" si="5"/>
        <v>-4.1093389019607788E-14</v>
      </c>
      <c r="L18" t="e">
        <f t="shared" si="1"/>
        <v>#NUM!</v>
      </c>
    </row>
    <row r="19" spans="1:12" x14ac:dyDescent="0.2">
      <c r="A19" s="17" t="s">
        <v>2</v>
      </c>
      <c r="B19" t="s">
        <v>42</v>
      </c>
      <c r="C19">
        <v>0</v>
      </c>
      <c r="D19">
        <v>1.9102807669999999</v>
      </c>
      <c r="E19">
        <v>2.1056511530000002</v>
      </c>
      <c r="F19" s="14">
        <f t="shared" si="0"/>
        <v>1.9102807669999999</v>
      </c>
      <c r="G19">
        <f t="shared" si="2"/>
        <v>-0.19537038600000023</v>
      </c>
      <c r="H19">
        <f t="shared" si="3"/>
        <v>-1.9537038600000024E-4</v>
      </c>
      <c r="I19" s="11">
        <f t="shared" si="4"/>
        <v>-10.227312622050821</v>
      </c>
      <c r="J19" s="2">
        <v>335003260</v>
      </c>
      <c r="K19" s="2">
        <f t="shared" si="5"/>
        <v>-5.8318950687226225E-13</v>
      </c>
      <c r="L19" t="e">
        <f t="shared" si="1"/>
        <v>#NUM!</v>
      </c>
    </row>
    <row r="20" spans="1:12" x14ac:dyDescent="0.2">
      <c r="A20" s="17" t="s">
        <v>12</v>
      </c>
      <c r="B20" t="s">
        <v>44</v>
      </c>
      <c r="C20">
        <v>24</v>
      </c>
      <c r="D20">
        <v>804.45490380000001</v>
      </c>
      <c r="E20">
        <v>796.17071150000004</v>
      </c>
      <c r="F20" s="14">
        <f t="shared" si="0"/>
        <v>804.45490380000001</v>
      </c>
      <c r="G20">
        <f t="shared" si="2"/>
        <v>8.2841922999999724</v>
      </c>
      <c r="H20">
        <f t="shared" si="3"/>
        <v>8.284192299999972E-3</v>
      </c>
      <c r="I20" s="11">
        <f t="shared" si="4"/>
        <v>1.0297895209374659</v>
      </c>
      <c r="J20" s="2">
        <v>640000000</v>
      </c>
      <c r="K20" s="2">
        <f t="shared" si="5"/>
        <v>1.2944050468749956E-11</v>
      </c>
      <c r="L20">
        <f t="shared" si="1"/>
        <v>-10.887929802417768</v>
      </c>
    </row>
    <row r="21" spans="1:12" x14ac:dyDescent="0.2">
      <c r="A21" s="17" t="s">
        <v>22</v>
      </c>
      <c r="B21" t="s">
        <v>46</v>
      </c>
      <c r="C21">
        <v>72</v>
      </c>
      <c r="D21">
        <v>992.0822981</v>
      </c>
      <c r="E21">
        <v>1020.906042</v>
      </c>
      <c r="F21" s="14">
        <f t="shared" si="0"/>
        <v>992.0822981</v>
      </c>
      <c r="G21">
        <f t="shared" si="2"/>
        <v>-28.823743899999954</v>
      </c>
      <c r="H21">
        <f t="shared" si="3"/>
        <v>-2.8823743899999955E-2</v>
      </c>
      <c r="I21" s="11">
        <f t="shared" si="4"/>
        <v>-2.9053783093602359</v>
      </c>
      <c r="J21" s="2">
        <v>46666666.666666664</v>
      </c>
      <c r="K21" s="2">
        <f t="shared" si="5"/>
        <v>-6.1765165499999903E-10</v>
      </c>
      <c r="L21" t="e">
        <f t="shared" si="1"/>
        <v>#NUM!</v>
      </c>
    </row>
    <row r="22" spans="1:12" x14ac:dyDescent="0.2">
      <c r="A22" s="17" t="s">
        <v>32</v>
      </c>
      <c r="B22" t="s">
        <v>48</v>
      </c>
      <c r="C22">
        <v>168</v>
      </c>
      <c r="D22">
        <v>1157.6538479999999</v>
      </c>
      <c r="E22">
        <v>1085.887285</v>
      </c>
      <c r="F22" s="14">
        <f t="shared" si="0"/>
        <v>1157.6538479999999</v>
      </c>
      <c r="G22">
        <f t="shared" si="2"/>
        <v>71.766562999999906</v>
      </c>
      <c r="H22">
        <f t="shared" si="3"/>
        <v>7.1766562999999908E-2</v>
      </c>
      <c r="I22" s="11">
        <f t="shared" si="4"/>
        <v>6.1993110569265699</v>
      </c>
      <c r="J22" s="2">
        <v>1666666.6666666667</v>
      </c>
      <c r="K22" s="2">
        <f t="shared" si="5"/>
        <v>4.305993779999994E-8</v>
      </c>
      <c r="L22">
        <f t="shared" si="1"/>
        <v>-7.3659266018496501</v>
      </c>
    </row>
    <row r="23" spans="1:12" x14ac:dyDescent="0.2">
      <c r="A23" s="17" t="s">
        <v>50</v>
      </c>
      <c r="B23" t="s">
        <v>51</v>
      </c>
      <c r="C23">
        <v>0</v>
      </c>
      <c r="D23">
        <v>2.5308316130000001</v>
      </c>
      <c r="E23">
        <v>2.4892633179999999</v>
      </c>
      <c r="F23" s="14">
        <f t="shared" si="0"/>
        <v>2.5308316130000001</v>
      </c>
      <c r="G23">
        <f t="shared" si="2"/>
        <v>4.1568295000000255E-2</v>
      </c>
      <c r="H23">
        <f t="shared" si="3"/>
        <v>4.1568295000000257E-5</v>
      </c>
      <c r="I23" s="11">
        <f t="shared" si="4"/>
        <v>1.6424757295775194</v>
      </c>
      <c r="J23" s="2">
        <v>476337720</v>
      </c>
      <c r="K23" s="2">
        <f t="shared" si="5"/>
        <v>8.7266435670893871E-14</v>
      </c>
      <c r="L23">
        <f t="shared" si="1"/>
        <v>-13.05915276208845</v>
      </c>
    </row>
    <row r="24" spans="1:12" x14ac:dyDescent="0.2">
      <c r="A24" s="17" t="s">
        <v>54</v>
      </c>
      <c r="B24" t="s">
        <v>55</v>
      </c>
      <c r="C24">
        <v>24</v>
      </c>
      <c r="D24">
        <v>322.46235030000003</v>
      </c>
      <c r="E24">
        <v>305.46458059999998</v>
      </c>
      <c r="F24" s="14">
        <f t="shared" si="0"/>
        <v>322.46235030000003</v>
      </c>
      <c r="G24">
        <f t="shared" si="2"/>
        <v>16.997769700000049</v>
      </c>
      <c r="H24">
        <f t="shared" si="3"/>
        <v>1.699776970000005E-2</v>
      </c>
      <c r="I24" s="11">
        <f t="shared" si="4"/>
        <v>5.2712416454777813</v>
      </c>
      <c r="J24" s="2">
        <v>534666666.66666669</v>
      </c>
      <c r="K24" s="2">
        <f t="shared" si="5"/>
        <v>3.1791339837905331E-11</v>
      </c>
      <c r="L24">
        <f t="shared" si="1"/>
        <v>-10.497691168469402</v>
      </c>
    </row>
    <row r="25" spans="1:12" x14ac:dyDescent="0.2">
      <c r="A25" s="18" t="s">
        <v>58</v>
      </c>
      <c r="B25" t="s">
        <v>59</v>
      </c>
      <c r="C25">
        <v>72</v>
      </c>
      <c r="D25">
        <v>1669.6292269999999</v>
      </c>
      <c r="E25">
        <v>1493.5200560000001</v>
      </c>
      <c r="F25" s="14">
        <f t="shared" si="0"/>
        <v>1669.6292269999999</v>
      </c>
      <c r="G25">
        <f t="shared" si="2"/>
        <v>176.10917099999983</v>
      </c>
      <c r="H25">
        <f t="shared" si="3"/>
        <v>0.17610917099999984</v>
      </c>
      <c r="I25" s="11">
        <f t="shared" si="4"/>
        <v>10.547801161604836</v>
      </c>
      <c r="J25" s="2">
        <v>333333.33333333331</v>
      </c>
      <c r="K25" s="2">
        <f t="shared" si="5"/>
        <v>5.2832751299999952E-7</v>
      </c>
      <c r="L25">
        <f t="shared" si="1"/>
        <v>-6.2770967725556206</v>
      </c>
    </row>
    <row r="26" spans="1:12" x14ac:dyDescent="0.2">
      <c r="A26" s="18" t="s">
        <v>62</v>
      </c>
      <c r="B26" t="s">
        <v>63</v>
      </c>
      <c r="C26">
        <v>168</v>
      </c>
      <c r="D26">
        <v>2966.4188549999999</v>
      </c>
      <c r="E26">
        <v>2314.7378800000001</v>
      </c>
      <c r="F26" s="14">
        <f t="shared" si="0"/>
        <v>2966.4188549999999</v>
      </c>
      <c r="G26">
        <f t="shared" si="2"/>
        <v>651.68097499999976</v>
      </c>
      <c r="H26">
        <f t="shared" si="3"/>
        <v>0.65168097499999977</v>
      </c>
      <c r="I26" s="11">
        <f t="shared" si="4"/>
        <v>21.968609520586391</v>
      </c>
      <c r="J26" s="2">
        <v>1666666.6666666667</v>
      </c>
      <c r="K26" s="2">
        <f t="shared" si="5"/>
        <v>3.9100858499999985E-7</v>
      </c>
      <c r="L26">
        <f t="shared" si="1"/>
        <v>-6.4078137071125827</v>
      </c>
    </row>
    <row r="27" spans="1:12" x14ac:dyDescent="0.2">
      <c r="A27" t="s">
        <v>3</v>
      </c>
      <c r="B27" t="s">
        <v>43</v>
      </c>
      <c r="C27">
        <v>0</v>
      </c>
      <c r="D27">
        <v>1.7082053669999999</v>
      </c>
      <c r="E27">
        <v>1.6333748749999999</v>
      </c>
      <c r="F27" s="14">
        <f t="shared" si="0"/>
        <v>1.7082053669999999</v>
      </c>
      <c r="G27">
        <f t="shared" si="2"/>
        <v>7.4830492000000026E-2</v>
      </c>
      <c r="H27">
        <f t="shared" si="3"/>
        <v>7.4830492000000026E-5</v>
      </c>
      <c r="I27" s="11">
        <f t="shared" si="4"/>
        <v>4.3806496247825004</v>
      </c>
      <c r="J27" s="2">
        <v>403349413.33333331</v>
      </c>
      <c r="K27" s="2">
        <f t="shared" si="5"/>
        <v>1.8552274907651623E-13</v>
      </c>
      <c r="L27">
        <f t="shared" si="1"/>
        <v>-12.731602828945771</v>
      </c>
    </row>
    <row r="28" spans="1:12" x14ac:dyDescent="0.2">
      <c r="A28" t="s">
        <v>13</v>
      </c>
      <c r="B28" t="s">
        <v>45</v>
      </c>
      <c r="C28">
        <v>24</v>
      </c>
      <c r="D28">
        <v>1.740954313</v>
      </c>
      <c r="E28">
        <v>1.8485337509999999</v>
      </c>
      <c r="F28" s="14">
        <f t="shared" si="0"/>
        <v>1.740954313</v>
      </c>
      <c r="G28">
        <f t="shared" si="2"/>
        <v>-0.10757943799999992</v>
      </c>
      <c r="H28">
        <f t="shared" si="3"/>
        <v>-1.0757943799999991E-4</v>
      </c>
      <c r="I28" s="11">
        <f t="shared" si="4"/>
        <v>-6.1793372288224955</v>
      </c>
      <c r="J28" s="2">
        <v>4630000000</v>
      </c>
      <c r="K28" s="2">
        <f t="shared" si="5"/>
        <v>-2.323529978401726E-14</v>
      </c>
      <c r="L28" t="e">
        <f t="shared" si="1"/>
        <v>#NUM!</v>
      </c>
    </row>
    <row r="29" spans="1:12" x14ac:dyDescent="0.2">
      <c r="A29" t="s">
        <v>23</v>
      </c>
      <c r="B29" t="s">
        <v>47</v>
      </c>
      <c r="C29">
        <v>72</v>
      </c>
      <c r="D29">
        <v>1.7750607279999999</v>
      </c>
      <c r="E29">
        <v>1.9265882329999999</v>
      </c>
      <c r="F29" s="14">
        <f t="shared" si="0"/>
        <v>1.7750607279999999</v>
      </c>
      <c r="G29">
        <f t="shared" si="2"/>
        <v>-0.15152750500000001</v>
      </c>
      <c r="H29">
        <f t="shared" si="3"/>
        <v>-1.51527505E-4</v>
      </c>
      <c r="I29" s="11">
        <f t="shared" si="4"/>
        <v>-8.5364687872245018</v>
      </c>
      <c r="J29" s="2">
        <v>5566666666.666667</v>
      </c>
      <c r="K29" s="2">
        <f t="shared" si="5"/>
        <v>-2.722050988023952E-14</v>
      </c>
      <c r="L29" t="e">
        <f t="shared" si="1"/>
        <v>#NUM!</v>
      </c>
    </row>
    <row r="30" spans="1:12" x14ac:dyDescent="0.2">
      <c r="A30" t="s">
        <v>33</v>
      </c>
      <c r="B30" t="s">
        <v>49</v>
      </c>
      <c r="C30">
        <v>168</v>
      </c>
      <c r="D30">
        <v>2.0934721089999999</v>
      </c>
      <c r="E30">
        <v>1.739596844</v>
      </c>
      <c r="F30" s="14">
        <f t="shared" si="0"/>
        <v>2.0934721089999999</v>
      </c>
      <c r="G30">
        <f t="shared" si="2"/>
        <v>0.35387526499999988</v>
      </c>
      <c r="H30">
        <f t="shared" si="3"/>
        <v>3.5387526499999989E-4</v>
      </c>
      <c r="I30" s="11">
        <f t="shared" si="4"/>
        <v>16.903748728185224</v>
      </c>
      <c r="J30" s="2">
        <v>5296666666.666667</v>
      </c>
      <c r="K30" s="2">
        <f t="shared" si="5"/>
        <v>6.6810937382001233E-14</v>
      </c>
      <c r="L30">
        <f t="shared" si="1"/>
        <v>-13.175152434892389</v>
      </c>
    </row>
    <row r="31" spans="1:12" x14ac:dyDescent="0.2">
      <c r="A31" t="s">
        <v>52</v>
      </c>
      <c r="B31" t="s">
        <v>53</v>
      </c>
      <c r="C31">
        <v>0</v>
      </c>
      <c r="D31">
        <v>1.6633749449999999</v>
      </c>
      <c r="E31">
        <v>1.620224391</v>
      </c>
      <c r="F31" s="14">
        <f t="shared" si="0"/>
        <v>1.6633749449999999</v>
      </c>
      <c r="G31">
        <f t="shared" si="2"/>
        <v>4.3150553999999897E-2</v>
      </c>
      <c r="H31">
        <f t="shared" si="3"/>
        <v>4.3150553999999899E-5</v>
      </c>
      <c r="I31" s="11">
        <f t="shared" si="4"/>
        <v>2.5941567852580527</v>
      </c>
      <c r="J31" s="2">
        <v>450017776.66666669</v>
      </c>
      <c r="K31" s="2">
        <f t="shared" si="5"/>
        <v>9.5886332134745886E-14</v>
      </c>
      <c r="L31">
        <f t="shared" si="1"/>
        <v>-13.018243293783415</v>
      </c>
    </row>
    <row r="32" spans="1:12" x14ac:dyDescent="0.2">
      <c r="A32" t="s">
        <v>56</v>
      </c>
      <c r="B32" t="s">
        <v>57</v>
      </c>
      <c r="C32">
        <v>24</v>
      </c>
      <c r="D32">
        <v>1.6206486010000001</v>
      </c>
      <c r="E32">
        <v>1.670230165</v>
      </c>
      <c r="F32" s="14">
        <f t="shared" si="0"/>
        <v>1.6206486010000001</v>
      </c>
      <c r="G32">
        <f t="shared" si="2"/>
        <v>-4.9581563999999911E-2</v>
      </c>
      <c r="H32">
        <f t="shared" si="3"/>
        <v>-4.9581563999999913E-5</v>
      </c>
      <c r="I32" s="11">
        <f t="shared" si="4"/>
        <v>-3.0593654891878632</v>
      </c>
      <c r="J32" s="2">
        <v>3266666666.6666665</v>
      </c>
      <c r="K32" s="2">
        <f t="shared" si="5"/>
        <v>-1.5178029795918342E-14</v>
      </c>
      <c r="L32" t="e">
        <f t="shared" si="1"/>
        <v>#NUM!</v>
      </c>
    </row>
    <row r="33" spans="1:12" x14ac:dyDescent="0.2">
      <c r="A33" t="s">
        <v>60</v>
      </c>
      <c r="B33" t="s">
        <v>61</v>
      </c>
      <c r="C33">
        <v>72</v>
      </c>
      <c r="D33">
        <v>1.762962283</v>
      </c>
      <c r="E33">
        <v>1.717232538</v>
      </c>
      <c r="F33" s="14">
        <f t="shared" si="0"/>
        <v>1.762962283</v>
      </c>
      <c r="G33">
        <f t="shared" si="2"/>
        <v>4.5729745000000044E-2</v>
      </c>
      <c r="H33">
        <f t="shared" si="3"/>
        <v>4.5729745000000041E-5</v>
      </c>
      <c r="I33" s="11">
        <f t="shared" si="4"/>
        <v>2.5939151075984785</v>
      </c>
      <c r="J33" s="2">
        <v>5616666666.666667</v>
      </c>
      <c r="K33" s="2">
        <f t="shared" si="5"/>
        <v>8.1417943620178109E-15</v>
      </c>
      <c r="L33">
        <f t="shared" si="1"/>
        <v>-14.089279870830207</v>
      </c>
    </row>
    <row r="34" spans="1:12" x14ac:dyDescent="0.2">
      <c r="A34" t="s">
        <v>64</v>
      </c>
      <c r="B34" t="s">
        <v>65</v>
      </c>
      <c r="C34">
        <v>168</v>
      </c>
      <c r="D34">
        <v>1.9371934609999999</v>
      </c>
      <c r="E34">
        <v>1.7925381439999999</v>
      </c>
      <c r="F34" s="14">
        <f t="shared" si="0"/>
        <v>1.9371934609999999</v>
      </c>
      <c r="G34">
        <f t="shared" si="2"/>
        <v>0.14465531700000001</v>
      </c>
      <c r="H34">
        <f t="shared" si="3"/>
        <v>1.44655317E-4</v>
      </c>
      <c r="I34" s="11">
        <f t="shared" si="4"/>
        <v>7.4672623004481649</v>
      </c>
      <c r="J34" s="2">
        <v>4013333333.3333335</v>
      </c>
      <c r="K34" s="2">
        <f t="shared" si="5"/>
        <v>3.6043683637873751E-14</v>
      </c>
      <c r="L34">
        <f t="shared" si="1"/>
        <v>-13.443170830849169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347A-EA31-0C41-98CC-353581DEFEFB}">
  <dimension ref="A1:N89"/>
  <sheetViews>
    <sheetView tabSelected="1" zoomScale="86" workbookViewId="0">
      <selection activeCell="N2" activeCellId="2" sqref="L2 M2 N2"/>
    </sheetView>
  </sheetViews>
  <sheetFormatPr baseColWidth="10" defaultRowHeight="16" x14ac:dyDescent="0.2"/>
  <cols>
    <col min="1" max="1" width="13" bestFit="1" customWidth="1"/>
    <col min="2" max="2" width="39" bestFit="1" customWidth="1"/>
    <col min="3" max="3" width="12.83203125" bestFit="1" customWidth="1"/>
    <col min="4" max="4" width="16.33203125" bestFit="1" customWidth="1"/>
    <col min="5" max="5" width="12.1640625" bestFit="1" customWidth="1"/>
    <col min="6" max="6" width="17.33203125" bestFit="1" customWidth="1"/>
    <col min="7" max="7" width="14.6640625" bestFit="1" customWidth="1"/>
    <col min="9" max="9" width="11.6640625" bestFit="1" customWidth="1"/>
  </cols>
  <sheetData>
    <row r="1" spans="1:14" x14ac:dyDescent="0.2">
      <c r="A1" s="1" t="s">
        <v>0</v>
      </c>
      <c r="B1" s="1" t="s">
        <v>66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3" t="s">
        <v>73</v>
      </c>
      <c r="I1" s="1" t="s">
        <v>74</v>
      </c>
      <c r="K1" s="1" t="s">
        <v>85</v>
      </c>
    </row>
    <row r="2" spans="1:14" x14ac:dyDescent="0.2">
      <c r="A2" s="17" t="s">
        <v>4</v>
      </c>
      <c r="B2" t="s">
        <v>5</v>
      </c>
      <c r="C2">
        <v>9.1</v>
      </c>
      <c r="D2">
        <v>1</v>
      </c>
      <c r="E2">
        <v>202</v>
      </c>
      <c r="F2">
        <v>0.1</v>
      </c>
      <c r="G2" s="2">
        <v>100000</v>
      </c>
      <c r="H2" s="2">
        <f>(E2*G2)/F2</f>
        <v>202000000</v>
      </c>
      <c r="I2" s="2">
        <f>AVERAGE(H2:H4)</f>
        <v>208666666.66666666</v>
      </c>
      <c r="K2" s="19" t="s">
        <v>86</v>
      </c>
      <c r="L2" s="17"/>
      <c r="M2" s="17"/>
      <c r="N2" s="17"/>
    </row>
    <row r="3" spans="1:14" x14ac:dyDescent="0.2">
      <c r="A3" s="17" t="s">
        <v>4</v>
      </c>
      <c r="B3" t="s">
        <v>5</v>
      </c>
      <c r="C3">
        <v>9.1</v>
      </c>
      <c r="D3">
        <v>2</v>
      </c>
      <c r="E3">
        <v>211</v>
      </c>
      <c r="F3">
        <v>0.1</v>
      </c>
      <c r="G3" s="2">
        <v>100000</v>
      </c>
      <c r="H3" s="2">
        <f t="shared" ref="H3:H34" si="0">(E3*G3)/F3</f>
        <v>211000000</v>
      </c>
    </row>
    <row r="4" spans="1:14" x14ac:dyDescent="0.2">
      <c r="A4" s="17" t="s">
        <v>4</v>
      </c>
      <c r="B4" t="s">
        <v>5</v>
      </c>
      <c r="C4">
        <v>9.1</v>
      </c>
      <c r="D4">
        <v>3</v>
      </c>
      <c r="E4">
        <v>213</v>
      </c>
      <c r="F4">
        <v>0.1</v>
      </c>
      <c r="G4" s="2">
        <v>100000</v>
      </c>
      <c r="H4" s="2">
        <f t="shared" si="0"/>
        <v>213000000</v>
      </c>
    </row>
    <row r="5" spans="1:14" x14ac:dyDescent="0.2">
      <c r="A5" s="17" t="s">
        <v>6</v>
      </c>
      <c r="B5" t="s">
        <v>7</v>
      </c>
      <c r="C5">
        <v>10.1</v>
      </c>
      <c r="D5">
        <v>1</v>
      </c>
      <c r="E5">
        <v>349</v>
      </c>
      <c r="F5">
        <v>0.1</v>
      </c>
      <c r="G5" s="2">
        <v>100000</v>
      </c>
      <c r="H5" s="2">
        <f t="shared" si="0"/>
        <v>349000000</v>
      </c>
      <c r="I5" s="2">
        <f>AVERAGE(H5:H7)</f>
        <v>254000000</v>
      </c>
    </row>
    <row r="6" spans="1:14" x14ac:dyDescent="0.2">
      <c r="A6" s="17" t="s">
        <v>6</v>
      </c>
      <c r="B6" t="s">
        <v>7</v>
      </c>
      <c r="C6">
        <v>10.1</v>
      </c>
      <c r="D6">
        <v>2</v>
      </c>
      <c r="E6">
        <v>207</v>
      </c>
      <c r="F6">
        <v>0.1</v>
      </c>
      <c r="G6" s="2">
        <v>100000</v>
      </c>
      <c r="H6" s="2">
        <f t="shared" si="0"/>
        <v>207000000</v>
      </c>
    </row>
    <row r="7" spans="1:14" x14ac:dyDescent="0.2">
      <c r="A7" s="17" t="s">
        <v>6</v>
      </c>
      <c r="B7" t="s">
        <v>7</v>
      </c>
      <c r="C7">
        <v>10.1</v>
      </c>
      <c r="D7">
        <v>3</v>
      </c>
      <c r="E7">
        <v>206</v>
      </c>
      <c r="F7">
        <v>0.1</v>
      </c>
      <c r="G7" s="2">
        <v>100000</v>
      </c>
      <c r="H7" s="2">
        <f t="shared" si="0"/>
        <v>206000000</v>
      </c>
    </row>
    <row r="8" spans="1:14" x14ac:dyDescent="0.2">
      <c r="A8" s="17" t="s">
        <v>14</v>
      </c>
      <c r="B8" t="s">
        <v>15</v>
      </c>
      <c r="C8">
        <v>9.1</v>
      </c>
      <c r="D8">
        <v>1</v>
      </c>
      <c r="E8">
        <v>98</v>
      </c>
      <c r="F8">
        <v>0.1</v>
      </c>
      <c r="G8" s="2">
        <v>1000000</v>
      </c>
      <c r="H8" s="2">
        <f t="shared" si="0"/>
        <v>980000000</v>
      </c>
      <c r="I8" s="2">
        <f>AVERAGE(H8:H10)</f>
        <v>1006666666.6666666</v>
      </c>
    </row>
    <row r="9" spans="1:14" x14ac:dyDescent="0.2">
      <c r="A9" s="17" t="s">
        <v>14</v>
      </c>
      <c r="B9" t="s">
        <v>15</v>
      </c>
      <c r="C9">
        <v>9.1</v>
      </c>
      <c r="D9">
        <v>2</v>
      </c>
      <c r="E9">
        <v>109</v>
      </c>
      <c r="F9">
        <v>0.1</v>
      </c>
      <c r="G9" s="2">
        <v>1000000</v>
      </c>
      <c r="H9" s="2">
        <f t="shared" si="0"/>
        <v>1090000000</v>
      </c>
    </row>
    <row r="10" spans="1:14" x14ac:dyDescent="0.2">
      <c r="A10" s="17" t="s">
        <v>14</v>
      </c>
      <c r="B10" t="s">
        <v>15</v>
      </c>
      <c r="C10">
        <v>9.1</v>
      </c>
      <c r="D10">
        <v>3</v>
      </c>
      <c r="E10">
        <v>95</v>
      </c>
      <c r="F10">
        <v>0.1</v>
      </c>
      <c r="G10" s="2">
        <v>1000000</v>
      </c>
      <c r="H10" s="2">
        <f t="shared" si="0"/>
        <v>950000000</v>
      </c>
    </row>
    <row r="11" spans="1:14" x14ac:dyDescent="0.2">
      <c r="A11" s="17" t="s">
        <v>16</v>
      </c>
      <c r="B11" t="s">
        <v>17</v>
      </c>
      <c r="C11">
        <v>10.1</v>
      </c>
      <c r="D11">
        <v>1</v>
      </c>
      <c r="E11">
        <v>79</v>
      </c>
      <c r="F11">
        <v>0.1</v>
      </c>
      <c r="G11" s="2">
        <v>1000000</v>
      </c>
      <c r="H11" s="2">
        <f t="shared" si="0"/>
        <v>790000000</v>
      </c>
      <c r="I11" s="2">
        <f>AVERAGE(H11:H13)</f>
        <v>650000000</v>
      </c>
    </row>
    <row r="12" spans="1:14" x14ac:dyDescent="0.2">
      <c r="A12" s="17" t="s">
        <v>16</v>
      </c>
      <c r="B12" t="s">
        <v>17</v>
      </c>
      <c r="C12">
        <v>10.1</v>
      </c>
      <c r="D12">
        <v>2</v>
      </c>
      <c r="E12">
        <v>67</v>
      </c>
      <c r="F12">
        <v>0.1</v>
      </c>
      <c r="G12" s="2">
        <v>1000000</v>
      </c>
      <c r="H12" s="2">
        <f t="shared" si="0"/>
        <v>670000000</v>
      </c>
    </row>
    <row r="13" spans="1:14" x14ac:dyDescent="0.2">
      <c r="A13" s="17" t="s">
        <v>16</v>
      </c>
      <c r="B13" t="s">
        <v>17</v>
      </c>
      <c r="C13">
        <v>10.1</v>
      </c>
      <c r="D13">
        <v>3</v>
      </c>
      <c r="E13">
        <v>49</v>
      </c>
      <c r="F13">
        <v>0.1</v>
      </c>
      <c r="G13" s="2">
        <v>1000000</v>
      </c>
      <c r="H13" s="2">
        <f t="shared" si="0"/>
        <v>490000000</v>
      </c>
    </row>
    <row r="14" spans="1:14" x14ac:dyDescent="0.2">
      <c r="A14" s="17" t="s">
        <v>24</v>
      </c>
      <c r="B14" t="s">
        <v>25</v>
      </c>
      <c r="C14">
        <v>9.1</v>
      </c>
      <c r="D14">
        <v>1</v>
      </c>
      <c r="E14">
        <v>5</v>
      </c>
      <c r="F14">
        <v>0.1</v>
      </c>
      <c r="G14" s="2">
        <v>10000000</v>
      </c>
      <c r="H14" s="2">
        <f t="shared" si="0"/>
        <v>500000000</v>
      </c>
      <c r="I14" s="2">
        <f>AVERAGE(H14:H16)</f>
        <v>333333333.33333331</v>
      </c>
    </row>
    <row r="15" spans="1:14" x14ac:dyDescent="0.2">
      <c r="A15" s="17" t="s">
        <v>24</v>
      </c>
      <c r="B15" t="s">
        <v>25</v>
      </c>
      <c r="C15">
        <v>9.1</v>
      </c>
      <c r="D15">
        <v>2</v>
      </c>
      <c r="E15">
        <v>1</v>
      </c>
      <c r="F15">
        <v>0.1</v>
      </c>
      <c r="G15" s="2">
        <v>10000000</v>
      </c>
      <c r="H15" s="2">
        <f t="shared" si="0"/>
        <v>100000000</v>
      </c>
    </row>
    <row r="16" spans="1:14" x14ac:dyDescent="0.2">
      <c r="A16" s="17" t="s">
        <v>24</v>
      </c>
      <c r="B16" t="s">
        <v>25</v>
      </c>
      <c r="C16">
        <v>9.1</v>
      </c>
      <c r="D16">
        <v>3</v>
      </c>
      <c r="E16">
        <v>4</v>
      </c>
      <c r="F16">
        <v>0.1</v>
      </c>
      <c r="G16" s="2">
        <v>10000000</v>
      </c>
      <c r="H16" s="2">
        <f t="shared" si="0"/>
        <v>400000000</v>
      </c>
    </row>
    <row r="17" spans="1:9" x14ac:dyDescent="0.2">
      <c r="A17" s="17" t="s">
        <v>26</v>
      </c>
      <c r="B17" t="s">
        <v>27</v>
      </c>
      <c r="C17">
        <v>10.1</v>
      </c>
      <c r="D17">
        <v>1</v>
      </c>
      <c r="E17">
        <v>1</v>
      </c>
      <c r="F17">
        <v>0.1</v>
      </c>
      <c r="G17" s="2">
        <v>10000000</v>
      </c>
      <c r="H17" s="2">
        <f t="shared" si="0"/>
        <v>100000000</v>
      </c>
      <c r="I17" s="2">
        <f>AVERAGE(H17:H19)</f>
        <v>200000000</v>
      </c>
    </row>
    <row r="18" spans="1:9" x14ac:dyDescent="0.2">
      <c r="A18" s="17" t="s">
        <v>26</v>
      </c>
      <c r="B18" t="s">
        <v>27</v>
      </c>
      <c r="C18">
        <v>10.1</v>
      </c>
      <c r="D18">
        <v>2</v>
      </c>
      <c r="E18">
        <v>4</v>
      </c>
      <c r="F18">
        <v>0.1</v>
      </c>
      <c r="G18" s="2">
        <v>10000000</v>
      </c>
      <c r="H18" s="2">
        <f t="shared" si="0"/>
        <v>400000000</v>
      </c>
    </row>
    <row r="19" spans="1:9" x14ac:dyDescent="0.2">
      <c r="A19" s="17" t="s">
        <v>26</v>
      </c>
      <c r="B19" t="s">
        <v>27</v>
      </c>
      <c r="C19">
        <v>10.1</v>
      </c>
      <c r="D19">
        <v>3</v>
      </c>
      <c r="E19">
        <v>1</v>
      </c>
      <c r="F19">
        <v>0.1</v>
      </c>
      <c r="G19" s="2">
        <v>10000000</v>
      </c>
      <c r="H19" s="2">
        <f t="shared" si="0"/>
        <v>100000000</v>
      </c>
    </row>
    <row r="20" spans="1:9" x14ac:dyDescent="0.2">
      <c r="A20" s="17" t="s">
        <v>34</v>
      </c>
      <c r="B20" t="s">
        <v>35</v>
      </c>
      <c r="C20">
        <v>9.1</v>
      </c>
      <c r="D20">
        <v>1</v>
      </c>
      <c r="E20">
        <v>1</v>
      </c>
      <c r="F20">
        <v>0.1</v>
      </c>
      <c r="G20" s="2">
        <v>1000000</v>
      </c>
      <c r="H20" s="2">
        <f t="shared" si="0"/>
        <v>10000000</v>
      </c>
      <c r="I20" s="2">
        <f>AVERAGE(H20)</f>
        <v>10000000</v>
      </c>
    </row>
    <row r="21" spans="1:9" x14ac:dyDescent="0.2">
      <c r="A21" s="17" t="s">
        <v>36</v>
      </c>
      <c r="B21" t="s">
        <v>37</v>
      </c>
      <c r="C21">
        <v>10.1</v>
      </c>
      <c r="D21">
        <v>1</v>
      </c>
      <c r="E21">
        <v>1</v>
      </c>
      <c r="F21">
        <v>0.1</v>
      </c>
      <c r="G21" s="2">
        <v>1000000</v>
      </c>
      <c r="H21" s="2">
        <f t="shared" si="0"/>
        <v>10000000</v>
      </c>
      <c r="I21" s="2">
        <f>AVERAGE(H21)</f>
        <v>10000000</v>
      </c>
    </row>
    <row r="22" spans="1:9" x14ac:dyDescent="0.2">
      <c r="A22" t="s">
        <v>8</v>
      </c>
      <c r="B22" t="s">
        <v>9</v>
      </c>
      <c r="C22">
        <v>11.1</v>
      </c>
      <c r="D22">
        <v>1</v>
      </c>
      <c r="E22">
        <v>110</v>
      </c>
      <c r="F22">
        <v>0.1</v>
      </c>
      <c r="G22" s="2">
        <v>100000</v>
      </c>
      <c r="H22" s="2">
        <f t="shared" si="0"/>
        <v>110000000</v>
      </c>
      <c r="I22" s="2">
        <f>AVERAGE(H22:H24)</f>
        <v>123666666.66666667</v>
      </c>
    </row>
    <row r="23" spans="1:9" x14ac:dyDescent="0.2">
      <c r="A23" t="s">
        <v>8</v>
      </c>
      <c r="B23" t="s">
        <v>9</v>
      </c>
      <c r="C23">
        <v>11.1</v>
      </c>
      <c r="D23">
        <v>2</v>
      </c>
      <c r="E23">
        <v>137</v>
      </c>
      <c r="F23">
        <v>0.1</v>
      </c>
      <c r="G23" s="2">
        <v>100000</v>
      </c>
      <c r="H23" s="2">
        <f t="shared" si="0"/>
        <v>137000000</v>
      </c>
      <c r="I23" s="2"/>
    </row>
    <row r="24" spans="1:9" x14ac:dyDescent="0.2">
      <c r="A24" t="s">
        <v>8</v>
      </c>
      <c r="B24" t="s">
        <v>9</v>
      </c>
      <c r="C24">
        <v>11.1</v>
      </c>
      <c r="D24">
        <v>3</v>
      </c>
      <c r="E24">
        <v>124</v>
      </c>
      <c r="F24">
        <v>0.1</v>
      </c>
      <c r="G24" s="2">
        <v>100000</v>
      </c>
      <c r="H24" s="2">
        <f t="shared" si="0"/>
        <v>124000000</v>
      </c>
    </row>
    <row r="25" spans="1:9" x14ac:dyDescent="0.2">
      <c r="A25" t="s">
        <v>10</v>
      </c>
      <c r="B25" t="s">
        <v>11</v>
      </c>
      <c r="C25">
        <v>12.1</v>
      </c>
      <c r="D25">
        <v>1</v>
      </c>
      <c r="E25">
        <v>171</v>
      </c>
      <c r="F25">
        <v>0.1</v>
      </c>
      <c r="G25" s="2">
        <v>100000</v>
      </c>
      <c r="H25" s="2">
        <f t="shared" si="0"/>
        <v>171000000</v>
      </c>
      <c r="I25" s="2">
        <f>AVERAGE(H25:H27)</f>
        <v>175333333.33333334</v>
      </c>
    </row>
    <row r="26" spans="1:9" x14ac:dyDescent="0.2">
      <c r="A26" t="s">
        <v>10</v>
      </c>
      <c r="B26" t="s">
        <v>11</v>
      </c>
      <c r="C26">
        <v>12.1</v>
      </c>
      <c r="D26">
        <v>2</v>
      </c>
      <c r="E26">
        <v>153</v>
      </c>
      <c r="F26">
        <v>0.1</v>
      </c>
      <c r="G26" s="2">
        <v>100000</v>
      </c>
      <c r="H26" s="2">
        <f t="shared" si="0"/>
        <v>153000000</v>
      </c>
      <c r="I26" s="2"/>
    </row>
    <row r="27" spans="1:9" x14ac:dyDescent="0.2">
      <c r="A27" t="s">
        <v>10</v>
      </c>
      <c r="B27" t="s">
        <v>11</v>
      </c>
      <c r="C27">
        <v>12.1</v>
      </c>
      <c r="D27">
        <v>3</v>
      </c>
      <c r="E27">
        <v>202</v>
      </c>
      <c r="F27">
        <v>0.1</v>
      </c>
      <c r="G27" s="2">
        <v>100000</v>
      </c>
      <c r="H27" s="2">
        <f t="shared" si="0"/>
        <v>202000000</v>
      </c>
    </row>
    <row r="28" spans="1:9" x14ac:dyDescent="0.2">
      <c r="A28" t="s">
        <v>18</v>
      </c>
      <c r="B28" t="s">
        <v>19</v>
      </c>
      <c r="C28">
        <v>11.1</v>
      </c>
      <c r="D28">
        <v>1</v>
      </c>
      <c r="E28">
        <v>503</v>
      </c>
      <c r="F28">
        <v>0.1</v>
      </c>
      <c r="G28" s="2">
        <v>1000000</v>
      </c>
      <c r="H28" s="2">
        <f t="shared" si="0"/>
        <v>5030000000</v>
      </c>
      <c r="I28" s="2">
        <f>AVERAGE(H28:H30)</f>
        <v>5136666666.666667</v>
      </c>
    </row>
    <row r="29" spans="1:9" x14ac:dyDescent="0.2">
      <c r="A29" t="s">
        <v>18</v>
      </c>
      <c r="B29" t="s">
        <v>19</v>
      </c>
      <c r="C29">
        <v>11.1</v>
      </c>
      <c r="D29">
        <v>2</v>
      </c>
      <c r="E29">
        <v>501</v>
      </c>
      <c r="F29">
        <v>0.1</v>
      </c>
      <c r="G29" s="2">
        <v>1000000</v>
      </c>
      <c r="H29" s="2">
        <f t="shared" si="0"/>
        <v>5010000000</v>
      </c>
      <c r="I29" s="2"/>
    </row>
    <row r="30" spans="1:9" x14ac:dyDescent="0.2">
      <c r="A30" t="s">
        <v>18</v>
      </c>
      <c r="B30" t="s">
        <v>19</v>
      </c>
      <c r="C30">
        <v>11.1</v>
      </c>
      <c r="D30">
        <v>3</v>
      </c>
      <c r="E30">
        <v>537</v>
      </c>
      <c r="F30">
        <v>0.1</v>
      </c>
      <c r="G30" s="2">
        <v>1000000</v>
      </c>
      <c r="H30" s="2">
        <f t="shared" si="0"/>
        <v>5370000000</v>
      </c>
    </row>
    <row r="31" spans="1:9" x14ac:dyDescent="0.2">
      <c r="A31" t="s">
        <v>20</v>
      </c>
      <c r="B31" t="s">
        <v>21</v>
      </c>
      <c r="C31">
        <v>12.1</v>
      </c>
      <c r="D31">
        <v>1</v>
      </c>
      <c r="E31">
        <v>475</v>
      </c>
      <c r="F31">
        <v>0.1</v>
      </c>
      <c r="G31" s="2">
        <v>1000000</v>
      </c>
      <c r="H31" s="2">
        <f t="shared" si="0"/>
        <v>4750000000</v>
      </c>
      <c r="I31" s="2">
        <f>AVERAGE(H31:H33)</f>
        <v>4333333333.333333</v>
      </c>
    </row>
    <row r="32" spans="1:9" x14ac:dyDescent="0.2">
      <c r="A32" t="s">
        <v>20</v>
      </c>
      <c r="B32" t="s">
        <v>21</v>
      </c>
      <c r="C32">
        <v>12.1</v>
      </c>
      <c r="D32">
        <v>2</v>
      </c>
      <c r="E32">
        <v>378</v>
      </c>
      <c r="F32">
        <v>0.1</v>
      </c>
      <c r="G32" s="2">
        <v>1000000</v>
      </c>
      <c r="H32" s="2">
        <f t="shared" si="0"/>
        <v>3780000000</v>
      </c>
      <c r="I32" s="2"/>
    </row>
    <row r="33" spans="1:9" x14ac:dyDescent="0.2">
      <c r="A33" t="s">
        <v>20</v>
      </c>
      <c r="B33" t="s">
        <v>21</v>
      </c>
      <c r="C33">
        <v>12.1</v>
      </c>
      <c r="D33">
        <v>3</v>
      </c>
      <c r="E33">
        <v>447</v>
      </c>
      <c r="F33">
        <v>0.1</v>
      </c>
      <c r="G33" s="2">
        <v>1000000</v>
      </c>
      <c r="H33" s="2">
        <f t="shared" si="0"/>
        <v>4470000000</v>
      </c>
      <c r="I33" s="2"/>
    </row>
    <row r="34" spans="1:9" x14ac:dyDescent="0.2">
      <c r="A34" t="s">
        <v>28</v>
      </c>
      <c r="B34" t="s">
        <v>29</v>
      </c>
      <c r="C34">
        <v>11.1</v>
      </c>
      <c r="D34">
        <v>1</v>
      </c>
      <c r="E34">
        <v>41</v>
      </c>
      <c r="F34">
        <v>0.1</v>
      </c>
      <c r="G34" s="2">
        <v>10000000</v>
      </c>
      <c r="H34" s="2">
        <f t="shared" si="0"/>
        <v>4100000000</v>
      </c>
      <c r="I34" s="2">
        <f>AVERAGE(H34:H36)</f>
        <v>4600000000</v>
      </c>
    </row>
    <row r="35" spans="1:9" x14ac:dyDescent="0.2">
      <c r="A35" t="s">
        <v>28</v>
      </c>
      <c r="B35" t="s">
        <v>29</v>
      </c>
      <c r="C35">
        <v>11.1</v>
      </c>
      <c r="D35">
        <v>2</v>
      </c>
      <c r="E35">
        <v>47</v>
      </c>
      <c r="F35">
        <v>0.1</v>
      </c>
      <c r="G35" s="2">
        <v>10000000</v>
      </c>
      <c r="H35" s="2">
        <f t="shared" ref="H35:H41" si="1">(E35*G35)/F35</f>
        <v>4700000000</v>
      </c>
      <c r="I35" s="2"/>
    </row>
    <row r="36" spans="1:9" x14ac:dyDescent="0.2">
      <c r="A36" t="s">
        <v>28</v>
      </c>
      <c r="B36" t="s">
        <v>29</v>
      </c>
      <c r="C36">
        <v>11.1</v>
      </c>
      <c r="D36">
        <v>3</v>
      </c>
      <c r="E36">
        <v>50</v>
      </c>
      <c r="F36">
        <v>0.1</v>
      </c>
      <c r="G36" s="2">
        <v>10000000</v>
      </c>
      <c r="H36" s="2">
        <f t="shared" si="1"/>
        <v>5000000000</v>
      </c>
    </row>
    <row r="37" spans="1:9" x14ac:dyDescent="0.2">
      <c r="A37" t="s">
        <v>30</v>
      </c>
      <c r="B37" t="s">
        <v>31</v>
      </c>
      <c r="C37">
        <v>12.1</v>
      </c>
      <c r="D37">
        <v>1</v>
      </c>
      <c r="E37">
        <v>39</v>
      </c>
      <c r="F37">
        <v>0.1</v>
      </c>
      <c r="G37" s="2">
        <v>10000000</v>
      </c>
      <c r="H37" s="2">
        <f t="shared" si="1"/>
        <v>3900000000</v>
      </c>
      <c r="I37" s="2">
        <f>AVERAGE(H37:H39)</f>
        <v>3666666666.6666665</v>
      </c>
    </row>
    <row r="38" spans="1:9" x14ac:dyDescent="0.2">
      <c r="A38" t="s">
        <v>30</v>
      </c>
      <c r="B38" t="s">
        <v>31</v>
      </c>
      <c r="C38">
        <v>12.1</v>
      </c>
      <c r="D38">
        <v>2</v>
      </c>
      <c r="E38">
        <v>40</v>
      </c>
      <c r="F38">
        <v>0.1</v>
      </c>
      <c r="G38" s="2">
        <v>10000000</v>
      </c>
      <c r="H38" s="2">
        <f t="shared" si="1"/>
        <v>4000000000</v>
      </c>
    </row>
    <row r="39" spans="1:9" x14ac:dyDescent="0.2">
      <c r="A39" t="s">
        <v>30</v>
      </c>
      <c r="B39" t="s">
        <v>31</v>
      </c>
      <c r="C39">
        <v>12.1</v>
      </c>
      <c r="D39">
        <v>3</v>
      </c>
      <c r="E39">
        <v>31</v>
      </c>
      <c r="F39">
        <v>0.1</v>
      </c>
      <c r="G39" s="2">
        <v>10000000</v>
      </c>
      <c r="H39" s="2">
        <f t="shared" si="1"/>
        <v>3100000000</v>
      </c>
    </row>
    <row r="40" spans="1:9" x14ac:dyDescent="0.2">
      <c r="A40" t="s">
        <v>38</v>
      </c>
      <c r="B40" t="s">
        <v>39</v>
      </c>
      <c r="C40">
        <v>11.1</v>
      </c>
      <c r="D40">
        <v>1</v>
      </c>
      <c r="E40">
        <v>52</v>
      </c>
      <c r="F40">
        <v>0.1</v>
      </c>
      <c r="G40" s="2">
        <v>10000000</v>
      </c>
      <c r="H40" s="2">
        <f t="shared" si="1"/>
        <v>5200000000</v>
      </c>
      <c r="I40" s="2">
        <f>AVERAGE(H40)</f>
        <v>5200000000</v>
      </c>
    </row>
    <row r="41" spans="1:9" x14ac:dyDescent="0.2">
      <c r="A41" t="s">
        <v>40</v>
      </c>
      <c r="B41" t="s">
        <v>41</v>
      </c>
      <c r="C41">
        <v>12.1</v>
      </c>
      <c r="D41">
        <v>1</v>
      </c>
      <c r="E41">
        <v>51</v>
      </c>
      <c r="F41">
        <v>0.1</v>
      </c>
      <c r="G41" s="2">
        <v>10000000</v>
      </c>
      <c r="H41" s="2">
        <f t="shared" si="1"/>
        <v>5100000000</v>
      </c>
      <c r="I41" s="2">
        <f>AVERAGE(H41)</f>
        <v>5100000000</v>
      </c>
    </row>
    <row r="42" spans="1:9" x14ac:dyDescent="0.2">
      <c r="A42" s="17" t="s">
        <v>2</v>
      </c>
      <c r="B42" s="22" t="s">
        <v>42</v>
      </c>
      <c r="C42" s="22">
        <v>5.0999999999999996</v>
      </c>
      <c r="D42" s="22">
        <v>1</v>
      </c>
      <c r="E42" s="22">
        <v>358</v>
      </c>
      <c r="F42" s="22">
        <v>0.1</v>
      </c>
      <c r="G42" s="23">
        <v>100000</v>
      </c>
      <c r="H42" s="23">
        <v>358000000</v>
      </c>
      <c r="I42" s="23">
        <v>335003260</v>
      </c>
    </row>
    <row r="43" spans="1:9" x14ac:dyDescent="0.2">
      <c r="A43" s="17" t="s">
        <v>2</v>
      </c>
      <c r="B43" s="22" t="s">
        <v>42</v>
      </c>
      <c r="C43" s="22">
        <v>5.0999999999999996</v>
      </c>
      <c r="D43" s="22">
        <v>2</v>
      </c>
      <c r="E43" s="22">
        <v>316</v>
      </c>
      <c r="F43" s="22">
        <v>0.1</v>
      </c>
      <c r="G43" s="23">
        <v>100001</v>
      </c>
      <c r="H43" s="23">
        <v>316003160</v>
      </c>
      <c r="I43" s="22"/>
    </row>
    <row r="44" spans="1:9" x14ac:dyDescent="0.2">
      <c r="A44" s="17" t="s">
        <v>2</v>
      </c>
      <c r="B44" s="22" t="s">
        <v>42</v>
      </c>
      <c r="C44" s="22">
        <v>5.0999999999999996</v>
      </c>
      <c r="D44" s="22">
        <v>3</v>
      </c>
      <c r="E44" s="22">
        <v>331</v>
      </c>
      <c r="F44" s="22">
        <v>0.1</v>
      </c>
      <c r="G44" s="23">
        <v>100002</v>
      </c>
      <c r="H44" s="23">
        <v>331006620</v>
      </c>
      <c r="I44" s="22"/>
    </row>
    <row r="45" spans="1:9" x14ac:dyDescent="0.2">
      <c r="A45" s="17" t="s">
        <v>12</v>
      </c>
      <c r="B45" s="22" t="s">
        <v>44</v>
      </c>
      <c r="C45" s="22">
        <v>5.0999999999999996</v>
      </c>
      <c r="D45" s="22">
        <v>1</v>
      </c>
      <c r="E45" s="22">
        <v>72</v>
      </c>
      <c r="F45" s="22">
        <v>0.1</v>
      </c>
      <c r="G45" s="23">
        <v>1000000</v>
      </c>
      <c r="H45" s="23">
        <v>720000000</v>
      </c>
      <c r="I45" s="23">
        <v>640000000</v>
      </c>
    </row>
    <row r="46" spans="1:9" x14ac:dyDescent="0.2">
      <c r="A46" s="17" t="s">
        <v>12</v>
      </c>
      <c r="B46" s="22" t="s">
        <v>44</v>
      </c>
      <c r="C46" s="22">
        <v>5.0999999999999996</v>
      </c>
      <c r="D46" s="22">
        <v>2</v>
      </c>
      <c r="E46" s="22">
        <v>62</v>
      </c>
      <c r="F46" s="22">
        <v>0.1</v>
      </c>
      <c r="G46" s="23">
        <v>1000000</v>
      </c>
      <c r="H46" s="23">
        <v>620000000</v>
      </c>
      <c r="I46" s="22"/>
    </row>
    <row r="47" spans="1:9" x14ac:dyDescent="0.2">
      <c r="A47" s="17" t="s">
        <v>12</v>
      </c>
      <c r="B47" s="22" t="s">
        <v>44</v>
      </c>
      <c r="C47" s="22">
        <v>5.0999999999999996</v>
      </c>
      <c r="D47" s="22">
        <v>3</v>
      </c>
      <c r="E47" s="22">
        <v>58</v>
      </c>
      <c r="F47" s="22">
        <v>0.1</v>
      </c>
      <c r="G47" s="23">
        <v>1000000</v>
      </c>
      <c r="H47" s="23">
        <v>580000000</v>
      </c>
      <c r="I47" s="22"/>
    </row>
    <row r="48" spans="1:9" x14ac:dyDescent="0.2">
      <c r="A48" s="17" t="s">
        <v>22</v>
      </c>
      <c r="B48" s="22" t="s">
        <v>46</v>
      </c>
      <c r="C48" s="22">
        <v>5.0999999999999996</v>
      </c>
      <c r="D48" s="22">
        <v>1</v>
      </c>
      <c r="E48" s="22">
        <v>5</v>
      </c>
      <c r="F48" s="22">
        <v>0.1</v>
      </c>
      <c r="G48" s="23">
        <v>1000000</v>
      </c>
      <c r="H48" s="23">
        <v>50000000</v>
      </c>
      <c r="I48" s="23">
        <v>46666666.666666664</v>
      </c>
    </row>
    <row r="49" spans="1:9" x14ac:dyDescent="0.2">
      <c r="A49" s="17" t="s">
        <v>22</v>
      </c>
      <c r="B49" s="22" t="s">
        <v>46</v>
      </c>
      <c r="C49" s="22">
        <v>5.0999999999999996</v>
      </c>
      <c r="D49" s="22">
        <v>2</v>
      </c>
      <c r="E49" s="22">
        <v>2</v>
      </c>
      <c r="F49" s="22">
        <v>0.1</v>
      </c>
      <c r="G49" s="23">
        <v>1000000</v>
      </c>
      <c r="H49" s="23">
        <v>20000000</v>
      </c>
      <c r="I49" s="22"/>
    </row>
    <row r="50" spans="1:9" x14ac:dyDescent="0.2">
      <c r="A50" s="17" t="s">
        <v>22</v>
      </c>
      <c r="B50" s="22" t="s">
        <v>46</v>
      </c>
      <c r="C50" s="22">
        <v>5.0999999999999996</v>
      </c>
      <c r="D50" s="22">
        <v>3</v>
      </c>
      <c r="E50" s="22">
        <v>7</v>
      </c>
      <c r="F50" s="22">
        <v>0.1</v>
      </c>
      <c r="G50" s="23">
        <v>1000000</v>
      </c>
      <c r="H50" s="23">
        <v>70000000</v>
      </c>
      <c r="I50" s="22"/>
    </row>
    <row r="51" spans="1:9" x14ac:dyDescent="0.2">
      <c r="A51" s="17" t="s">
        <v>32</v>
      </c>
      <c r="B51" s="22" t="s">
        <v>48</v>
      </c>
      <c r="C51" s="22">
        <v>5.0999999999999996</v>
      </c>
      <c r="D51" s="22">
        <v>1</v>
      </c>
      <c r="E51" s="22">
        <v>0</v>
      </c>
      <c r="F51" s="22">
        <v>0.1</v>
      </c>
      <c r="G51" s="23">
        <v>100000</v>
      </c>
      <c r="H51" s="23">
        <v>0</v>
      </c>
      <c r="I51" s="23">
        <v>1666666.6666666667</v>
      </c>
    </row>
    <row r="52" spans="1:9" x14ac:dyDescent="0.2">
      <c r="A52" s="17" t="s">
        <v>32</v>
      </c>
      <c r="B52" s="22" t="s">
        <v>48</v>
      </c>
      <c r="C52" s="22">
        <v>5.0999999999999996</v>
      </c>
      <c r="D52" s="22">
        <v>2</v>
      </c>
      <c r="E52" s="22">
        <v>3</v>
      </c>
      <c r="F52" s="22">
        <v>0.1</v>
      </c>
      <c r="G52" s="23">
        <v>100000</v>
      </c>
      <c r="H52" s="23">
        <v>3000000</v>
      </c>
      <c r="I52" s="22"/>
    </row>
    <row r="53" spans="1:9" x14ac:dyDescent="0.2">
      <c r="A53" s="17" t="s">
        <v>32</v>
      </c>
      <c r="B53" s="22" t="s">
        <v>48</v>
      </c>
      <c r="C53" s="22">
        <v>5.0999999999999996</v>
      </c>
      <c r="D53" s="22">
        <v>3</v>
      </c>
      <c r="E53" s="22">
        <v>2</v>
      </c>
      <c r="F53" s="22">
        <v>0.1</v>
      </c>
      <c r="G53" s="23">
        <v>100000</v>
      </c>
      <c r="H53" s="23">
        <v>2000000</v>
      </c>
      <c r="I53" s="22"/>
    </row>
    <row r="54" spans="1:9" x14ac:dyDescent="0.2">
      <c r="A54" s="17" t="s">
        <v>50</v>
      </c>
      <c r="B54" s="22" t="s">
        <v>51</v>
      </c>
      <c r="C54" s="22">
        <v>5.3</v>
      </c>
      <c r="D54" s="22">
        <v>1</v>
      </c>
      <c r="E54" s="22">
        <v>506</v>
      </c>
      <c r="F54" s="22">
        <v>0.1</v>
      </c>
      <c r="G54" s="23">
        <v>100000</v>
      </c>
      <c r="H54" s="23">
        <v>506000000</v>
      </c>
      <c r="I54" s="23">
        <v>476337720</v>
      </c>
    </row>
    <row r="55" spans="1:9" x14ac:dyDescent="0.2">
      <c r="A55" s="17" t="s">
        <v>50</v>
      </c>
      <c r="B55" s="22" t="s">
        <v>51</v>
      </c>
      <c r="C55" s="22">
        <v>5.3</v>
      </c>
      <c r="D55" s="22">
        <v>2</v>
      </c>
      <c r="E55" s="22">
        <v>530</v>
      </c>
      <c r="F55" s="22">
        <v>0.1</v>
      </c>
      <c r="G55" s="23">
        <v>100001</v>
      </c>
      <c r="H55" s="23">
        <v>530005300</v>
      </c>
      <c r="I55" s="22"/>
    </row>
    <row r="56" spans="1:9" x14ac:dyDescent="0.2">
      <c r="A56" s="17" t="s">
        <v>50</v>
      </c>
      <c r="B56" s="22" t="s">
        <v>51</v>
      </c>
      <c r="C56" s="22">
        <v>5.3</v>
      </c>
      <c r="D56" s="22">
        <v>3</v>
      </c>
      <c r="E56" s="22">
        <v>393</v>
      </c>
      <c r="F56" s="22">
        <v>0.1</v>
      </c>
      <c r="G56" s="23">
        <v>100002</v>
      </c>
      <c r="H56" s="23">
        <v>393007860</v>
      </c>
      <c r="I56" s="22"/>
    </row>
    <row r="57" spans="1:9" x14ac:dyDescent="0.2">
      <c r="A57" s="17" t="s">
        <v>54</v>
      </c>
      <c r="B57" s="22" t="s">
        <v>55</v>
      </c>
      <c r="C57" s="22">
        <v>5.3</v>
      </c>
      <c r="D57" s="22">
        <v>1</v>
      </c>
      <c r="E57" s="22">
        <v>561</v>
      </c>
      <c r="F57" s="22">
        <v>0.1</v>
      </c>
      <c r="G57" s="23">
        <v>100000</v>
      </c>
      <c r="H57" s="23">
        <v>561000000</v>
      </c>
      <c r="I57" s="23">
        <v>534666666.66666669</v>
      </c>
    </row>
    <row r="58" spans="1:9" x14ac:dyDescent="0.2">
      <c r="A58" s="17" t="s">
        <v>54</v>
      </c>
      <c r="B58" s="22" t="s">
        <v>55</v>
      </c>
      <c r="C58" s="22">
        <v>5.3</v>
      </c>
      <c r="D58" s="22">
        <v>2</v>
      </c>
      <c r="E58" s="22">
        <v>489</v>
      </c>
      <c r="F58" s="22">
        <v>0.1</v>
      </c>
      <c r="G58" s="23">
        <v>100000</v>
      </c>
      <c r="H58" s="23">
        <v>489000000</v>
      </c>
      <c r="I58" s="22"/>
    </row>
    <row r="59" spans="1:9" x14ac:dyDescent="0.2">
      <c r="A59" s="17" t="s">
        <v>54</v>
      </c>
      <c r="B59" s="22" t="s">
        <v>55</v>
      </c>
      <c r="C59" s="22">
        <v>5.3</v>
      </c>
      <c r="D59" s="22">
        <v>3</v>
      </c>
      <c r="E59" s="22">
        <v>554</v>
      </c>
      <c r="F59" s="22">
        <v>0.1</v>
      </c>
      <c r="G59" s="23">
        <v>100000</v>
      </c>
      <c r="H59" s="23">
        <v>554000000</v>
      </c>
      <c r="I59" s="22"/>
    </row>
    <row r="60" spans="1:9" x14ac:dyDescent="0.2">
      <c r="A60" s="18" t="s">
        <v>58</v>
      </c>
      <c r="B60" s="22" t="s">
        <v>59</v>
      </c>
      <c r="C60" s="22">
        <v>5.3</v>
      </c>
      <c r="D60" s="22">
        <v>1</v>
      </c>
      <c r="E60" s="22">
        <v>0</v>
      </c>
      <c r="F60" s="22">
        <v>0.1</v>
      </c>
      <c r="G60" s="23">
        <v>100000</v>
      </c>
      <c r="H60" s="23">
        <v>0</v>
      </c>
      <c r="I60" s="23">
        <v>333333.33333333331</v>
      </c>
    </row>
    <row r="61" spans="1:9" x14ac:dyDescent="0.2">
      <c r="A61" s="18" t="s">
        <v>58</v>
      </c>
      <c r="B61" s="22" t="s">
        <v>59</v>
      </c>
      <c r="C61" s="22">
        <v>5.3</v>
      </c>
      <c r="D61" s="22">
        <v>2</v>
      </c>
      <c r="E61" s="22">
        <v>0</v>
      </c>
      <c r="F61" s="22">
        <v>0.1</v>
      </c>
      <c r="G61" s="23">
        <v>100000</v>
      </c>
      <c r="H61" s="23">
        <v>0</v>
      </c>
      <c r="I61" s="22"/>
    </row>
    <row r="62" spans="1:9" x14ac:dyDescent="0.2">
      <c r="A62" s="18" t="s">
        <v>58</v>
      </c>
      <c r="B62" s="22" t="s">
        <v>59</v>
      </c>
      <c r="C62" s="22">
        <v>5.3</v>
      </c>
      <c r="D62" s="22">
        <v>3</v>
      </c>
      <c r="E62" s="22">
        <v>1</v>
      </c>
      <c r="F62" s="22">
        <v>0.1</v>
      </c>
      <c r="G62" s="23">
        <v>100000</v>
      </c>
      <c r="H62" s="23">
        <v>1000000</v>
      </c>
      <c r="I62" s="22"/>
    </row>
    <row r="63" spans="1:9" x14ac:dyDescent="0.2">
      <c r="A63" s="18" t="s">
        <v>62</v>
      </c>
      <c r="B63" s="22" t="s">
        <v>63</v>
      </c>
      <c r="C63" s="22">
        <v>5.3</v>
      </c>
      <c r="D63" s="22">
        <v>1</v>
      </c>
      <c r="E63" s="22">
        <v>0</v>
      </c>
      <c r="F63" s="22">
        <v>0.1</v>
      </c>
      <c r="G63" s="23">
        <v>100000</v>
      </c>
      <c r="H63" s="23">
        <v>0</v>
      </c>
      <c r="I63" s="23">
        <v>1666666.6666666667</v>
      </c>
    </row>
    <row r="64" spans="1:9" x14ac:dyDescent="0.2">
      <c r="A64" s="18" t="s">
        <v>62</v>
      </c>
      <c r="B64" s="22" t="s">
        <v>63</v>
      </c>
      <c r="C64" s="22">
        <v>5.3</v>
      </c>
      <c r="D64" s="22">
        <v>2</v>
      </c>
      <c r="E64" s="22">
        <v>0</v>
      </c>
      <c r="F64" s="22">
        <v>0.1</v>
      </c>
      <c r="G64" s="23">
        <v>100000</v>
      </c>
      <c r="H64" s="23">
        <v>0</v>
      </c>
      <c r="I64" s="22"/>
    </row>
    <row r="65" spans="1:9" x14ac:dyDescent="0.2">
      <c r="A65" s="18" t="s">
        <v>62</v>
      </c>
      <c r="B65" s="22" t="s">
        <v>63</v>
      </c>
      <c r="C65" s="22">
        <v>5.3</v>
      </c>
      <c r="D65" s="22">
        <v>3</v>
      </c>
      <c r="E65" s="22">
        <v>5</v>
      </c>
      <c r="F65" s="22">
        <v>0.1</v>
      </c>
      <c r="G65" s="23">
        <v>100000</v>
      </c>
      <c r="H65" s="23">
        <v>5000000</v>
      </c>
      <c r="I65" s="22"/>
    </row>
    <row r="66" spans="1:9" x14ac:dyDescent="0.2">
      <c r="A66" t="s">
        <v>3</v>
      </c>
      <c r="B66" t="s">
        <v>43</v>
      </c>
      <c r="C66">
        <v>6.1</v>
      </c>
      <c r="D66">
        <v>1</v>
      </c>
      <c r="E66">
        <v>409</v>
      </c>
      <c r="F66">
        <v>0.1</v>
      </c>
      <c r="G66" s="2">
        <v>100003</v>
      </c>
      <c r="H66" s="2">
        <v>409012270</v>
      </c>
      <c r="I66" s="2">
        <v>403349413.33333331</v>
      </c>
    </row>
    <row r="67" spans="1:9" x14ac:dyDescent="0.2">
      <c r="A67" t="s">
        <v>3</v>
      </c>
      <c r="B67" t="s">
        <v>43</v>
      </c>
      <c r="C67">
        <v>6.1</v>
      </c>
      <c r="D67">
        <v>2</v>
      </c>
      <c r="E67">
        <v>408</v>
      </c>
      <c r="F67">
        <v>0.1</v>
      </c>
      <c r="G67" s="2">
        <v>100004</v>
      </c>
      <c r="H67" s="2">
        <v>408016320</v>
      </c>
    </row>
    <row r="68" spans="1:9" x14ac:dyDescent="0.2">
      <c r="A68" t="s">
        <v>3</v>
      </c>
      <c r="B68" t="s">
        <v>43</v>
      </c>
      <c r="C68">
        <v>6.1</v>
      </c>
      <c r="D68">
        <v>3</v>
      </c>
      <c r="E68">
        <v>393</v>
      </c>
      <c r="F68">
        <v>0.1</v>
      </c>
      <c r="G68" s="2">
        <v>100005</v>
      </c>
      <c r="H68" s="2">
        <v>393019650</v>
      </c>
    </row>
    <row r="69" spans="1:9" x14ac:dyDescent="0.2">
      <c r="A69" t="s">
        <v>13</v>
      </c>
      <c r="B69" t="s">
        <v>45</v>
      </c>
      <c r="C69">
        <v>6.1</v>
      </c>
      <c r="D69">
        <v>1</v>
      </c>
      <c r="E69">
        <v>490</v>
      </c>
      <c r="F69">
        <v>0.1</v>
      </c>
      <c r="G69" s="2">
        <v>1000000</v>
      </c>
      <c r="H69" s="2">
        <v>4900000000</v>
      </c>
      <c r="I69" s="2">
        <v>4630000000</v>
      </c>
    </row>
    <row r="70" spans="1:9" x14ac:dyDescent="0.2">
      <c r="A70" t="s">
        <v>13</v>
      </c>
      <c r="B70" t="s">
        <v>45</v>
      </c>
      <c r="C70">
        <v>6.1</v>
      </c>
      <c r="D70">
        <v>2</v>
      </c>
      <c r="E70">
        <v>470</v>
      </c>
      <c r="F70">
        <v>0.1</v>
      </c>
      <c r="G70" s="2">
        <v>1000000</v>
      </c>
      <c r="H70" s="2">
        <v>4700000000</v>
      </c>
    </row>
    <row r="71" spans="1:9" x14ac:dyDescent="0.2">
      <c r="A71" t="s">
        <v>13</v>
      </c>
      <c r="B71" t="s">
        <v>45</v>
      </c>
      <c r="C71">
        <v>6.1</v>
      </c>
      <c r="D71">
        <v>3</v>
      </c>
      <c r="E71">
        <v>429</v>
      </c>
      <c r="F71">
        <v>0.1</v>
      </c>
      <c r="G71" s="2">
        <v>1000000</v>
      </c>
      <c r="H71" s="2">
        <v>4290000000</v>
      </c>
    </row>
    <row r="72" spans="1:9" x14ac:dyDescent="0.2">
      <c r="A72" t="s">
        <v>23</v>
      </c>
      <c r="B72" t="s">
        <v>47</v>
      </c>
      <c r="C72">
        <v>6.1</v>
      </c>
      <c r="D72">
        <v>1</v>
      </c>
      <c r="E72">
        <v>582</v>
      </c>
      <c r="F72">
        <v>0.1</v>
      </c>
      <c r="G72" s="2">
        <v>1000000</v>
      </c>
      <c r="H72" s="2">
        <v>5820000000</v>
      </c>
      <c r="I72" s="2">
        <v>5566666666.666667</v>
      </c>
    </row>
    <row r="73" spans="1:9" x14ac:dyDescent="0.2">
      <c r="A73" t="s">
        <v>23</v>
      </c>
      <c r="B73" t="s">
        <v>47</v>
      </c>
      <c r="C73">
        <v>6.1</v>
      </c>
      <c r="D73">
        <v>2</v>
      </c>
      <c r="E73">
        <v>553</v>
      </c>
      <c r="F73">
        <v>0.1</v>
      </c>
      <c r="G73" s="2">
        <v>1000000</v>
      </c>
      <c r="H73" s="2">
        <v>5530000000</v>
      </c>
    </row>
    <row r="74" spans="1:9" x14ac:dyDescent="0.2">
      <c r="A74" t="s">
        <v>23</v>
      </c>
      <c r="B74" t="s">
        <v>47</v>
      </c>
      <c r="C74">
        <v>6.1</v>
      </c>
      <c r="D74">
        <v>3</v>
      </c>
      <c r="E74">
        <v>535</v>
      </c>
      <c r="F74">
        <v>0.1</v>
      </c>
      <c r="G74" s="2">
        <v>1000000</v>
      </c>
      <c r="H74" s="2">
        <v>5350000000</v>
      </c>
    </row>
    <row r="75" spans="1:9" x14ac:dyDescent="0.2">
      <c r="A75" t="s">
        <v>33</v>
      </c>
      <c r="B75" t="s">
        <v>49</v>
      </c>
      <c r="C75">
        <v>6.1</v>
      </c>
      <c r="D75">
        <v>1</v>
      </c>
      <c r="E75">
        <v>553</v>
      </c>
      <c r="F75">
        <v>0.1</v>
      </c>
      <c r="G75" s="2">
        <v>1000000</v>
      </c>
      <c r="H75" s="2">
        <v>5530000000</v>
      </c>
      <c r="I75" s="2">
        <v>5296666666.666667</v>
      </c>
    </row>
    <row r="76" spans="1:9" x14ac:dyDescent="0.2">
      <c r="A76" t="s">
        <v>33</v>
      </c>
      <c r="B76" t="s">
        <v>49</v>
      </c>
      <c r="C76">
        <v>6.1</v>
      </c>
      <c r="D76">
        <v>2</v>
      </c>
      <c r="E76">
        <v>530</v>
      </c>
      <c r="F76">
        <v>0.1</v>
      </c>
      <c r="G76" s="2">
        <v>1000000</v>
      </c>
      <c r="H76" s="2">
        <v>5300000000</v>
      </c>
    </row>
    <row r="77" spans="1:9" x14ac:dyDescent="0.2">
      <c r="A77" t="s">
        <v>33</v>
      </c>
      <c r="B77" t="s">
        <v>49</v>
      </c>
      <c r="C77">
        <v>6.1</v>
      </c>
      <c r="D77">
        <v>3</v>
      </c>
      <c r="E77">
        <v>506</v>
      </c>
      <c r="F77">
        <v>0.1</v>
      </c>
      <c r="G77" s="2">
        <v>1000000</v>
      </c>
      <c r="H77" s="2">
        <v>5060000000</v>
      </c>
    </row>
    <row r="78" spans="1:9" x14ac:dyDescent="0.2">
      <c r="A78" t="s">
        <v>52</v>
      </c>
      <c r="B78" t="s">
        <v>53</v>
      </c>
      <c r="C78">
        <v>6.3</v>
      </c>
      <c r="D78">
        <v>1</v>
      </c>
      <c r="E78">
        <v>475</v>
      </c>
      <c r="F78">
        <v>0.1</v>
      </c>
      <c r="G78" s="2">
        <v>100003</v>
      </c>
      <c r="H78" s="2">
        <v>475014250</v>
      </c>
      <c r="I78" s="2">
        <v>450017776.66666669</v>
      </c>
    </row>
    <row r="79" spans="1:9" x14ac:dyDescent="0.2">
      <c r="A79" t="s">
        <v>52</v>
      </c>
      <c r="B79" t="s">
        <v>53</v>
      </c>
      <c r="C79">
        <v>6.3</v>
      </c>
      <c r="D79">
        <v>2</v>
      </c>
      <c r="E79">
        <v>467</v>
      </c>
      <c r="F79">
        <v>0.1</v>
      </c>
      <c r="G79" s="2">
        <v>100004</v>
      </c>
      <c r="H79" s="2">
        <v>467018680</v>
      </c>
    </row>
    <row r="80" spans="1:9" x14ac:dyDescent="0.2">
      <c r="A80" t="s">
        <v>52</v>
      </c>
      <c r="B80" t="s">
        <v>53</v>
      </c>
      <c r="C80">
        <v>6.3</v>
      </c>
      <c r="D80">
        <v>3</v>
      </c>
      <c r="E80">
        <v>408</v>
      </c>
      <c r="F80">
        <v>0.1</v>
      </c>
      <c r="G80" s="2">
        <v>100005</v>
      </c>
      <c r="H80" s="2">
        <v>408020400</v>
      </c>
    </row>
    <row r="81" spans="1:9" x14ac:dyDescent="0.2">
      <c r="A81" t="s">
        <v>56</v>
      </c>
      <c r="B81" t="s">
        <v>57</v>
      </c>
      <c r="C81">
        <v>6.3</v>
      </c>
      <c r="D81">
        <v>1</v>
      </c>
      <c r="E81">
        <v>340</v>
      </c>
      <c r="F81">
        <v>0.1</v>
      </c>
      <c r="G81" s="2">
        <v>1000000</v>
      </c>
      <c r="H81" s="2">
        <v>3400000000</v>
      </c>
      <c r="I81" s="2">
        <v>3266666666.6666665</v>
      </c>
    </row>
    <row r="82" spans="1:9" x14ac:dyDescent="0.2">
      <c r="A82" t="s">
        <v>56</v>
      </c>
      <c r="B82" t="s">
        <v>57</v>
      </c>
      <c r="C82">
        <v>6.3</v>
      </c>
      <c r="D82">
        <v>2</v>
      </c>
      <c r="E82">
        <v>319</v>
      </c>
      <c r="F82">
        <v>0.1</v>
      </c>
      <c r="G82" s="2">
        <v>1000000</v>
      </c>
      <c r="H82" s="2">
        <v>3190000000</v>
      </c>
    </row>
    <row r="83" spans="1:9" x14ac:dyDescent="0.2">
      <c r="A83" t="s">
        <v>56</v>
      </c>
      <c r="B83" t="s">
        <v>57</v>
      </c>
      <c r="C83">
        <v>6.3</v>
      </c>
      <c r="D83">
        <v>3</v>
      </c>
      <c r="E83">
        <v>321</v>
      </c>
      <c r="F83">
        <v>0.1</v>
      </c>
      <c r="G83" s="2">
        <v>1000000</v>
      </c>
      <c r="H83" s="2">
        <v>3210000000</v>
      </c>
    </row>
    <row r="84" spans="1:9" x14ac:dyDescent="0.2">
      <c r="A84" s="21" t="s">
        <v>60</v>
      </c>
      <c r="B84" t="s">
        <v>61</v>
      </c>
      <c r="C84">
        <v>6.3</v>
      </c>
      <c r="D84">
        <v>1</v>
      </c>
      <c r="E84">
        <v>538</v>
      </c>
      <c r="F84">
        <v>0.1</v>
      </c>
      <c r="G84" s="2">
        <v>1000000</v>
      </c>
      <c r="H84" s="2">
        <v>5380000000</v>
      </c>
      <c r="I84" s="2">
        <v>5616666666.666667</v>
      </c>
    </row>
    <row r="85" spans="1:9" x14ac:dyDescent="0.2">
      <c r="A85" s="21" t="s">
        <v>60</v>
      </c>
      <c r="B85" t="s">
        <v>61</v>
      </c>
      <c r="C85">
        <v>6.3</v>
      </c>
      <c r="D85">
        <v>2</v>
      </c>
      <c r="E85">
        <v>582</v>
      </c>
      <c r="F85">
        <v>0.1</v>
      </c>
      <c r="G85" s="2">
        <v>1000000</v>
      </c>
      <c r="H85" s="2">
        <v>5820000000</v>
      </c>
    </row>
    <row r="86" spans="1:9" x14ac:dyDescent="0.2">
      <c r="A86" s="21" t="s">
        <v>60</v>
      </c>
      <c r="B86" t="s">
        <v>61</v>
      </c>
      <c r="C86">
        <v>6.3</v>
      </c>
      <c r="D86">
        <v>3</v>
      </c>
      <c r="E86">
        <v>565</v>
      </c>
      <c r="F86">
        <v>0.1</v>
      </c>
      <c r="G86" s="2">
        <v>1000000</v>
      </c>
      <c r="H86" s="2">
        <v>5650000000</v>
      </c>
    </row>
    <row r="87" spans="1:9" x14ac:dyDescent="0.2">
      <c r="A87" s="21" t="s">
        <v>64</v>
      </c>
      <c r="B87" t="s">
        <v>65</v>
      </c>
      <c r="C87">
        <v>6.3</v>
      </c>
      <c r="D87">
        <v>1</v>
      </c>
      <c r="E87">
        <v>404</v>
      </c>
      <c r="F87">
        <v>0.1</v>
      </c>
      <c r="G87" s="2">
        <v>1000000</v>
      </c>
      <c r="H87" s="2">
        <v>4040000000</v>
      </c>
      <c r="I87" s="2">
        <v>4013333333.3333335</v>
      </c>
    </row>
    <row r="88" spans="1:9" x14ac:dyDescent="0.2">
      <c r="A88" s="21" t="s">
        <v>64</v>
      </c>
      <c r="B88" t="s">
        <v>65</v>
      </c>
      <c r="C88">
        <v>6.3</v>
      </c>
      <c r="D88">
        <v>2</v>
      </c>
      <c r="E88">
        <v>415</v>
      </c>
      <c r="F88">
        <v>0.1</v>
      </c>
      <c r="G88" s="2">
        <v>1000000</v>
      </c>
      <c r="H88" s="2">
        <v>4150000000</v>
      </c>
    </row>
    <row r="89" spans="1:9" x14ac:dyDescent="0.2">
      <c r="A89" s="21" t="s">
        <v>64</v>
      </c>
      <c r="B89" t="s">
        <v>65</v>
      </c>
      <c r="C89">
        <v>6.3</v>
      </c>
      <c r="D89">
        <v>3</v>
      </c>
      <c r="E89">
        <v>385</v>
      </c>
      <c r="F89">
        <v>0.1</v>
      </c>
      <c r="G89" s="2">
        <v>1000000</v>
      </c>
      <c r="H89" s="2">
        <v>3850000000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Paired analyses</vt:lpstr>
      <vt:lpstr>Plate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2025-09-28T20:18:44Z</dcterms:created>
  <dcterms:modified xsi:type="dcterms:W3CDTF">2026-02-01T14:40:44Z</dcterms:modified>
</cp:coreProperties>
</file>