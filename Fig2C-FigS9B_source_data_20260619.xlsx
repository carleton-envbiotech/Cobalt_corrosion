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nikadejager/Desktop/EBB Lab/R data/"/>
    </mc:Choice>
  </mc:AlternateContent>
  <xr:revisionPtr revIDLastSave="0" documentId="13_ncr:1_{82CDE6B1-2577-504D-BA21-3495F3EC88E9}" xr6:coauthVersionLast="47" xr6:coauthVersionMax="47" xr10:uidLastSave="{00000000-0000-0000-0000-000000000000}"/>
  <bookViews>
    <workbookView xWindow="720" yWindow="600" windowWidth="26400" windowHeight="15880" activeTab="6" xr2:uid="{00000000-000D-0000-FFFF-FFFF00000000}"/>
  </bookViews>
  <sheets>
    <sheet name="Raw txt data" sheetId="1" r:id="rId1"/>
    <sheet name="Consolidated Raw data" sheetId="2" r:id="rId2"/>
    <sheet name="Summary" sheetId="3" r:id="rId3"/>
    <sheet name="Check QC" sheetId="4" r:id="rId4"/>
    <sheet name="Check Co(2+) stocks" sheetId="5" r:id="rId5"/>
    <sheet name="Analyses for Fig S9B" sheetId="8" r:id="rId6"/>
    <sheet name="Figure S9B" sheetId="10" r:id="rId7"/>
    <sheet name="Analyses for Figure 2C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2" l="1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3" i="12"/>
  <c r="M12" i="12"/>
  <c r="L12" i="12"/>
  <c r="L9" i="12"/>
  <c r="K9" i="12"/>
  <c r="O18" i="12"/>
  <c r="I18" i="12"/>
  <c r="G18" i="12"/>
  <c r="K18" i="12" s="1"/>
  <c r="E18" i="12"/>
  <c r="J18" i="12" s="1"/>
  <c r="M18" i="12" s="1"/>
  <c r="O17" i="12"/>
  <c r="Q17" i="12" s="1"/>
  <c r="K17" i="12"/>
  <c r="L17" i="12" s="1"/>
  <c r="I17" i="12"/>
  <c r="G17" i="12"/>
  <c r="E17" i="12"/>
  <c r="J17" i="12" s="1"/>
  <c r="M17" i="12" s="1"/>
  <c r="K16" i="12"/>
  <c r="L16" i="12" s="1"/>
  <c r="J16" i="12"/>
  <c r="M16" i="12" s="1"/>
  <c r="I16" i="12"/>
  <c r="O16" i="12" s="1"/>
  <c r="G16" i="12"/>
  <c r="E16" i="12"/>
  <c r="O15" i="12"/>
  <c r="I15" i="12"/>
  <c r="G15" i="12"/>
  <c r="K15" i="12" s="1"/>
  <c r="L15" i="12" s="1"/>
  <c r="E15" i="12"/>
  <c r="J15" i="12" s="1"/>
  <c r="O14" i="12"/>
  <c r="I14" i="12"/>
  <c r="G14" i="12"/>
  <c r="K14" i="12" s="1"/>
  <c r="E14" i="12"/>
  <c r="J14" i="12" s="1"/>
  <c r="M14" i="12" s="1"/>
  <c r="O13" i="12"/>
  <c r="Q13" i="12" s="1"/>
  <c r="K13" i="12"/>
  <c r="I13" i="12"/>
  <c r="G13" i="12"/>
  <c r="E13" i="12"/>
  <c r="J13" i="12" s="1"/>
  <c r="M13" i="12" s="1"/>
  <c r="K12" i="12"/>
  <c r="J12" i="12"/>
  <c r="I12" i="12"/>
  <c r="O12" i="12" s="1"/>
  <c r="G12" i="12"/>
  <c r="E12" i="12"/>
  <c r="O11" i="12"/>
  <c r="I11" i="12"/>
  <c r="G11" i="12"/>
  <c r="K11" i="12" s="1"/>
  <c r="E11" i="12"/>
  <c r="J11" i="12" s="1"/>
  <c r="M11" i="12" s="1"/>
  <c r="O10" i="12"/>
  <c r="I10" i="12"/>
  <c r="G10" i="12"/>
  <c r="K10" i="12" s="1"/>
  <c r="L10" i="12" s="1"/>
  <c r="E10" i="12"/>
  <c r="J10" i="12" s="1"/>
  <c r="O9" i="12"/>
  <c r="I9" i="12"/>
  <c r="G9" i="12"/>
  <c r="E9" i="12"/>
  <c r="J9" i="12" s="1"/>
  <c r="M9" i="12" s="1"/>
  <c r="K8" i="12"/>
  <c r="L8" i="12" s="1"/>
  <c r="J8" i="12"/>
  <c r="M8" i="12" s="1"/>
  <c r="I8" i="12"/>
  <c r="O8" i="12" s="1"/>
  <c r="G8" i="12"/>
  <c r="E8" i="12"/>
  <c r="O7" i="12"/>
  <c r="I7" i="12"/>
  <c r="G7" i="12"/>
  <c r="K7" i="12" s="1"/>
  <c r="E7" i="12"/>
  <c r="J7" i="12" s="1"/>
  <c r="M7" i="12" s="1"/>
  <c r="O6" i="12"/>
  <c r="I6" i="12"/>
  <c r="G6" i="12"/>
  <c r="K6" i="12" s="1"/>
  <c r="L6" i="12" s="1"/>
  <c r="E6" i="12"/>
  <c r="J6" i="12" s="1"/>
  <c r="O5" i="12"/>
  <c r="K5" i="12"/>
  <c r="I5" i="12"/>
  <c r="G5" i="12"/>
  <c r="E5" i="12"/>
  <c r="J5" i="12" s="1"/>
  <c r="M5" i="12" s="1"/>
  <c r="K4" i="12"/>
  <c r="L4" i="12" s="1"/>
  <c r="J4" i="12"/>
  <c r="M4" i="12" s="1"/>
  <c r="I4" i="12"/>
  <c r="O4" i="12" s="1"/>
  <c r="G4" i="12"/>
  <c r="E4" i="12"/>
  <c r="O3" i="12"/>
  <c r="I3" i="12"/>
  <c r="G3" i="12"/>
  <c r="K3" i="12" s="1"/>
  <c r="L3" i="12" s="1"/>
  <c r="E3" i="12"/>
  <c r="J3" i="12" s="1"/>
  <c r="G19" i="10"/>
  <c r="E19" i="10"/>
  <c r="H19" i="10" s="1"/>
  <c r="G18" i="10"/>
  <c r="E18" i="10"/>
  <c r="H18" i="10" s="1"/>
  <c r="G17" i="10"/>
  <c r="E17" i="10"/>
  <c r="H17" i="10" s="1"/>
  <c r="G16" i="10"/>
  <c r="E16" i="10"/>
  <c r="H16" i="10" s="1"/>
  <c r="G15" i="10"/>
  <c r="E15" i="10"/>
  <c r="H15" i="10" s="1"/>
  <c r="G14" i="10"/>
  <c r="E14" i="10"/>
  <c r="H14" i="10" s="1"/>
  <c r="G13" i="10"/>
  <c r="E13" i="10"/>
  <c r="H13" i="10" s="1"/>
  <c r="G12" i="10"/>
  <c r="E12" i="10"/>
  <c r="H12" i="10" s="1"/>
  <c r="G11" i="10"/>
  <c r="E11" i="10"/>
  <c r="H11" i="10" s="1"/>
  <c r="G10" i="10"/>
  <c r="E10" i="10"/>
  <c r="H10" i="10" s="1"/>
  <c r="G9" i="10"/>
  <c r="E9" i="10"/>
  <c r="H9" i="10" s="1"/>
  <c r="G8" i="10"/>
  <c r="E8" i="10"/>
  <c r="H8" i="10" s="1"/>
  <c r="G7" i="10"/>
  <c r="E7" i="10"/>
  <c r="H7" i="10" s="1"/>
  <c r="G6" i="10"/>
  <c r="E6" i="10"/>
  <c r="H6" i="10" s="1"/>
  <c r="G5" i="10"/>
  <c r="E5" i="10"/>
  <c r="H5" i="10" s="1"/>
  <c r="G4" i="10"/>
  <c r="E4" i="10"/>
  <c r="H4" i="10" s="1"/>
  <c r="G3" i="10"/>
  <c r="E3" i="10"/>
  <c r="H3" i="10" s="1"/>
  <c r="E31" i="8"/>
  <c r="G31" i="8"/>
  <c r="J31" i="8"/>
  <c r="K31" i="8"/>
  <c r="L31" i="8"/>
  <c r="M31" i="8"/>
  <c r="O31" i="8"/>
  <c r="P31" i="8"/>
  <c r="R5" i="12" l="1"/>
  <c r="N5" i="12"/>
  <c r="N14" i="12"/>
  <c r="R14" i="12"/>
  <c r="R9" i="12"/>
  <c r="N9" i="12"/>
  <c r="L5" i="12"/>
  <c r="M3" i="12"/>
  <c r="P8" i="12"/>
  <c r="Q8" i="12"/>
  <c r="M10" i="12"/>
  <c r="L13" i="12"/>
  <c r="Q15" i="12"/>
  <c r="N18" i="12"/>
  <c r="R18" i="12"/>
  <c r="P12" i="12"/>
  <c r="Q12" i="12"/>
  <c r="L7" i="12"/>
  <c r="Q10" i="12"/>
  <c r="N11" i="12"/>
  <c r="R11" i="12"/>
  <c r="Q5" i="12"/>
  <c r="Q7" i="12"/>
  <c r="L11" i="12"/>
  <c r="R13" i="12"/>
  <c r="N13" i="12"/>
  <c r="P14" i="12"/>
  <c r="R16" i="12"/>
  <c r="N16" i="12"/>
  <c r="L18" i="12"/>
  <c r="N8" i="12"/>
  <c r="R8" i="12"/>
  <c r="N7" i="12"/>
  <c r="R7" i="12"/>
  <c r="N12" i="12"/>
  <c r="R12" i="12"/>
  <c r="P16" i="12"/>
  <c r="Q16" i="12"/>
  <c r="P4" i="12"/>
  <c r="Q4" i="12"/>
  <c r="M6" i="12"/>
  <c r="Q6" i="12" s="1"/>
  <c r="M15" i="12"/>
  <c r="Q3" i="12"/>
  <c r="L14" i="12"/>
  <c r="R4" i="12"/>
  <c r="N4" i="12"/>
  <c r="Q9" i="12"/>
  <c r="P11" i="12"/>
  <c r="R17" i="12"/>
  <c r="N17" i="12"/>
  <c r="Q18" i="12"/>
  <c r="P7" i="12"/>
  <c r="P6" i="12"/>
  <c r="P10" i="12"/>
  <c r="P5" i="12"/>
  <c r="P9" i="12"/>
  <c r="P13" i="12"/>
  <c r="P17" i="12"/>
  <c r="P15" i="12"/>
  <c r="Q11" i="12"/>
  <c r="P18" i="12"/>
  <c r="Q14" i="12"/>
  <c r="P3" i="12"/>
  <c r="I34" i="8"/>
  <c r="G34" i="8"/>
  <c r="E34" i="8"/>
  <c r="J34" i="8" s="1"/>
  <c r="I33" i="8"/>
  <c r="G33" i="8"/>
  <c r="E33" i="8"/>
  <c r="J33" i="8" s="1"/>
  <c r="I32" i="8"/>
  <c r="G32" i="8"/>
  <c r="E32" i="8"/>
  <c r="J32" i="8" s="1"/>
  <c r="I28" i="8"/>
  <c r="G28" i="8"/>
  <c r="E28" i="8"/>
  <c r="J28" i="8" s="1"/>
  <c r="K28" i="8" s="1"/>
  <c r="I27" i="8"/>
  <c r="G27" i="8"/>
  <c r="E27" i="8"/>
  <c r="J27" i="8" s="1"/>
  <c r="K27" i="8" s="1"/>
  <c r="M27" i="8" s="1"/>
  <c r="I26" i="8"/>
  <c r="G26" i="8"/>
  <c r="E26" i="8"/>
  <c r="J26" i="8" s="1"/>
  <c r="I22" i="8"/>
  <c r="G22" i="8"/>
  <c r="E22" i="8"/>
  <c r="J22" i="8" s="1"/>
  <c r="K22" i="8" s="1"/>
  <c r="I21" i="8"/>
  <c r="G21" i="8"/>
  <c r="E21" i="8"/>
  <c r="J21" i="8" s="1"/>
  <c r="I20" i="8"/>
  <c r="G20" i="8"/>
  <c r="E20" i="8"/>
  <c r="J20" i="8" s="1"/>
  <c r="I16" i="8"/>
  <c r="G16" i="8"/>
  <c r="E16" i="8"/>
  <c r="J16" i="8" s="1"/>
  <c r="K16" i="8" s="1"/>
  <c r="I15" i="8"/>
  <c r="G15" i="8"/>
  <c r="E15" i="8"/>
  <c r="J15" i="8" s="1"/>
  <c r="I14" i="8"/>
  <c r="G14" i="8"/>
  <c r="E14" i="8"/>
  <c r="J14" i="8" s="1"/>
  <c r="K14" i="8" s="1"/>
  <c r="I10" i="8"/>
  <c r="G10" i="8"/>
  <c r="E10" i="8"/>
  <c r="J10" i="8" s="1"/>
  <c r="K10" i="8" s="1"/>
  <c r="M10" i="8" s="1"/>
  <c r="I9" i="8"/>
  <c r="G9" i="8"/>
  <c r="E9" i="8"/>
  <c r="J9" i="8" s="1"/>
  <c r="K9" i="8" s="1"/>
  <c r="I8" i="8"/>
  <c r="G8" i="8"/>
  <c r="E8" i="8"/>
  <c r="J8" i="8" s="1"/>
  <c r="I4" i="8"/>
  <c r="G4" i="8"/>
  <c r="E4" i="8"/>
  <c r="J4" i="8" s="1"/>
  <c r="F12" i="5"/>
  <c r="F11" i="5"/>
  <c r="F10" i="5"/>
  <c r="F9" i="5"/>
  <c r="F8" i="5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L67" i="2"/>
  <c r="L66" i="2"/>
  <c r="L65" i="2"/>
  <c r="S16" i="12" l="1"/>
  <c r="S18" i="12"/>
  <c r="S4" i="12"/>
  <c r="S11" i="12"/>
  <c r="N15" i="12"/>
  <c r="R15" i="12"/>
  <c r="R10" i="12"/>
  <c r="N10" i="12"/>
  <c r="S17" i="12"/>
  <c r="S7" i="12"/>
  <c r="S9" i="12"/>
  <c r="S12" i="12"/>
  <c r="S14" i="12"/>
  <c r="N6" i="12"/>
  <c r="R6" i="12"/>
  <c r="S13" i="12"/>
  <c r="S8" i="12"/>
  <c r="N3" i="12"/>
  <c r="R3" i="12"/>
  <c r="S5" i="12"/>
  <c r="K20" i="8"/>
  <c r="M20" i="8" s="1"/>
  <c r="K26" i="8"/>
  <c r="M26" i="8" s="1"/>
  <c r="K34" i="8"/>
  <c r="L34" i="8" s="1"/>
  <c r="O34" i="8" s="1"/>
  <c r="K21" i="8"/>
  <c r="L21" i="8" s="1"/>
  <c r="O21" i="8" s="1"/>
  <c r="K8" i="8"/>
  <c r="M8" i="8" s="1"/>
  <c r="K33" i="8"/>
  <c r="L33" i="8" s="1"/>
  <c r="O33" i="8" s="1"/>
  <c r="K32" i="8"/>
  <c r="L32" i="8" s="1"/>
  <c r="O32" i="8" s="1"/>
  <c r="K15" i="8"/>
  <c r="L15" i="8" s="1"/>
  <c r="O15" i="8" s="1"/>
  <c r="M16" i="8"/>
  <c r="L16" i="8"/>
  <c r="O16" i="8" s="1"/>
  <c r="M9" i="8"/>
  <c r="L9" i="8"/>
  <c r="O9" i="8" s="1"/>
  <c r="M28" i="8"/>
  <c r="L28" i="8"/>
  <c r="O28" i="8" s="1"/>
  <c r="M14" i="8"/>
  <c r="L14" i="8"/>
  <c r="O14" i="8" s="1"/>
  <c r="L22" i="8"/>
  <c r="O22" i="8" s="1"/>
  <c r="M22" i="8"/>
  <c r="L10" i="8"/>
  <c r="O10" i="8" s="1"/>
  <c r="L20" i="8"/>
  <c r="O20" i="8" s="1"/>
  <c r="L27" i="8"/>
  <c r="O27" i="8" s="1"/>
  <c r="G30" i="8"/>
  <c r="G29" i="8"/>
  <c r="G25" i="8"/>
  <c r="G24" i="8"/>
  <c r="G23" i="8"/>
  <c r="G19" i="8"/>
  <c r="G18" i="8"/>
  <c r="G17" i="8"/>
  <c r="G13" i="8"/>
  <c r="G12" i="8"/>
  <c r="G11" i="8"/>
  <c r="G7" i="8"/>
  <c r="G6" i="8"/>
  <c r="G5" i="8"/>
  <c r="G3" i="8"/>
  <c r="E30" i="8"/>
  <c r="J30" i="8" s="1"/>
  <c r="K30" i="8" s="1"/>
  <c r="E29" i="8"/>
  <c r="J29" i="8" s="1"/>
  <c r="E25" i="8"/>
  <c r="J25" i="8" s="1"/>
  <c r="E24" i="8"/>
  <c r="J24" i="8" s="1"/>
  <c r="E23" i="8"/>
  <c r="J23" i="8" s="1"/>
  <c r="K23" i="8" s="1"/>
  <c r="E19" i="8"/>
  <c r="J19" i="8" s="1"/>
  <c r="E18" i="8"/>
  <c r="J18" i="8" s="1"/>
  <c r="E17" i="8"/>
  <c r="J17" i="8" s="1"/>
  <c r="E13" i="8"/>
  <c r="J13" i="8" s="1"/>
  <c r="E12" i="8"/>
  <c r="J12" i="8" s="1"/>
  <c r="E11" i="8"/>
  <c r="J11" i="8" s="1"/>
  <c r="K11" i="8" s="1"/>
  <c r="L11" i="8" s="1"/>
  <c r="O11" i="8" s="1"/>
  <c r="E7" i="8"/>
  <c r="J7" i="8" s="1"/>
  <c r="E6" i="8"/>
  <c r="J6" i="8" s="1"/>
  <c r="K6" i="8" s="1"/>
  <c r="L6" i="8" s="1"/>
  <c r="O6" i="8" s="1"/>
  <c r="E5" i="8"/>
  <c r="J5" i="8" s="1"/>
  <c r="E3" i="8"/>
  <c r="J3" i="8" s="1"/>
  <c r="F4" i="5"/>
  <c r="F5" i="5"/>
  <c r="F6" i="5"/>
  <c r="F7" i="5"/>
  <c r="F3" i="5"/>
  <c r="S6" i="12" l="1"/>
  <c r="S3" i="12"/>
  <c r="S15" i="12"/>
  <c r="S10" i="12"/>
  <c r="P34" i="8"/>
  <c r="L26" i="8"/>
  <c r="O26" i="8" s="1"/>
  <c r="M34" i="8"/>
  <c r="M21" i="8"/>
  <c r="L8" i="8"/>
  <c r="O8" i="8" s="1"/>
  <c r="M33" i="8"/>
  <c r="M32" i="8"/>
  <c r="K7" i="8"/>
  <c r="L7" i="8" s="1"/>
  <c r="O7" i="8" s="1"/>
  <c r="K12" i="8"/>
  <c r="L12" i="8" s="1"/>
  <c r="O12" i="8" s="1"/>
  <c r="L30" i="8"/>
  <c r="O30" i="8" s="1"/>
  <c r="K18" i="8"/>
  <c r="M15" i="8"/>
  <c r="L23" i="8"/>
  <c r="O23" i="8" s="1"/>
  <c r="P23" i="8" s="1"/>
  <c r="P15" i="8"/>
  <c r="P21" i="8"/>
  <c r="P20" i="8"/>
  <c r="P16" i="8"/>
  <c r="P32" i="8"/>
  <c r="P26" i="8"/>
  <c r="P27" i="8"/>
  <c r="P28" i="8"/>
  <c r="P33" i="8"/>
  <c r="P22" i="8"/>
  <c r="P14" i="8"/>
  <c r="P9" i="8"/>
  <c r="P10" i="8"/>
  <c r="P8" i="8"/>
  <c r="K13" i="8"/>
  <c r="L13" i="8" s="1"/>
  <c r="O13" i="8" s="1"/>
  <c r="K24" i="8"/>
  <c r="K29" i="8"/>
  <c r="K17" i="8"/>
  <c r="K25" i="8"/>
  <c r="M25" i="8" s="1"/>
  <c r="K5" i="8"/>
  <c r="M5" i="8" s="1"/>
  <c r="K19" i="8"/>
  <c r="M6" i="8"/>
  <c r="M23" i="8"/>
  <c r="M11" i="8"/>
  <c r="M30" i="8"/>
  <c r="K23" i="2"/>
  <c r="K16" i="2"/>
  <c r="K11" i="2"/>
  <c r="K8" i="2"/>
  <c r="K22" i="2"/>
  <c r="K9" i="2"/>
  <c r="P30" i="8" l="1"/>
  <c r="M7" i="8"/>
  <c r="L18" i="8"/>
  <c r="O18" i="8" s="1"/>
  <c r="P18" i="8" s="1"/>
  <c r="L19" i="8"/>
  <c r="O19" i="8" s="1"/>
  <c r="L24" i="8"/>
  <c r="O24" i="8" s="1"/>
  <c r="P24" i="8" s="1"/>
  <c r="L5" i="8"/>
  <c r="O5" i="8" s="1"/>
  <c r="L17" i="8"/>
  <c r="O17" i="8" s="1"/>
  <c r="P17" i="8" s="1"/>
  <c r="L29" i="8"/>
  <c r="O29" i="8" s="1"/>
  <c r="P29" i="8" s="1"/>
  <c r="L25" i="8"/>
  <c r="O25" i="8" s="1"/>
  <c r="P25" i="8" s="1"/>
  <c r="P7" i="8"/>
  <c r="P13" i="8"/>
  <c r="P6" i="8"/>
  <c r="P12" i="8"/>
  <c r="M29" i="8"/>
  <c r="M18" i="8"/>
  <c r="M19" i="8"/>
  <c r="M24" i="8"/>
  <c r="M17" i="8"/>
  <c r="M13" i="8"/>
  <c r="M12" i="8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L22" i="2"/>
  <c r="L21" i="2"/>
  <c r="K21" i="2"/>
  <c r="L20" i="2"/>
  <c r="K20" i="2"/>
  <c r="L19" i="2"/>
  <c r="K19" i="2"/>
  <c r="L18" i="2"/>
  <c r="K18" i="2"/>
  <c r="L17" i="2"/>
  <c r="K17" i="2"/>
  <c r="L16" i="2"/>
  <c r="L15" i="2"/>
  <c r="K15" i="2"/>
  <c r="L14" i="2"/>
  <c r="K14" i="2"/>
  <c r="L13" i="2"/>
  <c r="K13" i="2"/>
  <c r="L12" i="2"/>
  <c r="K12" i="2"/>
  <c r="L11" i="2"/>
  <c r="L10" i="2"/>
  <c r="K10" i="2"/>
  <c r="L9" i="2"/>
  <c r="L8" i="2"/>
  <c r="L7" i="2"/>
  <c r="K7" i="2"/>
  <c r="L6" i="2"/>
  <c r="L5" i="2"/>
  <c r="L4" i="2"/>
  <c r="L3" i="2"/>
  <c r="P5" i="8" l="1"/>
  <c r="P19" i="8"/>
  <c r="P11" i="8"/>
</calcChain>
</file>

<file path=xl/sharedStrings.xml><?xml version="1.0" encoding="utf-8"?>
<sst xmlns="http://schemas.openxmlformats.org/spreadsheetml/2006/main" count="19952" uniqueCount="577">
  <si>
    <t>Sample</t>
  </si>
  <si>
    <t>Rjct</t>
  </si>
  <si>
    <t>Data File</t>
  </si>
  <si>
    <t>Acq. Date-Time</t>
  </si>
  <si>
    <t>Type</t>
  </si>
  <si>
    <t>Level</t>
  </si>
  <si>
    <t>Sample Name</t>
  </si>
  <si>
    <t>001BLKV.d</t>
  </si>
  <si>
    <t>12/18/2025 2:30:41 PM</t>
  </si>
  <si>
    <t>BlkVrfy</t>
  </si>
  <si>
    <t>MiliQ blank</t>
  </si>
  <si>
    <t>Analyte</t>
  </si>
  <si>
    <t>Name</t>
  </si>
  <si>
    <t>Mass</t>
  </si>
  <si>
    <t>ISTD</t>
  </si>
  <si>
    <t>Tune Mode</t>
  </si>
  <si>
    <t>CPS</t>
  </si>
  <si>
    <t>CPS RSD</t>
  </si>
  <si>
    <t>Conc.</t>
  </si>
  <si>
    <t>Units</t>
  </si>
  <si>
    <t>Conc. RSD</t>
  </si>
  <si>
    <t>Integ Time</t>
  </si>
  <si>
    <t>Replicate</t>
  </si>
  <si>
    <t>ISTD Recovery %</t>
  </si>
  <si>
    <t>Co</t>
  </si>
  <si>
    <t>He</t>
  </si>
  <si>
    <t>ppm</t>
  </si>
  <si>
    <t>Replicate Data</t>
  </si>
  <si>
    <t>Reject</t>
  </si>
  <si>
    <t>Det.</t>
  </si>
  <si>
    <t>P</t>
  </si>
  <si>
    <t>Sc</t>
  </si>
  <si>
    <t>Ge</t>
  </si>
  <si>
    <t>Y</t>
  </si>
  <si>
    <t>002BLKV.d</t>
  </si>
  <si>
    <t>12/18/2025 2:35:28 PM</t>
  </si>
  <si>
    <t>003BLKV.d</t>
  </si>
  <si>
    <t>12/18/2025 2:40:15 PM</t>
  </si>
  <si>
    <t>004BLKV.d</t>
  </si>
  <si>
    <t>12/18/2025 2:44:59 PM</t>
  </si>
  <si>
    <t>005BLKV.d</t>
  </si>
  <si>
    <t>12/18/2025 2:49:46 PM</t>
  </si>
  <si>
    <t>006CALB.d</t>
  </si>
  <si>
    <t>12/18/2025 2:54:30 PM</t>
  </si>
  <si>
    <t>CalBlk</t>
  </si>
  <si>
    <t>Mili Q</t>
  </si>
  <si>
    <t>N/A</t>
  </si>
  <si>
    <t>007CALS.d</t>
  </si>
  <si>
    <t>12/18/2025 2:59:18 PM</t>
  </si>
  <si>
    <t>CalStd</t>
  </si>
  <si>
    <t>0.001 ppm Co in MiliQ</t>
  </si>
  <si>
    <t>008CALS.d</t>
  </si>
  <si>
    <t>12/18/2025 3:04:01 PM</t>
  </si>
  <si>
    <t>0.01 ppm Co in MiliQ</t>
  </si>
  <si>
    <t>009CALS.d</t>
  </si>
  <si>
    <t>12/18/2025 3:08:49 PM</t>
  </si>
  <si>
    <t>0.05 ppm Co in MiliQ</t>
  </si>
  <si>
    <t>010CALS.d</t>
  </si>
  <si>
    <t>12/18/2025 3:13:33 PM</t>
  </si>
  <si>
    <t>0.1 ppm Co in MiliQ</t>
  </si>
  <si>
    <t>89  Y ( ISTD )  [ He ] :  ISTD Recovery Percent value = 121.99 is outside the allowed range [80.00, 120.00]</t>
  </si>
  <si>
    <t>011CALS.d</t>
  </si>
  <si>
    <t>12/18/2025 3:18:20 PM</t>
  </si>
  <si>
    <t>0.5 ppm Co in MiliQ</t>
  </si>
  <si>
    <t>012CALS.d</t>
  </si>
  <si>
    <t>12/18/2025 3:23:04 PM</t>
  </si>
  <si>
    <t>1 ppm Co in MiliQ</t>
  </si>
  <si>
    <t>A</t>
  </si>
  <si>
    <t>013CALS.d</t>
  </si>
  <si>
    <t>12/18/2025 3:27:51 PM</t>
  </si>
  <si>
    <t>10 ppm Co in MiliQ</t>
  </si>
  <si>
    <t>014CALS.d</t>
  </si>
  <si>
    <t>12/18/2025 3:32:36 PM</t>
  </si>
  <si>
    <t>50 ppm Co in MiliQ</t>
  </si>
  <si>
    <t>015BLKV.d</t>
  </si>
  <si>
    <t>12/18/2025 3:38:11 PM</t>
  </si>
  <si>
    <t>MiliQ Blank</t>
  </si>
  <si>
    <t>016BLKV.d</t>
  </si>
  <si>
    <t>12/18/2025 3:42:55 PM</t>
  </si>
  <si>
    <t>017SMPL.d</t>
  </si>
  <si>
    <t>12/18/2025 3:47:46 PM</t>
  </si>
  <si>
    <t>DM F-A 32hr</t>
  </si>
  <si>
    <t>018SMPL.d</t>
  </si>
  <si>
    <t>12/18/2025 3:52:30 PM</t>
  </si>
  <si>
    <t>DM A-F 32hr</t>
  </si>
  <si>
    <t>019SMPL.d</t>
  </si>
  <si>
    <t>12/18/2025 3:57:18 PM</t>
  </si>
  <si>
    <t>0.1 F-A 32hr</t>
  </si>
  <si>
    <t>020SMPL.d</t>
  </si>
  <si>
    <t>12/18/2025 4:02:04 PM</t>
  </si>
  <si>
    <t>0.1 A-F 32hr</t>
  </si>
  <si>
    <t>021SMPL.d</t>
  </si>
  <si>
    <t>12/18/2025 4:06:52 PM</t>
  </si>
  <si>
    <t>0.2 F-A 32hr</t>
  </si>
  <si>
    <t>022SMPL.d</t>
  </si>
  <si>
    <t>12/18/2025 4:11:37 PM</t>
  </si>
  <si>
    <t>0.2 A-F 32hr</t>
  </si>
  <si>
    <t>023SMPL.d</t>
  </si>
  <si>
    <t>12/18/2025 4:16:25 PM</t>
  </si>
  <si>
    <t>0.3 F-A 32hr</t>
  </si>
  <si>
    <t>024SMPL.d</t>
  </si>
  <si>
    <t>12/18/2025 4:21:10 PM</t>
  </si>
  <si>
    <t>0.3 A-F 32hr</t>
  </si>
  <si>
    <t>025SMPL.d</t>
  </si>
  <si>
    <t>12/18/2025 4:25:58 PM</t>
  </si>
  <si>
    <t>2.1 F-A 32hr</t>
  </si>
  <si>
    <t>45  Sc ( ISTD )  [ He ] :  ISTD Recovery Percent value = 128.08 is outside the allowed range [80.00, 120.00]</t>
  </si>
  <si>
    <t>026SMPL.d</t>
  </si>
  <si>
    <t>12/18/2025 4:30:43 PM</t>
  </si>
  <si>
    <t>2.1 A-F 32hr</t>
  </si>
  <si>
    <t>027SMPL.d</t>
  </si>
  <si>
    <t>12/18/2025 4:35:34 PM</t>
  </si>
  <si>
    <t>2.2 F-A 32hr</t>
  </si>
  <si>
    <t>028SMPL.d</t>
  </si>
  <si>
    <t>12/18/2025 4:40:18 PM</t>
  </si>
  <si>
    <t>2.2 A-F 32hr</t>
  </si>
  <si>
    <t>029SMPL.d</t>
  </si>
  <si>
    <t>12/18/2025 4:45:07 PM</t>
  </si>
  <si>
    <t>2.3 F-A 32hr</t>
  </si>
  <si>
    <t>45  Sc ( ISTD )  [ He ] :  ISTD Recovery Percent value = 121.30 is outside the allowed range [80.00, 120.00]</t>
  </si>
  <si>
    <t>030SMPL.d</t>
  </si>
  <si>
    <t>12/18/2025 4:49:52 PM</t>
  </si>
  <si>
    <t>2.3 A-F 32hr</t>
  </si>
  <si>
    <t>031SMPL.d</t>
  </si>
  <si>
    <t>12/18/2025 4:54:40 PM</t>
  </si>
  <si>
    <t>20.1 F-A 32hr</t>
  </si>
  <si>
    <t>45  Sc ( ISTD )  [ He ] :  ISTD Recovery Percent value = 126.00 is outside the allowed range [80.00, 120.00]</t>
  </si>
  <si>
    <t>032SMPL.d</t>
  </si>
  <si>
    <t>12/18/2025 4:59:25 PM</t>
  </si>
  <si>
    <t>20.1 A-F 32hr</t>
  </si>
  <si>
    <t>033SMPL.d</t>
  </si>
  <si>
    <t>12/18/2025 5:04:13 PM</t>
  </si>
  <si>
    <t>20.2 F-A 32hr</t>
  </si>
  <si>
    <t>45  Sc ( ISTD )  [ He ] :  ISTD Recovery Percent value = 121.99 is outside the allowed range [80.00, 120.00]</t>
  </si>
  <si>
    <t>034SMPL.d</t>
  </si>
  <si>
    <t>12/18/2025 5:08:59 PM</t>
  </si>
  <si>
    <t>20.2 A-F 32hr</t>
  </si>
  <si>
    <t>035SMPL.d</t>
  </si>
  <si>
    <t>12/18/2025 5:13:47 PM</t>
  </si>
  <si>
    <t>20.3 F-A 32hr</t>
  </si>
  <si>
    <t>45  Sc ( ISTD )  [ He ] :  ISTD Recovery Percent value = 130.57 is outside the allowed range [80.00, 120.00]</t>
  </si>
  <si>
    <t>036SMPL.d</t>
  </si>
  <si>
    <t>12/18/2025 5:18:32 PM</t>
  </si>
  <si>
    <t>20.3 A-F 32hr</t>
  </si>
  <si>
    <t>037BLKV.d</t>
  </si>
  <si>
    <t>12/18/2025 5:23:19 PM</t>
  </si>
  <si>
    <t>Milli Q</t>
  </si>
  <si>
    <t>72  Ge ( ISTD )  [ He ] :  ISTD Recovery Percent value = 140.04 is outside the allowed range [80.00, 120.00]89  Y ( ISTD )  [ He ] :  ISTD Recovery Percent value = 145.43 is outside the allowed range [80.00, 120.00]</t>
  </si>
  <si>
    <t>038_QC1.d</t>
  </si>
  <si>
    <t>12/18/2025 5:28:02 PM</t>
  </si>
  <si>
    <t>QC1</t>
  </si>
  <si>
    <t>0.1 ppm</t>
  </si>
  <si>
    <t>039BLKV.d</t>
  </si>
  <si>
    <t>12/18/2025 5:32:50 PM</t>
  </si>
  <si>
    <t>040SMPL.d</t>
  </si>
  <si>
    <t>12/18/2025 5:37:36 PM</t>
  </si>
  <si>
    <t>200.1 F-A 32hr</t>
  </si>
  <si>
    <t>45  Sc ( ISTD )  [ He ] :  ISTD Recovery Percent value = 124.62 is outside the allowed range [80.00, 120.00]</t>
  </si>
  <si>
    <t>041SMPL.d</t>
  </si>
  <si>
    <t>12/18/2025 5:42:24 PM</t>
  </si>
  <si>
    <t>200.1 A-F 32hr</t>
  </si>
  <si>
    <t>042SMPL.d</t>
  </si>
  <si>
    <t>12/18/2025 5:47:08 PM</t>
  </si>
  <si>
    <t>200.2 F-A 32hr</t>
  </si>
  <si>
    <t>45  Sc ( ISTD )  [ He ] :  ISTD Recovery Percent value = 129.88 is outside the allowed range [80.00, 120.00]</t>
  </si>
  <si>
    <t>043SMPL.d</t>
  </si>
  <si>
    <t>12/18/2025 5:53:02 PM</t>
  </si>
  <si>
    <t>200.2 A-F 32hr</t>
  </si>
  <si>
    <t>044SMPL.d</t>
  </si>
  <si>
    <t>12/18/2025 5:57:48 PM</t>
  </si>
  <si>
    <t>200.3 F-A 32hr</t>
  </si>
  <si>
    <t>045SMPL.d</t>
  </si>
  <si>
    <t>12/18/2025 6:02:50 PM</t>
  </si>
  <si>
    <t>200.3 A-F 32hr</t>
  </si>
  <si>
    <t>046SMPL.d</t>
  </si>
  <si>
    <t>12/18/2025 6:07:35 PM</t>
  </si>
  <si>
    <t>2000.1 F-A 32hr</t>
  </si>
  <si>
    <t>047SMPL.d</t>
  </si>
  <si>
    <t>12/18/2025 6:12:24 PM</t>
  </si>
  <si>
    <t>2000.1 A-F 32hr</t>
  </si>
  <si>
    <t>048SMPL.d</t>
  </si>
  <si>
    <t>12/18/2025 6:18:46 PM</t>
  </si>
  <si>
    <t>2000.2 F-A 32hr</t>
  </si>
  <si>
    <t>049SMPL.d</t>
  </si>
  <si>
    <t>12/18/2025 6:25:34 PM</t>
  </si>
  <si>
    <t>2000.2 A-F 32hr</t>
  </si>
  <si>
    <t>050SMPL.d</t>
  </si>
  <si>
    <t>12/18/2025 6:32:22 PM</t>
  </si>
  <si>
    <t>2000.3 F-A 32hr</t>
  </si>
  <si>
    <t>051SMPL.d</t>
  </si>
  <si>
    <t>12/18/2025 6:39:08 PM</t>
  </si>
  <si>
    <t>2000.3 A-F 32hr</t>
  </si>
  <si>
    <t>052BLKV.d</t>
  </si>
  <si>
    <t>12/18/2025 6:45:55 PM</t>
  </si>
  <si>
    <t>Milli Q Blk</t>
  </si>
  <si>
    <t>053SMPL.d</t>
  </si>
  <si>
    <t>12/18/2025 6:50:41 PM</t>
  </si>
  <si>
    <t>0uM Co2+</t>
  </si>
  <si>
    <t>054SMPL.d</t>
  </si>
  <si>
    <t>12/18/2025 6:55:30 PM</t>
  </si>
  <si>
    <t>2uM Co2+</t>
  </si>
  <si>
    <t>055SMPL.d</t>
  </si>
  <si>
    <t>12/18/2025 7:00:15 PM</t>
  </si>
  <si>
    <t>20uM Co2+ 10xdil</t>
  </si>
  <si>
    <t>056SMPL.d</t>
  </si>
  <si>
    <t>12/18/2025 7:05:04 PM</t>
  </si>
  <si>
    <t>200uM Co2+ 20xdil</t>
  </si>
  <si>
    <t>057SMPL.d</t>
  </si>
  <si>
    <t>12/18/2025 7:09:50 PM</t>
  </si>
  <si>
    <t>2000uM Co2+ 20xdil</t>
  </si>
  <si>
    <t>058BLKV.d</t>
  </si>
  <si>
    <t>12/18/2025 7:16:35 PM</t>
  </si>
  <si>
    <t>Miliq Blank</t>
  </si>
  <si>
    <t>059BLKV.d</t>
  </si>
  <si>
    <t>12/18/2025 7:21:19 PM</t>
  </si>
  <si>
    <t>060_QC1.d</t>
  </si>
  <si>
    <t>12/18/2025 7:26:06 PM</t>
  </si>
  <si>
    <t>0.1 ppm from cal curve</t>
  </si>
  <si>
    <t>061BLKV.d</t>
  </si>
  <si>
    <t>12/18/2025 7:30:51 PM</t>
  </si>
  <si>
    <t>062BLKV.d</t>
  </si>
  <si>
    <t>12/18/2025 7:35:37 PM</t>
  </si>
  <si>
    <t xml:space="preserve">59  Co  [ He ] </t>
  </si>
  <si>
    <t xml:space="preserve">45  Sc ( ISTD )  [ He ] </t>
  </si>
  <si>
    <t xml:space="preserve">72  Ge ( ISTD )  [ He ] </t>
  </si>
  <si>
    <t xml:space="preserve">89  Y ( ISTD )  [ He ] </t>
  </si>
  <si>
    <t>Comment</t>
  </si>
  <si>
    <t>Conc. [ppm]</t>
  </si>
  <si>
    <t>Dilution</t>
  </si>
  <si>
    <t>Conc. [ ug/L ]</t>
  </si>
  <si>
    <t>2% HNO3</t>
  </si>
  <si>
    <t>0ppm</t>
  </si>
  <si>
    <t>0ppm Co(2+) ICP-MS STD</t>
  </si>
  <si>
    <t>0.001ppm</t>
  </si>
  <si>
    <t>0.001ppm Co(2+) ICP-MS STD</t>
  </si>
  <si>
    <t>0.01ppm</t>
  </si>
  <si>
    <t>0.01ppm Co(2+) ICP-MS STD</t>
  </si>
  <si>
    <t>0.05ppm</t>
  </si>
  <si>
    <t>0.05ppm Co(2+) ICP-MS STD</t>
  </si>
  <si>
    <t>0.1ppm</t>
  </si>
  <si>
    <t>0.1ppm Co(2+) ICP-MS STD</t>
  </si>
  <si>
    <t>0.5ppm</t>
  </si>
  <si>
    <t>0.5ppm Co(2+) ICP-MS STD</t>
  </si>
  <si>
    <t>1ppm</t>
  </si>
  <si>
    <t>1ppm Co(2+) ICP-MS STD</t>
  </si>
  <si>
    <t>10ppm</t>
  </si>
  <si>
    <t>10ppm Co(2+) ICP-MS STD</t>
  </si>
  <si>
    <t>50ppm</t>
  </si>
  <si>
    <t>50ppm Co(2+) ICP-MS STD</t>
  </si>
  <si>
    <t>QC2</t>
  </si>
  <si>
    <t xml:space="preserve">Sample# </t>
  </si>
  <si>
    <t>Conc. [ ug/l ]</t>
  </si>
  <si>
    <t>2025-12-16_32hr_Media_F-A</t>
  </si>
  <si>
    <t>2025-12-16_32hr_Media_A-F</t>
  </si>
  <si>
    <t>2025-12-16_32hr_10%inoc+2µMCo2+_2_F-A</t>
  </si>
  <si>
    <t>2025-12-16_32hr_10%inoc+2µMCo2+_1_F-A</t>
  </si>
  <si>
    <t>2025-12-16_32hr_10%inoc+2µMCo2+_1_A-F</t>
  </si>
  <si>
    <t>2025-12-16_32hr_10%inoc+2µMCo2+_2_A-F</t>
  </si>
  <si>
    <t>2025-12-16_32hr_10%inoc+2µMCo2+_3_F-A</t>
  </si>
  <si>
    <t>2025-12-16_32hr_10%inoc+2µMCo2+_3_A-F</t>
  </si>
  <si>
    <t>2025-12-16_32hr_10%inoc+20µMCo2+_1_F-A</t>
  </si>
  <si>
    <t>2025-12-16_32hr_10%inoc+20µMCo2+_1_A-F</t>
  </si>
  <si>
    <t>2025-12-16_32hr_10%inoc+20µMCo2+_2_F-A</t>
  </si>
  <si>
    <t>2025-12-16_32hr_10%inoc+20µMCo2+_2_A-F</t>
  </si>
  <si>
    <t>2025-12-16_32hr_10%inoc+20µMCo2+_3_F-A</t>
  </si>
  <si>
    <t>2025-12-16_32hr_10%inoc+20µMCo2+_3_A-F</t>
  </si>
  <si>
    <t>2025-12-16_32hr_10%inoc+200µMCo2+_1_F-A</t>
  </si>
  <si>
    <t>2025-12-16_32hr_10%inoc+200µMCo2+_1_A-F</t>
  </si>
  <si>
    <t>2025-12-16_32hr_10%inoc+200µMCo2+_2_F-A</t>
  </si>
  <si>
    <t>2025-12-16_32hr_10%inoc+200µMCo2+_2_A-F</t>
  </si>
  <si>
    <t>2025-12-16_32hr_10%inoc+200µMCo2+_3_F-A</t>
  </si>
  <si>
    <t>2025-12-16_32hr_10%inoc+200µMCo2+_3_A-F</t>
  </si>
  <si>
    <t>2025-12-16_32hr_10%inoc+2000µMCo2+_1_F-A</t>
  </si>
  <si>
    <t>2025-12-16_32hr_10%inoc+2000µMCo2+_1_A-F</t>
  </si>
  <si>
    <t>2025-12-16_32hr_10%inoc+2000µMCo2+_2_F-A</t>
  </si>
  <si>
    <t>2025-12-16_32hr_10%inoc+2000µMCo2+_2_A-F</t>
  </si>
  <si>
    <t>2025-12-16_32hr_10%inoc+2000µMCo2+_3_F-A</t>
  </si>
  <si>
    <t>2025-12-16_32hr_10%inoc+2000µMCo2+_3_A-F</t>
  </si>
  <si>
    <t>2025-12-16_32hr_10%inoc+0µMCo2+_1_F-A</t>
  </si>
  <si>
    <t>2025-12-16_32hr_10%inoc+0µMCo2+_1_A-F</t>
  </si>
  <si>
    <t>2025-12-16_32hr_10%inoc+0µMCo2+_2_F-A</t>
  </si>
  <si>
    <t>2025-12-16_32hr_10%inoc+0µMCo2+_2_A-F</t>
  </si>
  <si>
    <t>2025-12-16_32hr_10%inoc+0µMCo2+_3_F-A</t>
  </si>
  <si>
    <t>2025-12-16_32hr_10%inoc+0µMCo2+_3_A-F</t>
  </si>
  <si>
    <t>0µM Co(2+) from CoCl2 in 2%HNO3</t>
  </si>
  <si>
    <t>2µM Co(2+) from CoCl2 in 2%HNO3</t>
  </si>
  <si>
    <t>20µM Co(2+) from CoCl2 in 2%HNO3, diluted 10-fold</t>
  </si>
  <si>
    <t>200µM Co(2+) from CoCl2 in 2%HNO3, diluted 20-fold</t>
  </si>
  <si>
    <t>2000µM Co(2+) from CoCl2 in 2%HNO3, diluted 20-fold</t>
  </si>
  <si>
    <t>Conc. [ uM ]</t>
  </si>
  <si>
    <t>Acidified-filtered</t>
  </si>
  <si>
    <t>Filtered-acidified</t>
  </si>
  <si>
    <t>Cell-associated Co(2+) [ uM ]</t>
  </si>
  <si>
    <t>Total Co(2+) recovered [ uM ]</t>
  </si>
  <si>
    <t>Cell-associated Co(2+) [ % ]</t>
  </si>
  <si>
    <t>CFU/mL</t>
  </si>
  <si>
    <t>umol Co(2+)/CFU</t>
  </si>
  <si>
    <t>log ( umol Co(2+)/CFU )</t>
  </si>
  <si>
    <t>Cell-associated Co(2+) [ umol/mL ]</t>
  </si>
  <si>
    <t>5/7/2026 2:09:29 PM</t>
  </si>
  <si>
    <t>5/7/2026 2:14:15 PM</t>
  </si>
  <si>
    <t>5/7/2026 2:19:02 PM</t>
  </si>
  <si>
    <t>5/7/2026 2:23:46 PM</t>
  </si>
  <si>
    <t>5/7/2026 2:28:33 PM</t>
  </si>
  <si>
    <t>5/7/2026 2:33:17 PM</t>
  </si>
  <si>
    <t>5/7/2026 2:38:05 PM</t>
  </si>
  <si>
    <t>5/7/2026 2:42:49 PM</t>
  </si>
  <si>
    <t>5/7/2026 2:47:36 PM</t>
  </si>
  <si>
    <t>5/7/2026 2:52:20 PM</t>
  </si>
  <si>
    <t>5/7/2026 2:57:07 PM</t>
  </si>
  <si>
    <t>5/7/2026 3:01:51 PM</t>
  </si>
  <si>
    <t>5/7/2026 3:07:33 PM</t>
  </si>
  <si>
    <t>5/7/2026 3:12:17 PM</t>
  </si>
  <si>
    <t>5/7/2026 3:19:04 PM</t>
  </si>
  <si>
    <t>5/7/2026 3:23:48 PM</t>
  </si>
  <si>
    <t>5/7/2026 3:29:37 PM</t>
  </si>
  <si>
    <t>5/7/2026 3:34:22 PM</t>
  </si>
  <si>
    <t>5/7/2026 3:39:37 PM</t>
  </si>
  <si>
    <t>5/7/2026 3:44:22 PM</t>
  </si>
  <si>
    <t>5/7/2026 3:49:10 PM</t>
  </si>
  <si>
    <t>022BLKV.d</t>
  </si>
  <si>
    <t>5/7/2026 3:54:34 PM</t>
  </si>
  <si>
    <t>023BLKV.d</t>
  </si>
  <si>
    <t>5/7/2026 3:59:42 PM</t>
  </si>
  <si>
    <t>5/7/2026 4:04:26 PM</t>
  </si>
  <si>
    <t>DM F-A 48hr</t>
  </si>
  <si>
    <t>5/7/2026 4:09:15 PM</t>
  </si>
  <si>
    <t>0.1 F-A 48hr</t>
  </si>
  <si>
    <t>59  Co  [ He ] :  CPS RSD value = 5.56 is over the allowed maximum = 5.00</t>
  </si>
  <si>
    <t>5/7/2026 4:13:59 PM</t>
  </si>
  <si>
    <t>0.2 F-A 48hr</t>
  </si>
  <si>
    <t>5/7/2026 4:20:46 PM</t>
  </si>
  <si>
    <t>0.3 F-A 48hr</t>
  </si>
  <si>
    <t>5/7/2026 4:27:33 PM</t>
  </si>
  <si>
    <t>2.1 F-A 48hr</t>
  </si>
  <si>
    <t>5/7/2026 4:33:33 PM</t>
  </si>
  <si>
    <t>2.2 F-A 48hr</t>
  </si>
  <si>
    <t>5/7/2026 4:39:06 PM</t>
  </si>
  <si>
    <t>2.3 F-A 48hr</t>
  </si>
  <si>
    <t>5/7/2026 4:43:51 PM</t>
  </si>
  <si>
    <t>20.1 F-A 48hr</t>
  </si>
  <si>
    <t>45  Sc ( ISTD )  [ He ] :  ISTD Recovery Percent value = 120.49 is outside the allowed range [80.00, 120.00]</t>
  </si>
  <si>
    <t>5/7/2026 4:48:40 PM</t>
  </si>
  <si>
    <t>20.2 F-A 48hr</t>
  </si>
  <si>
    <t>5/7/2026 4:53:49 PM</t>
  </si>
  <si>
    <t>20.3 F-A 48hr</t>
  </si>
  <si>
    <t>5/7/2026 4:58:34 PM</t>
  </si>
  <si>
    <t>200.1 F-A 48hr</t>
  </si>
  <si>
    <t>035BLKV.d</t>
  </si>
  <si>
    <t>5/7/2026 5:05:19 PM</t>
  </si>
  <si>
    <t>036_QC1.d</t>
  </si>
  <si>
    <t>5/7/2026 5:10:04 PM</t>
  </si>
  <si>
    <t>1 ppm</t>
  </si>
  <si>
    <t>5/7/2026 5:15:06 PM</t>
  </si>
  <si>
    <t>038SMPL.d</t>
  </si>
  <si>
    <t>5/7/2026 5:20:31 PM</t>
  </si>
  <si>
    <t>200.2 F-A 48hr</t>
  </si>
  <si>
    <t>039SMPL.d</t>
  </si>
  <si>
    <t>5/7/2026 5:25:47 PM</t>
  </si>
  <si>
    <t>200.3 F-A 48hr</t>
  </si>
  <si>
    <t>5/7/2026 5:32:21 PM</t>
  </si>
  <si>
    <t>2000.1 F-A 48hr</t>
  </si>
  <si>
    <t>5/7/2026 5:37:06 PM</t>
  </si>
  <si>
    <t>2000.2 F-A 48hr</t>
  </si>
  <si>
    <t>5/7/2026 5:42:04 PM</t>
  </si>
  <si>
    <t>2000.3 F-A 48hr</t>
  </si>
  <si>
    <t>043BLKV.d</t>
  </si>
  <si>
    <t>5/7/2026 5:47:56 PM</t>
  </si>
  <si>
    <t>044BLKV.d</t>
  </si>
  <si>
    <t>5/7/2026 5:52:39 PM</t>
  </si>
  <si>
    <t>5/7/2026 5:57:27 PM</t>
  </si>
  <si>
    <t>DM A-F 48hr</t>
  </si>
  <si>
    <t>45  Sc ( ISTD )  [ He ] :  ISTD Recovery Percent value = 120.93 is outside the allowed range [80.00, 120.00]</t>
  </si>
  <si>
    <t>5/7/2026 6:02:11 PM</t>
  </si>
  <si>
    <t>0.1 A-F 48hr</t>
  </si>
  <si>
    <t>45  Sc ( ISTD )  [ He ] :  ISTD Recovery Percent value = 133.15 is outside the allowed range [80.00, 120.00]89  Y ( ISTD )  [ He ] :  ISTD Recovery Percent value = 124.67 is outside the allowed range [80.00, 120.00]</t>
  </si>
  <si>
    <t>5/7/2026 6:07:00 PM</t>
  </si>
  <si>
    <t>0.2 A-F 48hr</t>
  </si>
  <si>
    <t>5/7/2026 6:11:45 PM</t>
  </si>
  <si>
    <t>0.3 A-F 48hr</t>
  </si>
  <si>
    <t>45  Sc ( ISTD )  [ He ] :  ISTD Recovery Percent value = 132.82 is outside the allowed range [80.00, 120.00]</t>
  </si>
  <si>
    <t>5/7/2026 6:16:34 PM</t>
  </si>
  <si>
    <t>2.1 A-F 48hr</t>
  </si>
  <si>
    <t>45  Sc ( ISTD )  [ He ] :  ISTD Recovery Percent value = 143.51 is outside the allowed range [80.00, 120.00]</t>
  </si>
  <si>
    <t>5/7/2026 6:21:20 PM</t>
  </si>
  <si>
    <t>2.2 A-F 48hr</t>
  </si>
  <si>
    <t>45  Sc ( ISTD )  [ He ] :  ISTD Recovery Percent value = 76.10 is outside the allowed range [80.00, 120.00]89  Y ( ISTD )  [ He ] :  ISTD Recovery Percent value = 78.27 is outside the allowed range [80.00, 120.00]</t>
  </si>
  <si>
    <t>5/7/2026 6:26:08 PM</t>
  </si>
  <si>
    <t>2.3 A-F 48hr</t>
  </si>
  <si>
    <t>45  Sc ( ISTD )  [ He ] :  ISTD Recovery Percent value = 128.42 is outside the allowed range [80.00, 120.00]</t>
  </si>
  <si>
    <t>052SMPL.d</t>
  </si>
  <si>
    <t>5/7/2026 6:30:53 PM</t>
  </si>
  <si>
    <t>20.1 A-F 48hr</t>
  </si>
  <si>
    <t>45  Sc ( ISTD )  [ He ] :  ISTD Recovery Percent value = 149.34 is outside the allowed range [80.00, 120.00]</t>
  </si>
  <si>
    <t>5/7/2026 6:35:41 PM</t>
  </si>
  <si>
    <t>20.2 A-F 48hr</t>
  </si>
  <si>
    <t>45  Sc ( ISTD )  [ He ] :  ISTD Recovery Percent value = 132.71 is outside the allowed range [80.00, 120.00]</t>
  </si>
  <si>
    <t>5/7/2026 6:40:26 PM</t>
  </si>
  <si>
    <t>20.3 A-F 48hr</t>
  </si>
  <si>
    <t>5/7/2026 6:45:14 PM</t>
  </si>
  <si>
    <t>200.1 A-F 48hr</t>
  </si>
  <si>
    <t>056BLKV.d</t>
  </si>
  <si>
    <t>5/7/2026 6:50:20 PM</t>
  </si>
  <si>
    <t>59  Co  [ He ] :  Calibration Stability(QC1) value = 121.02% is outside the allowed range [80.00%, 120.00%]</t>
  </si>
  <si>
    <t>057_QC1.d</t>
  </si>
  <si>
    <t>5/7/2026 6:55:13 PM</t>
  </si>
  <si>
    <t>5/7/2026 7:00:00 PM</t>
  </si>
  <si>
    <t>45  Sc ( ISTD )  [ He ] :  ISTD Recovery Percent value = 131.72 is outside the allowed range [80.00, 120.00]</t>
  </si>
  <si>
    <t>059SMPL.d</t>
  </si>
  <si>
    <t>5/7/2026 7:04:45 PM</t>
  </si>
  <si>
    <t>200.2 A-F 48hr</t>
  </si>
  <si>
    <t>45  Sc ( ISTD )  [ He ] :  ISTD Recovery Percent value = 124.45 is outside the allowed range [80.00, 120.00]</t>
  </si>
  <si>
    <t>060SMPL.d</t>
  </si>
  <si>
    <t>5/7/2026 7:09:33 PM</t>
  </si>
  <si>
    <t>200.3 A-F 48hr</t>
  </si>
  <si>
    <t>061SMPL.d</t>
  </si>
  <si>
    <t>5/7/2026 7:16:20 PM</t>
  </si>
  <si>
    <t>2000.1 A-F 48hr</t>
  </si>
  <si>
    <t>062SMPL.d</t>
  </si>
  <si>
    <t>5/7/2026 7:23:08 PM</t>
  </si>
  <si>
    <t>2000.2 A-F 48hr</t>
  </si>
  <si>
    <t>89  Y ( ISTD )  [ He ] :  ISTD Recovery Percent value = 78.96 is outside the allowed range [80.00, 120.00]</t>
  </si>
  <si>
    <t>063SMPL.d</t>
  </si>
  <si>
    <t>5/7/2026 7:29:56 PM</t>
  </si>
  <si>
    <t>2000.3 A-F 48hr</t>
  </si>
  <si>
    <t>064BLKV.d</t>
  </si>
  <si>
    <t>5/7/2026 7:36:42 PM</t>
  </si>
  <si>
    <t>065BLKV.d</t>
  </si>
  <si>
    <t>5/7/2026 7:42:30 PM</t>
  </si>
  <si>
    <t>066SMPL.d</t>
  </si>
  <si>
    <t>5/7/2026 7:47:14 PM</t>
  </si>
  <si>
    <t>DM E-A-F 48hr</t>
  </si>
  <si>
    <t>067SMPL.d</t>
  </si>
  <si>
    <t>5/7/2026 7:54:03 PM</t>
  </si>
  <si>
    <t>0.1 E-A-F 48hr</t>
  </si>
  <si>
    <t>068SMPL.d</t>
  </si>
  <si>
    <t>5/7/2026 7:59:51 PM</t>
  </si>
  <si>
    <t>0.2 E-A-F 48hr</t>
  </si>
  <si>
    <t>069SMPL.d</t>
  </si>
  <si>
    <t>5/7/2026 8:05:40 PM</t>
  </si>
  <si>
    <t>0.3 E-A-F 48hr</t>
  </si>
  <si>
    <t>45  Sc ( ISTD )  [ He ] :  ISTD Recovery Percent value = 125.44 is outside the allowed range [80.00, 120.00]</t>
  </si>
  <si>
    <t>070SMPL.d</t>
  </si>
  <si>
    <t>5/7/2026 8:11:06 PM</t>
  </si>
  <si>
    <t>2.1 E-A-F 48hr</t>
  </si>
  <si>
    <t>071SMPL.d</t>
  </si>
  <si>
    <t>5/7/2026 8:17:23 PM</t>
  </si>
  <si>
    <t>2.2 E-A-F 48hr</t>
  </si>
  <si>
    <t>072SMPL.d</t>
  </si>
  <si>
    <t>5/7/2026 8:22:09 PM</t>
  </si>
  <si>
    <t>2.3 E-A-F 48hr</t>
  </si>
  <si>
    <t>073SMPL.d</t>
  </si>
  <si>
    <t>5/7/2026 8:26:57 PM</t>
  </si>
  <si>
    <t>20.1 E-A-F 48hr</t>
  </si>
  <si>
    <t>45  Sc ( ISTD )  [ He ] :  ISTD Recovery Percent value = 124.01 is outside the allowed range [80.00, 120.00]</t>
  </si>
  <si>
    <t>074SMPL.d</t>
  </si>
  <si>
    <t>5/7/2026 8:31:42 PM</t>
  </si>
  <si>
    <t>20.2 E-A-F 48hr</t>
  </si>
  <si>
    <t>075SMPL.d</t>
  </si>
  <si>
    <t>5/7/2026 8:36:30 PM</t>
  </si>
  <si>
    <t>20.3 E-A-F 48hr</t>
  </si>
  <si>
    <t>076SMPL.d</t>
  </si>
  <si>
    <t>5/7/2026 8:41:15 PM</t>
  </si>
  <si>
    <t>200.1 E-A-F 48hr</t>
  </si>
  <si>
    <t>077BLKV.d</t>
  </si>
  <si>
    <t>5/7/2026 8:46:31 PM</t>
  </si>
  <si>
    <t>078_QC1.d</t>
  </si>
  <si>
    <t>5/7/2026 8:51:41 PM</t>
  </si>
  <si>
    <t>079BLKV.d</t>
  </si>
  <si>
    <t>5/7/2026 8:56:26 PM</t>
  </si>
  <si>
    <t>080SMPL.d</t>
  </si>
  <si>
    <t>5/7/2026 9:01:15 PM</t>
  </si>
  <si>
    <t>200.2 E-A-F 48hr</t>
  </si>
  <si>
    <t>081SMPL.d</t>
  </si>
  <si>
    <t>5/7/2026 9:06:38 PM</t>
  </si>
  <si>
    <t>200.3 E-A-F 48hr</t>
  </si>
  <si>
    <t>45  Sc ( ISTD )  [ He ] :  ISTD Recovery Percent value = 127.75 is outside the allowed range [80.00, 120.00]</t>
  </si>
  <si>
    <t>082SMPL.d</t>
  </si>
  <si>
    <t>5/7/2026 9:11:22 PM</t>
  </si>
  <si>
    <t>2000.1 E-A-F 48hr</t>
  </si>
  <si>
    <t>72  Ge ( ISTD )  [ He ] :  ISTD Recovery Percent value = 79.40 is outside the allowed range [80.00, 120.00]</t>
  </si>
  <si>
    <t>083SMPL.d</t>
  </si>
  <si>
    <t>5/7/2026 9:16:29 PM</t>
  </si>
  <si>
    <t>2000.2 E-A-F 48hr</t>
  </si>
  <si>
    <t>084SMPL.d</t>
  </si>
  <si>
    <t>5/7/2026 9:21:38 PM</t>
  </si>
  <si>
    <t>2000.3 E-A-F 48hr</t>
  </si>
  <si>
    <t>45  Sc ( ISTD )  [ He ] :  ISTD Recovery Percent value = 123.35 is outside the allowed range [80.00, 120.00]</t>
  </si>
  <si>
    <t>085SMPL.d</t>
  </si>
  <si>
    <t>5/7/2026 9:26:37 PM</t>
  </si>
  <si>
    <t>086SMPL.d</t>
  </si>
  <si>
    <t>5/7/2026 9:31:45 PM</t>
  </si>
  <si>
    <t>087SMPL.d</t>
  </si>
  <si>
    <t>5/7/2026 9:36:56 PM</t>
  </si>
  <si>
    <t>72  Ge ( ISTD )  [ He ] :  ISTD Recovery Percent value = 73.50 is outside the allowed range [80.00, 120.00]89  Y ( ISTD )  [ He ] :  ISTD Recovery Percent value = 69.28 is outside the allowed range [80.00, 120.00]</t>
  </si>
  <si>
    <t>088SMPL.d</t>
  </si>
  <si>
    <t>5/7/2026 9:41:43 PM</t>
  </si>
  <si>
    <t>089SMPL.d</t>
  </si>
  <si>
    <t>5/7/2026 9:46:49 PM</t>
  </si>
  <si>
    <t>89  Y ( ISTD )  [ He ] :  ISTD Recovery Percent value = 120.63 is outside the allowed range [80.00, 120.00]</t>
  </si>
  <si>
    <t>090BLKV.d</t>
  </si>
  <si>
    <t>5/7/2026 9:51:32 PM</t>
  </si>
  <si>
    <t>091BLKV.d</t>
  </si>
  <si>
    <t>5/7/2026 9:57:45 PM</t>
  </si>
  <si>
    <t>45  Sc ( ISTD )  [ He ] :  ISTD Recovery Percent value = 130.29 is outside the allowed range [80.00, 120.00]</t>
  </si>
  <si>
    <t>092_QC1.d</t>
  </si>
  <si>
    <t>5/7/2026 10:02:28 PM</t>
  </si>
  <si>
    <t>1 ppm from cal curve</t>
  </si>
  <si>
    <t>093BLKV.d</t>
  </si>
  <si>
    <t>5/7/2026 10:07:15 PM</t>
  </si>
  <si>
    <t>094BLKV.d</t>
  </si>
  <si>
    <t>5/7/2026 10:12:23 PM</t>
  </si>
  <si>
    <t>Run 2</t>
  </si>
  <si>
    <t>Run 1</t>
  </si>
  <si>
    <t>2026-05-01_48hr_Media_F-A</t>
  </si>
  <si>
    <t>2026-05-01_48hr_10%inoc+0µMCo2+_1_F-A</t>
  </si>
  <si>
    <t>2026-05-01_48hr_10%inoc+0µMCo2+_2_F-A</t>
  </si>
  <si>
    <t>2026-05-01_48hr_10%inoc+0µMCo2+_3_F-A</t>
  </si>
  <si>
    <t>2026-05-01_48hr_10%inoc+2µMCo2+_1_F-A</t>
  </si>
  <si>
    <t>2026-05-01_48hr_10%inoc+2µMCo2+_2_F-A</t>
  </si>
  <si>
    <t>2026-05-01_48hr_10%inoc+2µMCo2+_3_F-A</t>
  </si>
  <si>
    <t>2026-05-01_48hr_10%inoc+20µMCo2+_1_F-A</t>
  </si>
  <si>
    <t>2026-05-01_48hr_10%inoc+20µMCo2+_2_F-A</t>
  </si>
  <si>
    <t>2026-05-01_48hr_10%inoc+20µMCo2+_3_F-A</t>
  </si>
  <si>
    <t>2026-05-01_48hr_10%inoc+200µMCo2+_1_F-A</t>
  </si>
  <si>
    <t>2026-05-01_48hr_10%inoc+200µMCo2+_2_F-A</t>
  </si>
  <si>
    <t>2026-05-01_48hr_10%inoc+200µMCo2+_3_F-A</t>
  </si>
  <si>
    <t>2026-05-01_48hr_10%inoc+2000µMCo2+_1_F-A</t>
  </si>
  <si>
    <t>2026-05-01_48hr_10%inoc+2000µMCo2+_2_F-A</t>
  </si>
  <si>
    <t>2026-05-01_48hr_10%inoc+2000µMCo2+_3_F-A</t>
  </si>
  <si>
    <t>2026-05-01_48hr_Media_A-F</t>
  </si>
  <si>
    <t>2026-05-01_48hr_10%inoc+0µMCo2+_1_A-F</t>
  </si>
  <si>
    <t>2026-05-01_48hr_10%inoc+0µMCo2+_2_A-F</t>
  </si>
  <si>
    <t>2026-05-01_48hr_10%inoc+0µMCo2+_3_A-F</t>
  </si>
  <si>
    <t>2026-05-01_48hr_10%inoc+2µMCo2+_1_A-F</t>
  </si>
  <si>
    <t>2026-05-01_48hr_10%inoc+2µMCo2+_2_A-F</t>
  </si>
  <si>
    <t>2026-05-01_48hr_10%inoc+2µMCo2+_3_A-F</t>
  </si>
  <si>
    <t>2026-05-01_48hr_10%inoc+20µMCo2+_1_A-F</t>
  </si>
  <si>
    <t>2026-05-01_48hr_10%inoc+20µMCo2+_2_A-F</t>
  </si>
  <si>
    <t>2026-05-01_48hr_10%inoc+20µMCo2+_3_A-F</t>
  </si>
  <si>
    <t>2026-05-01_48hr_10%inoc+200µMCo2+_1_A-F</t>
  </si>
  <si>
    <t>2026-05-01_48hr_10%inoc+200µMCo2+_2_A-F</t>
  </si>
  <si>
    <t>2026-05-01_48hr_10%inoc+200µMCo2+_3_A-F</t>
  </si>
  <si>
    <t>2026-05-01_48hr_10%inoc+2000µMCo2+_1_A-F</t>
  </si>
  <si>
    <t>2026-05-01_48hr_10%inoc+2000µMCo2+_2_A-F</t>
  </si>
  <si>
    <t>2026-05-01_48hr_10%inoc+2000µMCo2+_3_A-F</t>
  </si>
  <si>
    <t>2026-05-01_48hr_Media_E-A-F</t>
  </si>
  <si>
    <t>2026-05-01_48hr_10%inoc+0µMCo2+_1_E-A-F</t>
  </si>
  <si>
    <t>2026-05-01_48hr_10%inoc+0µMCo2+_2_E-A-F</t>
  </si>
  <si>
    <t>2026-05-01_48hr_10%inoc+0µMCo2+_3_E-A-F</t>
  </si>
  <si>
    <t>2026-05-01_48hr_10%inoc+2µMCo2+_1_E-A-F</t>
  </si>
  <si>
    <t>2026-05-01_48hr_10%inoc+2µMCo2+_2_E-A-F</t>
  </si>
  <si>
    <t>2026-05-01_48hr_10%inoc+2µMCo2+_3_E-A-F</t>
  </si>
  <si>
    <t>2026-05-01_48hr_10%inoc+20µMCo2+_1_E-A-F</t>
  </si>
  <si>
    <t>2026-05-01_48hr_10%inoc+20µMCo2+_2_E-A-F</t>
  </si>
  <si>
    <t>2026-05-01_48hr_10%inoc+20µMCo2+_3_E-A-F</t>
  </si>
  <si>
    <t>2026-05-01_48hr_10%inoc+200µMCo2+_1_E-A-F</t>
  </si>
  <si>
    <t>2026-05-01_48hr_10%inoc+200µMCo2+_2_E-A-F</t>
  </si>
  <si>
    <t>2026-05-01_48hr_10%inoc+200µMCo2+_3_E-A-F</t>
  </si>
  <si>
    <t>2026-05-01_48hr_10%inoc+2000µMCo2+_1_E-A-F</t>
  </si>
  <si>
    <t>2026-05-01_48hr_10%inoc+2000µMCo2+_2_E-A-F</t>
  </si>
  <si>
    <t>2026-05-01_48hr_10%inoc+2000µMCo2+_3_E-A-F</t>
  </si>
  <si>
    <t>QC3</t>
  </si>
  <si>
    <t>QC4</t>
  </si>
  <si>
    <t>Run Date</t>
  </si>
  <si>
    <t>Date</t>
  </si>
  <si>
    <t>EDTA rinse</t>
  </si>
  <si>
    <t>**Note: samples with log(µmol Co2+/CFU) = #NUM! were removed when plotting the data</t>
  </si>
  <si>
    <t>Free Co(2+) recovered [ uM ]</t>
  </si>
  <si>
    <t>Cell-adsorbed Co(2+) [ uM ]</t>
  </si>
  <si>
    <t>Intracellular Co(2+) [ uM ]</t>
  </si>
  <si>
    <t>Cell-adsorbed Co(2+) [ % of total ]</t>
  </si>
  <si>
    <t>Cell-adsorbed Co(2+) [ % of cell-associated ]</t>
  </si>
  <si>
    <t>Free Co(2+) recovered [ % of total ]</t>
  </si>
  <si>
    <t>Cell-associated Co(2+) [ % of total ]</t>
  </si>
  <si>
    <t>Intracellular Co(2+) [ % of total ]</t>
  </si>
  <si>
    <t>Intracellular Co(2+) [ % of cell-associated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</si>
</sst>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0" borderId="10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18" fillId="33" borderId="0" xfId="0" applyFont="1" applyFill="1"/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vertical="center"/>
    </xf>
    <xf numFmtId="0" fontId="18" fillId="33" borderId="13" xfId="0" applyFont="1" applyFill="1" applyBorder="1"/>
    <xf numFmtId="0" fontId="18" fillId="34" borderId="14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0" borderId="13" xfId="0" applyFont="1" applyBorder="1"/>
    <xf numFmtId="0" fontId="18" fillId="0" borderId="0" xfId="0" applyFont="1" applyAlignment="1">
      <alignment horizontal="left" vertical="top"/>
    </xf>
    <xf numFmtId="0" fontId="0" fillId="0" borderId="16" xfId="0" applyBorder="1"/>
    <xf numFmtId="0" fontId="18" fillId="0" borderId="16" xfId="0" applyFont="1" applyBorder="1"/>
    <xf numFmtId="0" fontId="18" fillId="0" borderId="14" xfId="0" applyFont="1" applyBorder="1"/>
    <xf numFmtId="0" fontId="18" fillId="0" borderId="12" xfId="0" applyFont="1" applyBorder="1"/>
    <xf numFmtId="0" fontId="18" fillId="0" borderId="15" xfId="0" applyFont="1" applyBorder="1"/>
    <xf numFmtId="0" fontId="18" fillId="34" borderId="13" xfId="0" applyFont="1" applyFill="1" applyBorder="1" applyAlignment="1">
      <alignment horizontal="center" vertical="center"/>
    </xf>
    <xf numFmtId="0" fontId="0" fillId="35" borderId="10" xfId="0" applyFill="1" applyBorder="1"/>
    <xf numFmtId="0" fontId="18" fillId="0" borderId="17" xfId="0" applyFont="1" applyBorder="1" applyAlignment="1">
      <alignment vertical="center"/>
    </xf>
    <xf numFmtId="0" fontId="0" fillId="0" borderId="17" xfId="0" applyBorder="1"/>
    <xf numFmtId="164" fontId="0" fillId="0" borderId="0" xfId="0" applyNumberFormat="1"/>
    <xf numFmtId="164" fontId="0" fillId="0" borderId="13" xfId="0" applyNumberFormat="1" applyBorder="1"/>
    <xf numFmtId="0" fontId="18" fillId="36" borderId="14" xfId="0" applyFont="1" applyFill="1" applyBorder="1" applyAlignment="1">
      <alignment horizontal="center" vertical="center"/>
    </xf>
    <xf numFmtId="0" fontId="0" fillId="35" borderId="19" xfId="0" applyFill="1" applyBorder="1"/>
    <xf numFmtId="0" fontId="0" fillId="35" borderId="18" xfId="0" applyFill="1" applyBorder="1"/>
    <xf numFmtId="0" fontId="0" fillId="35" borderId="15" xfId="0" applyFill="1" applyBorder="1"/>
    <xf numFmtId="164" fontId="18" fillId="0" borderId="0" xfId="0" applyNumberFormat="1" applyFont="1"/>
    <xf numFmtId="164" fontId="0" fillId="0" borderId="16" xfId="0" applyNumberFormat="1" applyBorder="1"/>
    <xf numFmtId="2" fontId="0" fillId="0" borderId="0" xfId="0" applyNumberFormat="1"/>
    <xf numFmtId="11" fontId="0" fillId="0" borderId="0" xfId="0" applyNumberFormat="1"/>
    <xf numFmtId="0" fontId="16" fillId="0" borderId="0" xfId="0" applyFont="1"/>
    <xf numFmtId="0" fontId="18" fillId="0" borderId="13" xfId="0" applyFont="1" applyBorder="1" applyAlignment="1">
      <alignment horizontal="right" vertical="top"/>
    </xf>
    <xf numFmtId="0" fontId="18" fillId="0" borderId="13" xfId="0" applyFont="1" applyBorder="1" applyAlignment="1">
      <alignment horizontal="right"/>
    </xf>
    <xf numFmtId="14" fontId="18" fillId="0" borderId="12" xfId="0" applyNumberFormat="1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5" fontId="0" fillId="0" borderId="0" xfId="0" applyNumberFormat="1"/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3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36236116180844"/>
          <c:y val="0.15378948678845974"/>
          <c:w val="0.83171001476377948"/>
          <c:h val="0.7993970713696312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'Figure S9B'!$H$3:$H$19</c:f>
              <c:numCache>
                <c:formatCode>0.0000</c:formatCode>
                <c:ptCount val="17"/>
                <c:pt idx="0">
                  <c:v>15.7805800279452</c:v>
                </c:pt>
                <c:pt idx="1">
                  <c:v>16.289630996588595</c:v>
                </c:pt>
                <c:pt idx="2">
                  <c:v>16.119947340374132</c:v>
                </c:pt>
                <c:pt idx="3">
                  <c:v>17.307732933875382</c:v>
                </c:pt>
                <c:pt idx="4">
                  <c:v>17.477416590089849</c:v>
                </c:pt>
                <c:pt idx="5">
                  <c:v>17.138049277660919</c:v>
                </c:pt>
                <c:pt idx="6">
                  <c:v>170.70175815175133</c:v>
                </c:pt>
                <c:pt idx="7">
                  <c:v>162.89630996588596</c:v>
                </c:pt>
                <c:pt idx="8">
                  <c:v>159.16326952916771</c:v>
                </c:pt>
                <c:pt idx="9">
                  <c:v>180.8827775246192</c:v>
                </c:pt>
                <c:pt idx="10">
                  <c:v>170.70175815175133</c:v>
                </c:pt>
                <c:pt idx="11">
                  <c:v>178.16783902518776</c:v>
                </c:pt>
                <c:pt idx="12">
                  <c:v>1523.4198654934626</c:v>
                </c:pt>
                <c:pt idx="13">
                  <c:v>1596.7232049781112</c:v>
                </c:pt>
                <c:pt idx="14">
                  <c:v>1588.9177567922461</c:v>
                </c:pt>
                <c:pt idx="15">
                  <c:v>1690.7279505209247</c:v>
                </c:pt>
                <c:pt idx="16">
                  <c:v>1730.0945587626804</c:v>
                </c:pt>
              </c:numCache>
            </c:numRef>
          </c:xVal>
          <c:yVal>
            <c:numRef>
              <c:f>'Figure S9B'!$I$3:$I$19</c:f>
              <c:numCache>
                <c:formatCode>General</c:formatCode>
                <c:ptCount val="17"/>
                <c:pt idx="0">
                  <c:v>-12.975835023284134</c:v>
                </c:pt>
                <c:pt idx="1">
                  <c:v>-12.810170540691592</c:v>
                </c:pt>
                <c:pt idx="2">
                  <c:v>-12.508347312876674</c:v>
                </c:pt>
                <c:pt idx="3">
                  <c:v>-12.267684627351192</c:v>
                </c:pt>
                <c:pt idx="4">
                  <c:v>-12.247481241262905</c:v>
                </c:pt>
                <c:pt idx="5">
                  <c:v>-12.55568982155401</c:v>
                </c:pt>
                <c:pt idx="6">
                  <c:v>-8.5408244082605957</c:v>
                </c:pt>
                <c:pt idx="7">
                  <c:v>-9.3897142330576226</c:v>
                </c:pt>
                <c:pt idx="8">
                  <c:v>-9.2208290464914722</c:v>
                </c:pt>
                <c:pt idx="9">
                  <c:v>-8.7264545008441612</c:v>
                </c:pt>
                <c:pt idx="10">
                  <c:v>-8.214057485775955</c:v>
                </c:pt>
                <c:pt idx="11">
                  <c:v>-8.3695533372196049</c:v>
                </c:pt>
                <c:pt idx="12">
                  <c:v>-8.5845287895996272</c:v>
                </c:pt>
                <c:pt idx="13">
                  <c:v>-7.8835725107736989</c:v>
                </c:pt>
                <c:pt idx="14">
                  <c:v>-6.0927530338227491</c:v>
                </c:pt>
                <c:pt idx="15">
                  <c:v>-8.27421549451015</c:v>
                </c:pt>
                <c:pt idx="16">
                  <c:v>-7.4041918222151049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05-0646-A2EE-99E265B69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510688"/>
        <c:axId val="332512688"/>
      </c:scatterChart>
      <c:valAx>
        <c:axId val="332510688"/>
        <c:scaling>
          <c:orientation val="minMax"/>
          <c:max val="3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Co(2+) concentration recovered (µM)</a:t>
                </a:r>
              </a:p>
            </c:rich>
          </c:tx>
          <c:layout>
            <c:manualLayout>
              <c:xMode val="edge"/>
              <c:yMode val="edge"/>
              <c:x val="0.21632515513375397"/>
              <c:y val="3.418972332015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high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2512688"/>
        <c:crosses val="autoZero"/>
        <c:crossBetween val="midCat"/>
      </c:valAx>
      <c:valAx>
        <c:axId val="332512688"/>
        <c:scaling>
          <c:orientation val="minMax"/>
          <c:max val="-4"/>
          <c:min val="-1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</a:t>
                </a:r>
                <a:r>
                  <a:rPr lang="en-US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10[</a:t>
                </a:r>
                <a:r>
                  <a:rPr lang="en-US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µmol Co(2+)/CFU]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2510688"/>
        <c:crosses val="autoZero"/>
        <c:crossBetween val="midCat"/>
        <c:majorUnit val="2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712807</xdr:colOff>
      <xdr:row>34</xdr:row>
      <xdr:rowOff>163314</xdr:rowOff>
    </xdr:from>
    <xdr:to>
      <xdr:col>20</xdr:col>
      <xdr:colOff>382606</xdr:colOff>
      <xdr:row>38</xdr:row>
      <xdr:rowOff>121959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59AED4-4146-8949-BBF0-65EA16871706}"/>
            </a:ext>
          </a:extLst>
        </xdr:cNvPr>
        <xdr:cNvSpPr txBox="1"/>
      </xdr:nvSpPr>
      <xdr:spPr>
        <a:xfrm>
          <a:off x="16900568" y="7252568"/>
          <a:ext cx="7176068" cy="792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Figure S5B:</a:t>
          </a:r>
          <a:r>
            <a:rPr lang="en-US" sz="1100" baseline="0"/>
            <a:t> log(µmol </a:t>
          </a:r>
          <a:r>
            <a:rPr lang="en-US" sz="1100"/>
            <a:t>Co(2+) per CFU) normalized to total µM Co(2+) concentration recovered from</a:t>
          </a:r>
          <a:r>
            <a:rPr lang="en-US" sz="1100" baseline="0"/>
            <a:t> A-F treatment for dose-response experiments. Cobalt per cell values for concentration levels of 0µM, 2µM, and one outlier from 2000µM were removed since log transformation gave null values. Equation for logarithmic curve is </a:t>
          </a: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y=1.0967ln(x) - 15.231,</a:t>
          </a:r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R^2 value is 0.854</a:t>
          </a:r>
          <a:endParaRPr lang="en-US" sz="1100"/>
        </a:p>
      </xdr:txBody>
    </xdr:sp>
    <xdr:clientData/>
  </xdr:twoCellAnchor>
  <xdr:twoCellAnchor>
    <xdr:from>
      <xdr:col>11</xdr:col>
      <xdr:colOff>206591</xdr:colOff>
      <xdr:row>1</xdr:row>
      <xdr:rowOff>95925</xdr:rowOff>
    </xdr:from>
    <xdr:to>
      <xdr:col>21</xdr:col>
      <xdr:colOff>79590</xdr:colOff>
      <xdr:row>33</xdr:row>
      <xdr:rowOff>189552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A5E6D-2FDE-7944-AD38-0A1D05BFE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959"/>
  <sheetViews>
    <sheetView workbookViewId="0">
      <selection activeCell="B9" sqref="B9"/>
    </sheetView>
  </sheetViews>
  <sheetFormatPr baseColWidth="10" defaultRowHeight="16" x14ac:dyDescent="0.2"/>
  <sheetData>
    <row r="1" spans="1:13" x14ac:dyDescent="0.2">
      <c r="A1" s="37" t="s">
        <v>513</v>
      </c>
    </row>
    <row r="2" spans="1:13" x14ac:dyDescent="0.2">
      <c r="A2" t="s">
        <v>0</v>
      </c>
    </row>
    <row r="3" spans="1:13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13" x14ac:dyDescent="0.2">
      <c r="B4" t="b">
        <v>0</v>
      </c>
      <c r="C4" t="s">
        <v>7</v>
      </c>
      <c r="D4" t="s">
        <v>8</v>
      </c>
      <c r="E4" t="s">
        <v>9</v>
      </c>
      <c r="G4" t="s">
        <v>10</v>
      </c>
    </row>
    <row r="5" spans="1:13" x14ac:dyDescent="0.2">
      <c r="B5" t="s">
        <v>11</v>
      </c>
    </row>
    <row r="6" spans="1:13" x14ac:dyDescent="0.2"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1:13" x14ac:dyDescent="0.2">
      <c r="B7" t="s">
        <v>24</v>
      </c>
      <c r="C7">
        <v>59</v>
      </c>
      <c r="E7" t="s">
        <v>25</v>
      </c>
      <c r="F7">
        <v>222.87</v>
      </c>
      <c r="G7">
        <v>21.6</v>
      </c>
      <c r="I7" t="s">
        <v>26</v>
      </c>
      <c r="K7">
        <v>0.1</v>
      </c>
      <c r="L7">
        <v>7</v>
      </c>
    </row>
    <row r="8" spans="1:13" x14ac:dyDescent="0.2">
      <c r="C8" t="s">
        <v>27</v>
      </c>
    </row>
    <row r="9" spans="1:13" x14ac:dyDescent="0.2">
      <c r="C9" t="s">
        <v>28</v>
      </c>
      <c r="D9" t="s">
        <v>16</v>
      </c>
      <c r="E9" t="s">
        <v>29</v>
      </c>
      <c r="F9" t="s">
        <v>18</v>
      </c>
    </row>
    <row r="10" spans="1:13" x14ac:dyDescent="0.2">
      <c r="C10" t="b">
        <v>0</v>
      </c>
      <c r="D10">
        <v>250.01</v>
      </c>
      <c r="E10" t="s">
        <v>30</v>
      </c>
    </row>
    <row r="11" spans="1:13" x14ac:dyDescent="0.2">
      <c r="C11" t="b">
        <v>0</v>
      </c>
      <c r="D11">
        <v>180.01</v>
      </c>
      <c r="E11" t="s">
        <v>30</v>
      </c>
    </row>
    <row r="12" spans="1:13" x14ac:dyDescent="0.2">
      <c r="C12" t="b">
        <v>0</v>
      </c>
      <c r="D12">
        <v>160.01</v>
      </c>
      <c r="E12" t="s">
        <v>30</v>
      </c>
    </row>
    <row r="13" spans="1:13" x14ac:dyDescent="0.2">
      <c r="C13" t="b">
        <v>0</v>
      </c>
      <c r="D13">
        <v>210.01</v>
      </c>
      <c r="E13" t="s">
        <v>30</v>
      </c>
    </row>
    <row r="14" spans="1:13" x14ac:dyDescent="0.2">
      <c r="C14" t="b">
        <v>0</v>
      </c>
      <c r="D14">
        <v>270.01</v>
      </c>
      <c r="E14" t="s">
        <v>30</v>
      </c>
    </row>
    <row r="15" spans="1:13" x14ac:dyDescent="0.2">
      <c r="C15" t="b">
        <v>0</v>
      </c>
      <c r="D15">
        <v>290.01</v>
      </c>
      <c r="E15" t="s">
        <v>30</v>
      </c>
    </row>
    <row r="16" spans="1:13" x14ac:dyDescent="0.2">
      <c r="C16" t="b">
        <v>0</v>
      </c>
      <c r="D16">
        <v>200.01</v>
      </c>
      <c r="E16" t="s">
        <v>30</v>
      </c>
    </row>
    <row r="17" spans="2:13" x14ac:dyDescent="0.2">
      <c r="B17" t="s">
        <v>11</v>
      </c>
    </row>
    <row r="18" spans="2:13" x14ac:dyDescent="0.2"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 t="s">
        <v>23</v>
      </c>
    </row>
    <row r="19" spans="2:13" x14ac:dyDescent="0.2">
      <c r="B19" t="s">
        <v>31</v>
      </c>
      <c r="C19">
        <v>45</v>
      </c>
      <c r="E19" t="s">
        <v>25</v>
      </c>
      <c r="F19">
        <v>62.86</v>
      </c>
      <c r="G19">
        <v>60</v>
      </c>
      <c r="K19">
        <v>0.1</v>
      </c>
      <c r="L19">
        <v>7</v>
      </c>
    </row>
    <row r="20" spans="2:13" x14ac:dyDescent="0.2">
      <c r="C20" t="s">
        <v>27</v>
      </c>
    </row>
    <row r="21" spans="2:13" x14ac:dyDescent="0.2">
      <c r="C21" t="s">
        <v>28</v>
      </c>
      <c r="D21" t="s">
        <v>16</v>
      </c>
      <c r="E21" t="s">
        <v>29</v>
      </c>
      <c r="F21" t="s">
        <v>18</v>
      </c>
    </row>
    <row r="22" spans="2:13" x14ac:dyDescent="0.2">
      <c r="C22" t="b">
        <v>0</v>
      </c>
      <c r="D22">
        <v>130.01</v>
      </c>
      <c r="E22" t="s">
        <v>30</v>
      </c>
    </row>
    <row r="23" spans="2:13" x14ac:dyDescent="0.2">
      <c r="C23" t="b">
        <v>0</v>
      </c>
      <c r="D23">
        <v>20</v>
      </c>
      <c r="E23" t="s">
        <v>30</v>
      </c>
    </row>
    <row r="24" spans="2:13" x14ac:dyDescent="0.2">
      <c r="C24" t="b">
        <v>0</v>
      </c>
      <c r="D24">
        <v>30</v>
      </c>
      <c r="E24" t="s">
        <v>30</v>
      </c>
    </row>
    <row r="25" spans="2:13" x14ac:dyDescent="0.2">
      <c r="C25" t="b">
        <v>0</v>
      </c>
      <c r="D25">
        <v>70</v>
      </c>
      <c r="E25" t="s">
        <v>30</v>
      </c>
    </row>
    <row r="26" spans="2:13" x14ac:dyDescent="0.2">
      <c r="C26" t="b">
        <v>0</v>
      </c>
      <c r="D26">
        <v>50</v>
      </c>
      <c r="E26" t="s">
        <v>30</v>
      </c>
    </row>
    <row r="27" spans="2:13" x14ac:dyDescent="0.2">
      <c r="C27" t="b">
        <v>0</v>
      </c>
      <c r="D27">
        <v>90</v>
      </c>
      <c r="E27" t="s">
        <v>30</v>
      </c>
    </row>
    <row r="28" spans="2:13" x14ac:dyDescent="0.2">
      <c r="C28" t="b">
        <v>0</v>
      </c>
      <c r="D28">
        <v>50</v>
      </c>
      <c r="E28" t="s">
        <v>30</v>
      </c>
    </row>
    <row r="29" spans="2:13" x14ac:dyDescent="0.2">
      <c r="B29" t="s">
        <v>11</v>
      </c>
    </row>
    <row r="30" spans="2:13" x14ac:dyDescent="0.2"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 t="s">
        <v>23</v>
      </c>
    </row>
    <row r="31" spans="2:13" x14ac:dyDescent="0.2">
      <c r="B31" t="s">
        <v>32</v>
      </c>
      <c r="C31">
        <v>72</v>
      </c>
      <c r="E31" t="s">
        <v>25</v>
      </c>
      <c r="F31">
        <v>20</v>
      </c>
      <c r="G31">
        <v>64.5</v>
      </c>
      <c r="K31">
        <v>0.1</v>
      </c>
      <c r="L31">
        <v>7</v>
      </c>
    </row>
    <row r="32" spans="2:13" x14ac:dyDescent="0.2">
      <c r="C32" t="s">
        <v>27</v>
      </c>
    </row>
    <row r="33" spans="2:13" x14ac:dyDescent="0.2">
      <c r="C33" t="s">
        <v>28</v>
      </c>
      <c r="D33" t="s">
        <v>16</v>
      </c>
      <c r="E33" t="s">
        <v>29</v>
      </c>
      <c r="F33" t="s">
        <v>18</v>
      </c>
    </row>
    <row r="34" spans="2:13" x14ac:dyDescent="0.2">
      <c r="C34" t="b">
        <v>0</v>
      </c>
      <c r="D34">
        <v>40</v>
      </c>
      <c r="E34" t="s">
        <v>30</v>
      </c>
    </row>
    <row r="35" spans="2:13" x14ac:dyDescent="0.2">
      <c r="C35" t="b">
        <v>0</v>
      </c>
      <c r="D35">
        <v>10</v>
      </c>
      <c r="E35" t="s">
        <v>30</v>
      </c>
    </row>
    <row r="36" spans="2:13" x14ac:dyDescent="0.2">
      <c r="C36" t="b">
        <v>0</v>
      </c>
      <c r="D36">
        <v>30</v>
      </c>
      <c r="E36" t="s">
        <v>30</v>
      </c>
    </row>
    <row r="37" spans="2:13" x14ac:dyDescent="0.2">
      <c r="C37" t="b">
        <v>0</v>
      </c>
      <c r="D37">
        <v>10</v>
      </c>
      <c r="E37" t="s">
        <v>30</v>
      </c>
    </row>
    <row r="38" spans="2:13" x14ac:dyDescent="0.2">
      <c r="C38" t="b">
        <v>0</v>
      </c>
      <c r="D38">
        <v>30</v>
      </c>
      <c r="E38" t="s">
        <v>30</v>
      </c>
    </row>
    <row r="39" spans="2:13" x14ac:dyDescent="0.2">
      <c r="C39" t="b">
        <v>0</v>
      </c>
      <c r="D39">
        <v>10</v>
      </c>
      <c r="E39" t="s">
        <v>30</v>
      </c>
    </row>
    <row r="40" spans="2:13" x14ac:dyDescent="0.2">
      <c r="C40" t="b">
        <v>0</v>
      </c>
      <c r="D40">
        <v>10</v>
      </c>
      <c r="E40" t="s">
        <v>30</v>
      </c>
    </row>
    <row r="41" spans="2:13" x14ac:dyDescent="0.2">
      <c r="B41" t="s">
        <v>11</v>
      </c>
    </row>
    <row r="42" spans="2:13" x14ac:dyDescent="0.2"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 t="s">
        <v>23</v>
      </c>
    </row>
    <row r="43" spans="2:13" x14ac:dyDescent="0.2">
      <c r="B43" t="s">
        <v>33</v>
      </c>
      <c r="C43">
        <v>89</v>
      </c>
      <c r="E43" t="s">
        <v>25</v>
      </c>
      <c r="F43">
        <v>80</v>
      </c>
      <c r="G43">
        <v>42.7</v>
      </c>
      <c r="K43">
        <v>0.1</v>
      </c>
      <c r="L43">
        <v>7</v>
      </c>
    </row>
    <row r="44" spans="2:13" x14ac:dyDescent="0.2">
      <c r="C44" t="s">
        <v>27</v>
      </c>
    </row>
    <row r="45" spans="2:13" x14ac:dyDescent="0.2">
      <c r="C45" t="s">
        <v>28</v>
      </c>
      <c r="D45" t="s">
        <v>16</v>
      </c>
      <c r="E45" t="s">
        <v>29</v>
      </c>
      <c r="F45" t="s">
        <v>18</v>
      </c>
    </row>
    <row r="46" spans="2:13" x14ac:dyDescent="0.2">
      <c r="C46" t="b">
        <v>0</v>
      </c>
      <c r="D46">
        <v>110</v>
      </c>
      <c r="E46" t="s">
        <v>30</v>
      </c>
    </row>
    <row r="47" spans="2:13" x14ac:dyDescent="0.2">
      <c r="C47" t="b">
        <v>0</v>
      </c>
      <c r="D47">
        <v>80</v>
      </c>
      <c r="E47" t="s">
        <v>30</v>
      </c>
    </row>
    <row r="48" spans="2:13" x14ac:dyDescent="0.2">
      <c r="C48" t="b">
        <v>0</v>
      </c>
      <c r="D48">
        <v>60</v>
      </c>
      <c r="E48" t="s">
        <v>30</v>
      </c>
    </row>
    <row r="49" spans="1:13" x14ac:dyDescent="0.2">
      <c r="C49" t="b">
        <v>0</v>
      </c>
      <c r="D49">
        <v>40</v>
      </c>
      <c r="E49" t="s">
        <v>30</v>
      </c>
    </row>
    <row r="50" spans="1:13" x14ac:dyDescent="0.2">
      <c r="C50" t="b">
        <v>0</v>
      </c>
      <c r="D50">
        <v>70</v>
      </c>
      <c r="E50" t="s">
        <v>30</v>
      </c>
    </row>
    <row r="51" spans="1:13" x14ac:dyDescent="0.2">
      <c r="C51" t="b">
        <v>0</v>
      </c>
      <c r="D51">
        <v>140.01</v>
      </c>
      <c r="E51" t="s">
        <v>30</v>
      </c>
    </row>
    <row r="52" spans="1:13" x14ac:dyDescent="0.2">
      <c r="C52" t="b">
        <v>0</v>
      </c>
      <c r="D52">
        <v>60</v>
      </c>
      <c r="E52" t="s">
        <v>30</v>
      </c>
    </row>
    <row r="53" spans="1:13" x14ac:dyDescent="0.2">
      <c r="A53" t="s">
        <v>0</v>
      </c>
    </row>
    <row r="54" spans="1:13" x14ac:dyDescent="0.2"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</row>
    <row r="55" spans="1:13" x14ac:dyDescent="0.2">
      <c r="B55" t="b">
        <v>0</v>
      </c>
      <c r="C55" t="s">
        <v>34</v>
      </c>
      <c r="D55" t="s">
        <v>35</v>
      </c>
      <c r="E55" t="s">
        <v>9</v>
      </c>
      <c r="G55" t="s">
        <v>10</v>
      </c>
    </row>
    <row r="56" spans="1:13" x14ac:dyDescent="0.2">
      <c r="B56" t="s">
        <v>11</v>
      </c>
    </row>
    <row r="57" spans="1:13" x14ac:dyDescent="0.2"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 t="s">
        <v>23</v>
      </c>
    </row>
    <row r="58" spans="1:13" x14ac:dyDescent="0.2">
      <c r="B58" t="s">
        <v>24</v>
      </c>
      <c r="C58">
        <v>59</v>
      </c>
      <c r="E58" t="s">
        <v>25</v>
      </c>
      <c r="F58">
        <v>84.29</v>
      </c>
      <c r="G58">
        <v>42.7</v>
      </c>
      <c r="I58" t="s">
        <v>26</v>
      </c>
      <c r="K58">
        <v>0.1</v>
      </c>
      <c r="L58">
        <v>7</v>
      </c>
    </row>
    <row r="59" spans="1:13" x14ac:dyDescent="0.2">
      <c r="C59" t="s">
        <v>27</v>
      </c>
    </row>
    <row r="60" spans="1:13" x14ac:dyDescent="0.2">
      <c r="C60" t="s">
        <v>28</v>
      </c>
      <c r="D60" t="s">
        <v>16</v>
      </c>
      <c r="E60" t="s">
        <v>29</v>
      </c>
      <c r="F60" t="s">
        <v>18</v>
      </c>
    </row>
    <row r="61" spans="1:13" x14ac:dyDescent="0.2">
      <c r="C61" t="b">
        <v>0</v>
      </c>
      <c r="D61">
        <v>100</v>
      </c>
      <c r="E61" t="s">
        <v>30</v>
      </c>
    </row>
    <row r="62" spans="1:13" x14ac:dyDescent="0.2">
      <c r="C62" t="b">
        <v>0</v>
      </c>
      <c r="D62">
        <v>50</v>
      </c>
      <c r="E62" t="s">
        <v>30</v>
      </c>
    </row>
    <row r="63" spans="1:13" x14ac:dyDescent="0.2">
      <c r="C63" t="b">
        <v>0</v>
      </c>
      <c r="D63">
        <v>150.01</v>
      </c>
      <c r="E63" t="s">
        <v>30</v>
      </c>
    </row>
    <row r="64" spans="1:13" x14ac:dyDescent="0.2">
      <c r="C64" t="b">
        <v>0</v>
      </c>
      <c r="D64">
        <v>50</v>
      </c>
      <c r="E64" t="s">
        <v>30</v>
      </c>
    </row>
    <row r="65" spans="2:13" x14ac:dyDescent="0.2">
      <c r="C65" t="b">
        <v>0</v>
      </c>
      <c r="D65">
        <v>100</v>
      </c>
      <c r="E65" t="s">
        <v>30</v>
      </c>
    </row>
    <row r="66" spans="2:13" x14ac:dyDescent="0.2">
      <c r="C66" t="b">
        <v>0</v>
      </c>
      <c r="D66">
        <v>60</v>
      </c>
      <c r="E66" t="s">
        <v>30</v>
      </c>
    </row>
    <row r="67" spans="2:13" x14ac:dyDescent="0.2">
      <c r="C67" t="b">
        <v>0</v>
      </c>
      <c r="D67">
        <v>80</v>
      </c>
      <c r="E67" t="s">
        <v>30</v>
      </c>
    </row>
    <row r="68" spans="2:13" x14ac:dyDescent="0.2">
      <c r="B68" t="s">
        <v>11</v>
      </c>
    </row>
    <row r="69" spans="2:13" x14ac:dyDescent="0.2"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 t="s">
        <v>22</v>
      </c>
      <c r="M69" t="s">
        <v>23</v>
      </c>
    </row>
    <row r="70" spans="2:13" x14ac:dyDescent="0.2">
      <c r="B70" t="s">
        <v>31</v>
      </c>
      <c r="C70">
        <v>45</v>
      </c>
      <c r="E70" t="s">
        <v>25</v>
      </c>
      <c r="F70">
        <v>885.77</v>
      </c>
      <c r="G70">
        <v>13.5</v>
      </c>
      <c r="K70">
        <v>0.1</v>
      </c>
      <c r="L70">
        <v>7</v>
      </c>
    </row>
    <row r="71" spans="2:13" x14ac:dyDescent="0.2">
      <c r="C71" t="s">
        <v>27</v>
      </c>
    </row>
    <row r="72" spans="2:13" x14ac:dyDescent="0.2">
      <c r="C72" t="s">
        <v>28</v>
      </c>
      <c r="D72" t="s">
        <v>16</v>
      </c>
      <c r="E72" t="s">
        <v>29</v>
      </c>
      <c r="F72" t="s">
        <v>18</v>
      </c>
    </row>
    <row r="73" spans="2:13" x14ac:dyDescent="0.2">
      <c r="C73" t="b">
        <v>0</v>
      </c>
      <c r="D73">
        <v>700.04</v>
      </c>
      <c r="E73" t="s">
        <v>30</v>
      </c>
    </row>
    <row r="74" spans="2:13" x14ac:dyDescent="0.2">
      <c r="C74" t="b">
        <v>0</v>
      </c>
      <c r="D74">
        <v>1070.08</v>
      </c>
      <c r="E74" t="s">
        <v>30</v>
      </c>
    </row>
    <row r="75" spans="2:13" x14ac:dyDescent="0.2">
      <c r="C75" t="b">
        <v>0</v>
      </c>
      <c r="D75">
        <v>990.06</v>
      </c>
      <c r="E75" t="s">
        <v>30</v>
      </c>
    </row>
    <row r="76" spans="2:13" x14ac:dyDescent="0.2">
      <c r="C76" t="b">
        <v>0</v>
      </c>
      <c r="D76">
        <v>870.06</v>
      </c>
      <c r="E76" t="s">
        <v>30</v>
      </c>
    </row>
    <row r="77" spans="2:13" x14ac:dyDescent="0.2">
      <c r="C77" t="b">
        <v>0</v>
      </c>
      <c r="D77">
        <v>860.06</v>
      </c>
      <c r="E77" t="s">
        <v>30</v>
      </c>
    </row>
    <row r="78" spans="2:13" x14ac:dyDescent="0.2">
      <c r="C78" t="b">
        <v>0</v>
      </c>
      <c r="D78">
        <v>810.05</v>
      </c>
      <c r="E78" t="s">
        <v>30</v>
      </c>
    </row>
    <row r="79" spans="2:13" x14ac:dyDescent="0.2">
      <c r="C79" t="b">
        <v>0</v>
      </c>
      <c r="D79">
        <v>900.06</v>
      </c>
      <c r="E79" t="s">
        <v>30</v>
      </c>
    </row>
    <row r="80" spans="2:13" x14ac:dyDescent="0.2">
      <c r="B80" t="s">
        <v>11</v>
      </c>
    </row>
    <row r="81" spans="2:13" x14ac:dyDescent="0.2"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  <c r="M81" t="s">
        <v>23</v>
      </c>
    </row>
    <row r="82" spans="2:13" x14ac:dyDescent="0.2">
      <c r="B82" t="s">
        <v>32</v>
      </c>
      <c r="C82">
        <v>72</v>
      </c>
      <c r="E82" t="s">
        <v>25</v>
      </c>
      <c r="F82">
        <v>775.77</v>
      </c>
      <c r="G82">
        <v>11.9</v>
      </c>
      <c r="K82">
        <v>0.1</v>
      </c>
      <c r="L82">
        <v>7</v>
      </c>
    </row>
    <row r="83" spans="2:13" x14ac:dyDescent="0.2">
      <c r="C83" t="s">
        <v>27</v>
      </c>
    </row>
    <row r="84" spans="2:13" x14ac:dyDescent="0.2">
      <c r="C84" t="s">
        <v>28</v>
      </c>
      <c r="D84" t="s">
        <v>16</v>
      </c>
      <c r="E84" t="s">
        <v>29</v>
      </c>
      <c r="F84" t="s">
        <v>18</v>
      </c>
    </row>
    <row r="85" spans="2:13" x14ac:dyDescent="0.2">
      <c r="C85" t="b">
        <v>0</v>
      </c>
      <c r="D85">
        <v>770.06</v>
      </c>
      <c r="E85" t="s">
        <v>30</v>
      </c>
    </row>
    <row r="86" spans="2:13" x14ac:dyDescent="0.2">
      <c r="C86" t="b">
        <v>0</v>
      </c>
      <c r="D86">
        <v>730.05</v>
      </c>
      <c r="E86" t="s">
        <v>30</v>
      </c>
    </row>
    <row r="87" spans="2:13" x14ac:dyDescent="0.2">
      <c r="C87" t="b">
        <v>0</v>
      </c>
      <c r="D87">
        <v>700.05</v>
      </c>
      <c r="E87" t="s">
        <v>30</v>
      </c>
    </row>
    <row r="88" spans="2:13" x14ac:dyDescent="0.2">
      <c r="C88" t="b">
        <v>0</v>
      </c>
      <c r="D88">
        <v>830.06</v>
      </c>
      <c r="E88" t="s">
        <v>30</v>
      </c>
    </row>
    <row r="89" spans="2:13" x14ac:dyDescent="0.2">
      <c r="C89" t="b">
        <v>0</v>
      </c>
      <c r="D89">
        <v>870.06</v>
      </c>
      <c r="E89" t="s">
        <v>30</v>
      </c>
    </row>
    <row r="90" spans="2:13" x14ac:dyDescent="0.2">
      <c r="C90" t="b">
        <v>0</v>
      </c>
      <c r="D90">
        <v>640.03</v>
      </c>
      <c r="E90" t="s">
        <v>30</v>
      </c>
    </row>
    <row r="91" spans="2:13" x14ac:dyDescent="0.2">
      <c r="C91" t="b">
        <v>0</v>
      </c>
      <c r="D91">
        <v>890.06</v>
      </c>
      <c r="E91" t="s">
        <v>30</v>
      </c>
    </row>
    <row r="92" spans="2:13" x14ac:dyDescent="0.2">
      <c r="B92" t="s">
        <v>11</v>
      </c>
    </row>
    <row r="93" spans="2:13" x14ac:dyDescent="0.2"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  <c r="M93" t="s">
        <v>23</v>
      </c>
    </row>
    <row r="94" spans="2:13" x14ac:dyDescent="0.2">
      <c r="B94" t="s">
        <v>33</v>
      </c>
      <c r="C94">
        <v>89</v>
      </c>
      <c r="E94" t="s">
        <v>25</v>
      </c>
      <c r="F94">
        <v>3954.99</v>
      </c>
      <c r="G94">
        <v>7.8</v>
      </c>
      <c r="K94">
        <v>0.1</v>
      </c>
      <c r="L94">
        <v>7</v>
      </c>
    </row>
    <row r="95" spans="2:13" x14ac:dyDescent="0.2">
      <c r="C95" t="s">
        <v>27</v>
      </c>
    </row>
    <row r="96" spans="2:13" x14ac:dyDescent="0.2">
      <c r="C96" t="s">
        <v>28</v>
      </c>
      <c r="D96" t="s">
        <v>16</v>
      </c>
      <c r="E96" t="s">
        <v>29</v>
      </c>
      <c r="F96" t="s">
        <v>18</v>
      </c>
    </row>
    <row r="97" spans="1:13" x14ac:dyDescent="0.2">
      <c r="C97" t="b">
        <v>0</v>
      </c>
      <c r="D97">
        <v>3790.65</v>
      </c>
      <c r="E97" t="s">
        <v>30</v>
      </c>
    </row>
    <row r="98" spans="1:13" x14ac:dyDescent="0.2">
      <c r="C98" t="b">
        <v>0</v>
      </c>
      <c r="D98">
        <v>3780.66</v>
      </c>
      <c r="E98" t="s">
        <v>30</v>
      </c>
    </row>
    <row r="99" spans="1:13" x14ac:dyDescent="0.2">
      <c r="C99" t="b">
        <v>0</v>
      </c>
      <c r="D99">
        <v>3660.61</v>
      </c>
      <c r="E99" t="s">
        <v>30</v>
      </c>
    </row>
    <row r="100" spans="1:13" x14ac:dyDescent="0.2">
      <c r="C100" t="b">
        <v>0</v>
      </c>
      <c r="D100">
        <v>3790.65</v>
      </c>
      <c r="E100" t="s">
        <v>30</v>
      </c>
    </row>
    <row r="101" spans="1:13" x14ac:dyDescent="0.2">
      <c r="C101" t="b">
        <v>0</v>
      </c>
      <c r="D101">
        <v>3910.67</v>
      </c>
      <c r="E101" t="s">
        <v>30</v>
      </c>
    </row>
    <row r="102" spans="1:13" x14ac:dyDescent="0.2">
      <c r="C102" t="b">
        <v>0</v>
      </c>
      <c r="D102">
        <v>4530.88</v>
      </c>
      <c r="E102" t="s">
        <v>30</v>
      </c>
    </row>
    <row r="103" spans="1:13" x14ac:dyDescent="0.2">
      <c r="C103" t="b">
        <v>0</v>
      </c>
      <c r="D103">
        <v>4220.8</v>
      </c>
      <c r="E103" t="s">
        <v>30</v>
      </c>
    </row>
    <row r="104" spans="1:13" x14ac:dyDescent="0.2">
      <c r="A104" t="s">
        <v>0</v>
      </c>
    </row>
    <row r="105" spans="1:13" x14ac:dyDescent="0.2"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</row>
    <row r="106" spans="1:13" x14ac:dyDescent="0.2">
      <c r="B106" t="b">
        <v>0</v>
      </c>
      <c r="C106" t="s">
        <v>36</v>
      </c>
      <c r="D106" t="s">
        <v>37</v>
      </c>
      <c r="E106" t="s">
        <v>9</v>
      </c>
      <c r="G106" t="s">
        <v>10</v>
      </c>
    </row>
    <row r="107" spans="1:13" x14ac:dyDescent="0.2">
      <c r="B107" t="s">
        <v>11</v>
      </c>
    </row>
    <row r="108" spans="1:13" x14ac:dyDescent="0.2"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 t="s">
        <v>22</v>
      </c>
      <c r="M108" t="s">
        <v>23</v>
      </c>
    </row>
    <row r="109" spans="1:13" x14ac:dyDescent="0.2">
      <c r="B109" t="s">
        <v>24</v>
      </c>
      <c r="C109">
        <v>59</v>
      </c>
      <c r="E109" t="s">
        <v>25</v>
      </c>
      <c r="F109">
        <v>87.14</v>
      </c>
      <c r="G109">
        <v>24.5</v>
      </c>
      <c r="I109" t="s">
        <v>26</v>
      </c>
      <c r="K109">
        <v>0.1</v>
      </c>
      <c r="L109">
        <v>7</v>
      </c>
    </row>
    <row r="110" spans="1:13" x14ac:dyDescent="0.2">
      <c r="C110" t="s">
        <v>27</v>
      </c>
    </row>
    <row r="111" spans="1:13" x14ac:dyDescent="0.2">
      <c r="C111" t="s">
        <v>28</v>
      </c>
      <c r="D111" t="s">
        <v>16</v>
      </c>
      <c r="E111" t="s">
        <v>29</v>
      </c>
      <c r="F111" t="s">
        <v>18</v>
      </c>
    </row>
    <row r="112" spans="1:13" x14ac:dyDescent="0.2">
      <c r="C112" t="b">
        <v>0</v>
      </c>
      <c r="D112">
        <v>70</v>
      </c>
      <c r="E112" t="s">
        <v>30</v>
      </c>
    </row>
    <row r="113" spans="2:13" x14ac:dyDescent="0.2">
      <c r="C113" t="b">
        <v>0</v>
      </c>
      <c r="D113">
        <v>100</v>
      </c>
      <c r="E113" t="s">
        <v>30</v>
      </c>
    </row>
    <row r="114" spans="2:13" x14ac:dyDescent="0.2">
      <c r="C114" t="b">
        <v>0</v>
      </c>
      <c r="D114">
        <v>100</v>
      </c>
      <c r="E114" t="s">
        <v>30</v>
      </c>
    </row>
    <row r="115" spans="2:13" x14ac:dyDescent="0.2">
      <c r="C115" t="b">
        <v>0</v>
      </c>
      <c r="D115">
        <v>120</v>
      </c>
      <c r="E115" t="s">
        <v>30</v>
      </c>
    </row>
    <row r="116" spans="2:13" x14ac:dyDescent="0.2">
      <c r="C116" t="b">
        <v>0</v>
      </c>
      <c r="D116">
        <v>90</v>
      </c>
      <c r="E116" t="s">
        <v>30</v>
      </c>
    </row>
    <row r="117" spans="2:13" x14ac:dyDescent="0.2">
      <c r="C117" t="b">
        <v>0</v>
      </c>
      <c r="D117">
        <v>60</v>
      </c>
      <c r="E117" t="s">
        <v>30</v>
      </c>
    </row>
    <row r="118" spans="2:13" x14ac:dyDescent="0.2">
      <c r="C118" t="b">
        <v>0</v>
      </c>
      <c r="D118">
        <v>70</v>
      </c>
      <c r="E118" t="s">
        <v>30</v>
      </c>
    </row>
    <row r="119" spans="2:13" x14ac:dyDescent="0.2">
      <c r="B119" t="s">
        <v>11</v>
      </c>
    </row>
    <row r="120" spans="2:13" x14ac:dyDescent="0.2"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 t="s">
        <v>22</v>
      </c>
      <c r="M120" t="s">
        <v>23</v>
      </c>
    </row>
    <row r="121" spans="2:13" x14ac:dyDescent="0.2">
      <c r="B121" t="s">
        <v>31</v>
      </c>
      <c r="C121">
        <v>45</v>
      </c>
      <c r="E121" t="s">
        <v>25</v>
      </c>
      <c r="F121">
        <v>974.36</v>
      </c>
      <c r="G121">
        <v>14.1</v>
      </c>
      <c r="K121">
        <v>0.1</v>
      </c>
      <c r="L121">
        <v>7</v>
      </c>
    </row>
    <row r="122" spans="2:13" x14ac:dyDescent="0.2">
      <c r="C122" t="s">
        <v>27</v>
      </c>
    </row>
    <row r="123" spans="2:13" x14ac:dyDescent="0.2">
      <c r="C123" t="s">
        <v>28</v>
      </c>
      <c r="D123" t="s">
        <v>16</v>
      </c>
      <c r="E123" t="s">
        <v>29</v>
      </c>
      <c r="F123" t="s">
        <v>18</v>
      </c>
    </row>
    <row r="124" spans="2:13" x14ac:dyDescent="0.2">
      <c r="C124" t="b">
        <v>0</v>
      </c>
      <c r="D124">
        <v>760.05</v>
      </c>
      <c r="E124" t="s">
        <v>30</v>
      </c>
    </row>
    <row r="125" spans="2:13" x14ac:dyDescent="0.2">
      <c r="C125" t="b">
        <v>0</v>
      </c>
      <c r="D125">
        <v>920.06</v>
      </c>
      <c r="E125" t="s">
        <v>30</v>
      </c>
    </row>
    <row r="126" spans="2:13" x14ac:dyDescent="0.2">
      <c r="C126" t="b">
        <v>0</v>
      </c>
      <c r="D126">
        <v>930.06</v>
      </c>
      <c r="E126" t="s">
        <v>30</v>
      </c>
    </row>
    <row r="127" spans="2:13" x14ac:dyDescent="0.2">
      <c r="C127" t="b">
        <v>0</v>
      </c>
      <c r="D127">
        <v>1190.0999999999999</v>
      </c>
      <c r="E127" t="s">
        <v>30</v>
      </c>
    </row>
    <row r="128" spans="2:13" x14ac:dyDescent="0.2">
      <c r="C128" t="b">
        <v>0</v>
      </c>
      <c r="D128">
        <v>960.07</v>
      </c>
      <c r="E128" t="s">
        <v>30</v>
      </c>
    </row>
    <row r="129" spans="2:13" x14ac:dyDescent="0.2">
      <c r="C129" t="b">
        <v>0</v>
      </c>
      <c r="D129">
        <v>960.07</v>
      </c>
      <c r="E129" t="s">
        <v>30</v>
      </c>
    </row>
    <row r="130" spans="2:13" x14ac:dyDescent="0.2">
      <c r="C130" t="b">
        <v>0</v>
      </c>
      <c r="D130">
        <v>1100.0899999999999</v>
      </c>
      <c r="E130" t="s">
        <v>30</v>
      </c>
    </row>
    <row r="131" spans="2:13" x14ac:dyDescent="0.2">
      <c r="B131" t="s">
        <v>11</v>
      </c>
    </row>
    <row r="132" spans="2:13" x14ac:dyDescent="0.2"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 t="s">
        <v>23</v>
      </c>
    </row>
    <row r="133" spans="2:13" x14ac:dyDescent="0.2">
      <c r="B133" t="s">
        <v>32</v>
      </c>
      <c r="C133">
        <v>72</v>
      </c>
      <c r="E133" t="s">
        <v>25</v>
      </c>
      <c r="F133">
        <v>754.34</v>
      </c>
      <c r="G133">
        <v>13.1</v>
      </c>
      <c r="K133">
        <v>0.1</v>
      </c>
      <c r="L133">
        <v>7</v>
      </c>
    </row>
    <row r="134" spans="2:13" x14ac:dyDescent="0.2">
      <c r="C134" t="s">
        <v>27</v>
      </c>
    </row>
    <row r="135" spans="2:13" x14ac:dyDescent="0.2">
      <c r="C135" t="s">
        <v>28</v>
      </c>
      <c r="D135" t="s">
        <v>16</v>
      </c>
      <c r="E135" t="s">
        <v>29</v>
      </c>
      <c r="F135" t="s">
        <v>18</v>
      </c>
    </row>
    <row r="136" spans="2:13" x14ac:dyDescent="0.2">
      <c r="C136" t="b">
        <v>0</v>
      </c>
      <c r="D136">
        <v>610.04</v>
      </c>
      <c r="E136" t="s">
        <v>30</v>
      </c>
    </row>
    <row r="137" spans="2:13" x14ac:dyDescent="0.2">
      <c r="C137" t="b">
        <v>0</v>
      </c>
      <c r="D137">
        <v>650.04</v>
      </c>
      <c r="E137" t="s">
        <v>30</v>
      </c>
    </row>
    <row r="138" spans="2:13" x14ac:dyDescent="0.2">
      <c r="C138" t="b">
        <v>0</v>
      </c>
      <c r="D138">
        <v>850.06</v>
      </c>
      <c r="E138" t="s">
        <v>30</v>
      </c>
    </row>
    <row r="139" spans="2:13" x14ac:dyDescent="0.2">
      <c r="C139" t="b">
        <v>0</v>
      </c>
      <c r="D139">
        <v>800.05</v>
      </c>
      <c r="E139" t="s">
        <v>30</v>
      </c>
    </row>
    <row r="140" spans="2:13" x14ac:dyDescent="0.2">
      <c r="C140" t="b">
        <v>0</v>
      </c>
      <c r="D140">
        <v>740.05</v>
      </c>
      <c r="E140" t="s">
        <v>30</v>
      </c>
    </row>
    <row r="141" spans="2:13" x14ac:dyDescent="0.2">
      <c r="C141" t="b">
        <v>0</v>
      </c>
      <c r="D141">
        <v>750.05</v>
      </c>
      <c r="E141" t="s">
        <v>30</v>
      </c>
    </row>
    <row r="142" spans="2:13" x14ac:dyDescent="0.2">
      <c r="C142" t="b">
        <v>0</v>
      </c>
      <c r="D142">
        <v>880.06</v>
      </c>
      <c r="E142" t="s">
        <v>30</v>
      </c>
    </row>
    <row r="143" spans="2:13" x14ac:dyDescent="0.2">
      <c r="B143" t="s">
        <v>11</v>
      </c>
    </row>
    <row r="144" spans="2:13" x14ac:dyDescent="0.2"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 t="s">
        <v>22</v>
      </c>
      <c r="M144" t="s">
        <v>23</v>
      </c>
    </row>
    <row r="145" spans="1:13" x14ac:dyDescent="0.2">
      <c r="B145" t="s">
        <v>33</v>
      </c>
      <c r="C145">
        <v>89</v>
      </c>
      <c r="E145" t="s">
        <v>25</v>
      </c>
      <c r="F145">
        <v>3869.27</v>
      </c>
      <c r="G145">
        <v>6.5</v>
      </c>
      <c r="K145">
        <v>0.1</v>
      </c>
      <c r="L145">
        <v>7</v>
      </c>
    </row>
    <row r="146" spans="1:13" x14ac:dyDescent="0.2">
      <c r="C146" t="s">
        <v>27</v>
      </c>
    </row>
    <row r="147" spans="1:13" x14ac:dyDescent="0.2">
      <c r="C147" t="s">
        <v>28</v>
      </c>
      <c r="D147" t="s">
        <v>16</v>
      </c>
      <c r="E147" t="s">
        <v>29</v>
      </c>
      <c r="F147" t="s">
        <v>18</v>
      </c>
    </row>
    <row r="148" spans="1:13" x14ac:dyDescent="0.2">
      <c r="C148" t="b">
        <v>0</v>
      </c>
      <c r="D148">
        <v>3860.66</v>
      </c>
      <c r="E148" t="s">
        <v>30</v>
      </c>
    </row>
    <row r="149" spans="1:13" x14ac:dyDescent="0.2">
      <c r="C149" t="b">
        <v>0</v>
      </c>
      <c r="D149">
        <v>3650.6</v>
      </c>
      <c r="E149" t="s">
        <v>30</v>
      </c>
    </row>
    <row r="150" spans="1:13" x14ac:dyDescent="0.2">
      <c r="C150" t="b">
        <v>0</v>
      </c>
      <c r="D150">
        <v>4030.76</v>
      </c>
      <c r="E150" t="s">
        <v>30</v>
      </c>
    </row>
    <row r="151" spans="1:13" x14ac:dyDescent="0.2">
      <c r="C151" t="b">
        <v>0</v>
      </c>
      <c r="D151">
        <v>3790.65</v>
      </c>
      <c r="E151" t="s">
        <v>30</v>
      </c>
    </row>
    <row r="152" spans="1:13" x14ac:dyDescent="0.2">
      <c r="C152" t="b">
        <v>0</v>
      </c>
      <c r="D152">
        <v>3700.66</v>
      </c>
      <c r="E152" t="s">
        <v>30</v>
      </c>
    </row>
    <row r="153" spans="1:13" x14ac:dyDescent="0.2">
      <c r="C153" t="b">
        <v>0</v>
      </c>
      <c r="D153">
        <v>3690.66</v>
      </c>
      <c r="E153" t="s">
        <v>30</v>
      </c>
    </row>
    <row r="154" spans="1:13" x14ac:dyDescent="0.2">
      <c r="C154" t="b">
        <v>0</v>
      </c>
      <c r="D154">
        <v>4360.87</v>
      </c>
      <c r="E154" t="s">
        <v>30</v>
      </c>
    </row>
    <row r="155" spans="1:13" x14ac:dyDescent="0.2">
      <c r="A155" t="s">
        <v>0</v>
      </c>
    </row>
    <row r="156" spans="1:13" x14ac:dyDescent="0.2"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</row>
    <row r="157" spans="1:13" x14ac:dyDescent="0.2">
      <c r="B157" t="b">
        <v>0</v>
      </c>
      <c r="C157" t="s">
        <v>38</v>
      </c>
      <c r="D157" t="s">
        <v>39</v>
      </c>
      <c r="E157" t="s">
        <v>9</v>
      </c>
      <c r="G157" t="s">
        <v>10</v>
      </c>
    </row>
    <row r="158" spans="1:13" x14ac:dyDescent="0.2">
      <c r="B158" t="s">
        <v>11</v>
      </c>
    </row>
    <row r="159" spans="1:13" x14ac:dyDescent="0.2"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  <c r="J159" t="s">
        <v>20</v>
      </c>
      <c r="K159" t="s">
        <v>21</v>
      </c>
      <c r="L159" t="s">
        <v>22</v>
      </c>
      <c r="M159" t="s">
        <v>23</v>
      </c>
    </row>
    <row r="160" spans="1:13" x14ac:dyDescent="0.2">
      <c r="B160" t="s">
        <v>24</v>
      </c>
      <c r="C160">
        <v>59</v>
      </c>
      <c r="E160" t="s">
        <v>25</v>
      </c>
      <c r="F160">
        <v>64.290000000000006</v>
      </c>
      <c r="G160">
        <v>42.9</v>
      </c>
      <c r="I160" t="s">
        <v>26</v>
      </c>
      <c r="K160">
        <v>0.1</v>
      </c>
      <c r="L160">
        <v>7</v>
      </c>
    </row>
    <row r="161" spans="2:13" x14ac:dyDescent="0.2">
      <c r="C161" t="s">
        <v>27</v>
      </c>
    </row>
    <row r="162" spans="2:13" x14ac:dyDescent="0.2">
      <c r="C162" t="s">
        <v>28</v>
      </c>
      <c r="D162" t="s">
        <v>16</v>
      </c>
      <c r="E162" t="s">
        <v>29</v>
      </c>
      <c r="F162" t="s">
        <v>18</v>
      </c>
    </row>
    <row r="163" spans="2:13" x14ac:dyDescent="0.2">
      <c r="C163" t="b">
        <v>0</v>
      </c>
      <c r="D163">
        <v>90</v>
      </c>
      <c r="E163" t="s">
        <v>30</v>
      </c>
    </row>
    <row r="164" spans="2:13" x14ac:dyDescent="0.2">
      <c r="C164" t="b">
        <v>0</v>
      </c>
      <c r="D164">
        <v>80</v>
      </c>
      <c r="E164" t="s">
        <v>30</v>
      </c>
    </row>
    <row r="165" spans="2:13" x14ac:dyDescent="0.2">
      <c r="C165" t="b">
        <v>0</v>
      </c>
      <c r="D165">
        <v>30</v>
      </c>
      <c r="E165" t="s">
        <v>30</v>
      </c>
    </row>
    <row r="166" spans="2:13" x14ac:dyDescent="0.2">
      <c r="C166" t="b">
        <v>0</v>
      </c>
      <c r="D166">
        <v>60</v>
      </c>
      <c r="E166" t="s">
        <v>30</v>
      </c>
    </row>
    <row r="167" spans="2:13" x14ac:dyDescent="0.2">
      <c r="C167" t="b">
        <v>0</v>
      </c>
      <c r="D167">
        <v>60</v>
      </c>
      <c r="E167" t="s">
        <v>30</v>
      </c>
    </row>
    <row r="168" spans="2:13" x14ac:dyDescent="0.2">
      <c r="C168" t="b">
        <v>0</v>
      </c>
      <c r="D168">
        <v>100</v>
      </c>
      <c r="E168" t="s">
        <v>30</v>
      </c>
    </row>
    <row r="169" spans="2:13" x14ac:dyDescent="0.2">
      <c r="C169" t="b">
        <v>0</v>
      </c>
      <c r="D169">
        <v>30</v>
      </c>
      <c r="E169" t="s">
        <v>30</v>
      </c>
    </row>
    <row r="170" spans="2:13" x14ac:dyDescent="0.2">
      <c r="B170" t="s">
        <v>11</v>
      </c>
    </row>
    <row r="171" spans="2:13" x14ac:dyDescent="0.2">
      <c r="B171" t="s">
        <v>12</v>
      </c>
      <c r="C171" t="s">
        <v>13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20</v>
      </c>
      <c r="K171" t="s">
        <v>21</v>
      </c>
      <c r="L171" t="s">
        <v>22</v>
      </c>
      <c r="M171" t="s">
        <v>23</v>
      </c>
    </row>
    <row r="172" spans="2:13" x14ac:dyDescent="0.2">
      <c r="B172" t="s">
        <v>31</v>
      </c>
      <c r="C172">
        <v>45</v>
      </c>
      <c r="E172" t="s">
        <v>25</v>
      </c>
      <c r="F172">
        <v>621.46</v>
      </c>
      <c r="G172">
        <v>7.3</v>
      </c>
      <c r="K172">
        <v>0.1</v>
      </c>
      <c r="L172">
        <v>7</v>
      </c>
    </row>
    <row r="173" spans="2:13" x14ac:dyDescent="0.2">
      <c r="C173" t="s">
        <v>27</v>
      </c>
    </row>
    <row r="174" spans="2:13" x14ac:dyDescent="0.2">
      <c r="C174" t="s">
        <v>28</v>
      </c>
      <c r="D174" t="s">
        <v>16</v>
      </c>
      <c r="E174" t="s">
        <v>29</v>
      </c>
      <c r="F174" t="s">
        <v>18</v>
      </c>
    </row>
    <row r="175" spans="2:13" x14ac:dyDescent="0.2">
      <c r="C175" t="b">
        <v>0</v>
      </c>
      <c r="D175">
        <v>580.03</v>
      </c>
      <c r="E175" t="s">
        <v>30</v>
      </c>
    </row>
    <row r="176" spans="2:13" x14ac:dyDescent="0.2">
      <c r="C176" t="b">
        <v>0</v>
      </c>
      <c r="D176">
        <v>590.03</v>
      </c>
      <c r="E176" t="s">
        <v>30</v>
      </c>
    </row>
    <row r="177" spans="2:13" x14ac:dyDescent="0.2">
      <c r="C177" t="b">
        <v>0</v>
      </c>
      <c r="D177">
        <v>620.03</v>
      </c>
      <c r="E177" t="s">
        <v>30</v>
      </c>
    </row>
    <row r="178" spans="2:13" x14ac:dyDescent="0.2">
      <c r="C178" t="b">
        <v>0</v>
      </c>
      <c r="D178">
        <v>600.03</v>
      </c>
      <c r="E178" t="s">
        <v>30</v>
      </c>
    </row>
    <row r="179" spans="2:13" x14ac:dyDescent="0.2">
      <c r="C179" t="b">
        <v>0</v>
      </c>
      <c r="D179">
        <v>690.04</v>
      </c>
      <c r="E179" t="s">
        <v>30</v>
      </c>
    </row>
    <row r="180" spans="2:13" x14ac:dyDescent="0.2">
      <c r="C180" t="b">
        <v>0</v>
      </c>
      <c r="D180">
        <v>590.03</v>
      </c>
      <c r="E180" t="s">
        <v>30</v>
      </c>
    </row>
    <row r="181" spans="2:13" x14ac:dyDescent="0.2">
      <c r="C181" t="b">
        <v>0</v>
      </c>
      <c r="D181">
        <v>680.05</v>
      </c>
      <c r="E181" t="s">
        <v>30</v>
      </c>
    </row>
    <row r="182" spans="2:13" x14ac:dyDescent="0.2">
      <c r="B182" t="s">
        <v>11</v>
      </c>
    </row>
    <row r="183" spans="2:13" x14ac:dyDescent="0.2"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20</v>
      </c>
      <c r="K183" t="s">
        <v>21</v>
      </c>
      <c r="L183" t="s">
        <v>22</v>
      </c>
      <c r="M183" t="s">
        <v>23</v>
      </c>
    </row>
    <row r="184" spans="2:13" x14ac:dyDescent="0.2">
      <c r="B184" t="s">
        <v>32</v>
      </c>
      <c r="C184">
        <v>72</v>
      </c>
      <c r="E184" t="s">
        <v>25</v>
      </c>
      <c r="F184">
        <v>522.89</v>
      </c>
      <c r="G184">
        <v>10.5</v>
      </c>
      <c r="K184">
        <v>0.1</v>
      </c>
      <c r="L184">
        <v>7</v>
      </c>
    </row>
    <row r="185" spans="2:13" x14ac:dyDescent="0.2">
      <c r="C185" t="s">
        <v>27</v>
      </c>
    </row>
    <row r="186" spans="2:13" x14ac:dyDescent="0.2">
      <c r="C186" t="s">
        <v>28</v>
      </c>
      <c r="D186" t="s">
        <v>16</v>
      </c>
      <c r="E186" t="s">
        <v>29</v>
      </c>
      <c r="F186" t="s">
        <v>18</v>
      </c>
    </row>
    <row r="187" spans="2:13" x14ac:dyDescent="0.2">
      <c r="C187" t="b">
        <v>0</v>
      </c>
      <c r="D187">
        <v>610.03</v>
      </c>
      <c r="E187" t="s">
        <v>30</v>
      </c>
    </row>
    <row r="188" spans="2:13" x14ac:dyDescent="0.2">
      <c r="C188" t="b">
        <v>0</v>
      </c>
      <c r="D188">
        <v>540.03</v>
      </c>
      <c r="E188" t="s">
        <v>30</v>
      </c>
    </row>
    <row r="189" spans="2:13" x14ac:dyDescent="0.2">
      <c r="C189" t="b">
        <v>0</v>
      </c>
      <c r="D189">
        <v>430.02</v>
      </c>
      <c r="E189" t="s">
        <v>30</v>
      </c>
    </row>
    <row r="190" spans="2:13" x14ac:dyDescent="0.2">
      <c r="C190" t="b">
        <v>0</v>
      </c>
      <c r="D190">
        <v>540.03</v>
      </c>
      <c r="E190" t="s">
        <v>30</v>
      </c>
    </row>
    <row r="191" spans="2:13" x14ac:dyDescent="0.2">
      <c r="C191" t="b">
        <v>0</v>
      </c>
      <c r="D191">
        <v>490.03</v>
      </c>
      <c r="E191" t="s">
        <v>30</v>
      </c>
    </row>
    <row r="192" spans="2:13" x14ac:dyDescent="0.2">
      <c r="C192" t="b">
        <v>0</v>
      </c>
      <c r="D192">
        <v>530.03</v>
      </c>
      <c r="E192" t="s">
        <v>30</v>
      </c>
    </row>
    <row r="193" spans="1:13" x14ac:dyDescent="0.2">
      <c r="C193" t="b">
        <v>0</v>
      </c>
      <c r="D193">
        <v>520.03</v>
      </c>
      <c r="E193" t="s">
        <v>30</v>
      </c>
    </row>
    <row r="194" spans="1:13" x14ac:dyDescent="0.2">
      <c r="B194" t="s">
        <v>11</v>
      </c>
    </row>
    <row r="195" spans="1:13" x14ac:dyDescent="0.2"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19</v>
      </c>
      <c r="J195" t="s">
        <v>20</v>
      </c>
      <c r="K195" t="s">
        <v>21</v>
      </c>
      <c r="L195" t="s">
        <v>22</v>
      </c>
      <c r="M195" t="s">
        <v>23</v>
      </c>
    </row>
    <row r="196" spans="1:13" x14ac:dyDescent="0.2">
      <c r="B196" t="s">
        <v>33</v>
      </c>
      <c r="C196">
        <v>89</v>
      </c>
      <c r="E196" t="s">
        <v>25</v>
      </c>
      <c r="F196">
        <v>2506.0300000000002</v>
      </c>
      <c r="G196">
        <v>8.9</v>
      </c>
      <c r="K196">
        <v>0.1</v>
      </c>
      <c r="L196">
        <v>7</v>
      </c>
    </row>
    <row r="197" spans="1:13" x14ac:dyDescent="0.2">
      <c r="C197" t="s">
        <v>27</v>
      </c>
    </row>
    <row r="198" spans="1:13" x14ac:dyDescent="0.2">
      <c r="C198" t="s">
        <v>28</v>
      </c>
      <c r="D198" t="s">
        <v>16</v>
      </c>
      <c r="E198" t="s">
        <v>29</v>
      </c>
      <c r="F198" t="s">
        <v>18</v>
      </c>
    </row>
    <row r="199" spans="1:13" x14ac:dyDescent="0.2">
      <c r="C199" t="b">
        <v>0</v>
      </c>
      <c r="D199">
        <v>2720.35</v>
      </c>
      <c r="E199" t="s">
        <v>30</v>
      </c>
    </row>
    <row r="200" spans="1:13" x14ac:dyDescent="0.2">
      <c r="C200" t="b">
        <v>0</v>
      </c>
      <c r="D200">
        <v>2130.2399999999998</v>
      </c>
      <c r="E200" t="s">
        <v>30</v>
      </c>
    </row>
    <row r="201" spans="1:13" x14ac:dyDescent="0.2">
      <c r="C201" t="b">
        <v>0</v>
      </c>
      <c r="D201">
        <v>2340.2800000000002</v>
      </c>
      <c r="E201" t="s">
        <v>30</v>
      </c>
    </row>
    <row r="202" spans="1:13" x14ac:dyDescent="0.2">
      <c r="C202" t="b">
        <v>0</v>
      </c>
      <c r="D202">
        <v>2400.31</v>
      </c>
      <c r="E202" t="s">
        <v>30</v>
      </c>
    </row>
    <row r="203" spans="1:13" x14ac:dyDescent="0.2">
      <c r="C203" t="b">
        <v>0</v>
      </c>
      <c r="D203">
        <v>2690.34</v>
      </c>
      <c r="E203" t="s">
        <v>30</v>
      </c>
    </row>
    <row r="204" spans="1:13" x14ac:dyDescent="0.2">
      <c r="C204" t="b">
        <v>0</v>
      </c>
      <c r="D204">
        <v>2570.3200000000002</v>
      </c>
      <c r="E204" t="s">
        <v>30</v>
      </c>
    </row>
    <row r="205" spans="1:13" x14ac:dyDescent="0.2">
      <c r="C205" t="b">
        <v>0</v>
      </c>
      <c r="D205">
        <v>2690.36</v>
      </c>
      <c r="E205" t="s">
        <v>30</v>
      </c>
    </row>
    <row r="206" spans="1:13" x14ac:dyDescent="0.2">
      <c r="A206" t="s">
        <v>0</v>
      </c>
    </row>
    <row r="207" spans="1:13" x14ac:dyDescent="0.2"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</row>
    <row r="208" spans="1:13" x14ac:dyDescent="0.2">
      <c r="B208" t="b">
        <v>0</v>
      </c>
      <c r="C208" t="s">
        <v>40</v>
      </c>
      <c r="D208" t="s">
        <v>41</v>
      </c>
      <c r="E208" t="s">
        <v>9</v>
      </c>
      <c r="G208" t="s">
        <v>10</v>
      </c>
    </row>
    <row r="209" spans="2:13" x14ac:dyDescent="0.2">
      <c r="B209" t="s">
        <v>11</v>
      </c>
    </row>
    <row r="210" spans="2:13" x14ac:dyDescent="0.2"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20</v>
      </c>
      <c r="K210" t="s">
        <v>21</v>
      </c>
      <c r="L210" t="s">
        <v>22</v>
      </c>
      <c r="M210" t="s">
        <v>23</v>
      </c>
    </row>
    <row r="211" spans="2:13" x14ac:dyDescent="0.2">
      <c r="B211" t="s">
        <v>24</v>
      </c>
      <c r="C211">
        <v>59</v>
      </c>
      <c r="E211" t="s">
        <v>25</v>
      </c>
      <c r="F211">
        <v>68.569999999999993</v>
      </c>
      <c r="G211">
        <v>25.9</v>
      </c>
      <c r="I211" t="s">
        <v>26</v>
      </c>
      <c r="K211">
        <v>0.1</v>
      </c>
      <c r="L211">
        <v>7</v>
      </c>
    </row>
    <row r="212" spans="2:13" x14ac:dyDescent="0.2">
      <c r="C212" t="s">
        <v>27</v>
      </c>
    </row>
    <row r="213" spans="2:13" x14ac:dyDescent="0.2">
      <c r="C213" t="s">
        <v>28</v>
      </c>
      <c r="D213" t="s">
        <v>16</v>
      </c>
      <c r="E213" t="s">
        <v>29</v>
      </c>
      <c r="F213" t="s">
        <v>18</v>
      </c>
    </row>
    <row r="214" spans="2:13" x14ac:dyDescent="0.2">
      <c r="C214" t="b">
        <v>0</v>
      </c>
      <c r="D214">
        <v>70</v>
      </c>
      <c r="E214" t="s">
        <v>30</v>
      </c>
    </row>
    <row r="215" spans="2:13" x14ac:dyDescent="0.2">
      <c r="C215" t="b">
        <v>0</v>
      </c>
      <c r="D215">
        <v>50</v>
      </c>
      <c r="E215" t="s">
        <v>30</v>
      </c>
    </row>
    <row r="216" spans="2:13" x14ac:dyDescent="0.2">
      <c r="C216" t="b">
        <v>0</v>
      </c>
      <c r="D216">
        <v>80</v>
      </c>
      <c r="E216" t="s">
        <v>30</v>
      </c>
    </row>
    <row r="217" spans="2:13" x14ac:dyDescent="0.2">
      <c r="C217" t="b">
        <v>0</v>
      </c>
      <c r="D217">
        <v>90</v>
      </c>
      <c r="E217" t="s">
        <v>30</v>
      </c>
    </row>
    <row r="218" spans="2:13" x14ac:dyDescent="0.2">
      <c r="C218" t="b">
        <v>0</v>
      </c>
      <c r="D218">
        <v>80</v>
      </c>
      <c r="E218" t="s">
        <v>30</v>
      </c>
    </row>
    <row r="219" spans="2:13" x14ac:dyDescent="0.2">
      <c r="C219" t="b">
        <v>0</v>
      </c>
      <c r="D219">
        <v>70</v>
      </c>
      <c r="E219" t="s">
        <v>30</v>
      </c>
    </row>
    <row r="220" spans="2:13" x14ac:dyDescent="0.2">
      <c r="C220" t="b">
        <v>0</v>
      </c>
      <c r="D220">
        <v>40</v>
      </c>
      <c r="E220" t="s">
        <v>30</v>
      </c>
    </row>
    <row r="221" spans="2:13" x14ac:dyDescent="0.2">
      <c r="B221" t="s">
        <v>11</v>
      </c>
    </row>
    <row r="222" spans="2:13" x14ac:dyDescent="0.2"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20</v>
      </c>
      <c r="K222" t="s">
        <v>21</v>
      </c>
      <c r="L222" t="s">
        <v>22</v>
      </c>
      <c r="M222" t="s">
        <v>23</v>
      </c>
    </row>
    <row r="223" spans="2:13" x14ac:dyDescent="0.2">
      <c r="B223" t="s">
        <v>31</v>
      </c>
      <c r="C223">
        <v>45</v>
      </c>
      <c r="E223" t="s">
        <v>25</v>
      </c>
      <c r="F223">
        <v>964.35</v>
      </c>
      <c r="G223">
        <v>8.6</v>
      </c>
      <c r="K223">
        <v>0.1</v>
      </c>
      <c r="L223">
        <v>7</v>
      </c>
    </row>
    <row r="224" spans="2:13" x14ac:dyDescent="0.2">
      <c r="C224" t="s">
        <v>27</v>
      </c>
    </row>
    <row r="225" spans="2:13" x14ac:dyDescent="0.2">
      <c r="C225" t="s">
        <v>28</v>
      </c>
      <c r="D225" t="s">
        <v>16</v>
      </c>
      <c r="E225" t="s">
        <v>29</v>
      </c>
      <c r="F225" t="s">
        <v>18</v>
      </c>
    </row>
    <row r="226" spans="2:13" x14ac:dyDescent="0.2">
      <c r="C226" t="b">
        <v>0</v>
      </c>
      <c r="D226">
        <v>940.06</v>
      </c>
      <c r="E226" t="s">
        <v>30</v>
      </c>
    </row>
    <row r="227" spans="2:13" x14ac:dyDescent="0.2">
      <c r="C227" t="b">
        <v>0</v>
      </c>
      <c r="D227">
        <v>1060.07</v>
      </c>
      <c r="E227" t="s">
        <v>30</v>
      </c>
    </row>
    <row r="228" spans="2:13" x14ac:dyDescent="0.2">
      <c r="C228" t="b">
        <v>0</v>
      </c>
      <c r="D228">
        <v>840.06</v>
      </c>
      <c r="E228" t="s">
        <v>30</v>
      </c>
    </row>
    <row r="229" spans="2:13" x14ac:dyDescent="0.2">
      <c r="C229" t="b">
        <v>0</v>
      </c>
      <c r="D229">
        <v>960.07</v>
      </c>
      <c r="E229" t="s">
        <v>30</v>
      </c>
    </row>
    <row r="230" spans="2:13" x14ac:dyDescent="0.2">
      <c r="C230" t="b">
        <v>0</v>
      </c>
      <c r="D230">
        <v>960.06</v>
      </c>
      <c r="E230" t="s">
        <v>30</v>
      </c>
    </row>
    <row r="231" spans="2:13" x14ac:dyDescent="0.2">
      <c r="C231" t="b">
        <v>0</v>
      </c>
      <c r="D231">
        <v>1080.0899999999999</v>
      </c>
      <c r="E231" t="s">
        <v>30</v>
      </c>
    </row>
    <row r="232" spans="2:13" x14ac:dyDescent="0.2">
      <c r="C232" t="b">
        <v>0</v>
      </c>
      <c r="D232">
        <v>910.06</v>
      </c>
      <c r="E232" t="s">
        <v>30</v>
      </c>
    </row>
    <row r="233" spans="2:13" x14ac:dyDescent="0.2">
      <c r="B233" t="s">
        <v>11</v>
      </c>
    </row>
    <row r="234" spans="2:13" x14ac:dyDescent="0.2"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  <c r="I234" t="s">
        <v>19</v>
      </c>
      <c r="J234" t="s">
        <v>20</v>
      </c>
      <c r="K234" t="s">
        <v>21</v>
      </c>
      <c r="L234" t="s">
        <v>22</v>
      </c>
      <c r="M234" t="s">
        <v>23</v>
      </c>
    </row>
    <row r="235" spans="2:13" x14ac:dyDescent="0.2">
      <c r="B235" t="s">
        <v>32</v>
      </c>
      <c r="C235">
        <v>72</v>
      </c>
      <c r="E235" t="s">
        <v>25</v>
      </c>
      <c r="F235">
        <v>682.9</v>
      </c>
      <c r="G235">
        <v>5.5</v>
      </c>
      <c r="K235">
        <v>0.1</v>
      </c>
      <c r="L235">
        <v>7</v>
      </c>
    </row>
    <row r="236" spans="2:13" x14ac:dyDescent="0.2">
      <c r="C236" t="s">
        <v>27</v>
      </c>
    </row>
    <row r="237" spans="2:13" x14ac:dyDescent="0.2">
      <c r="C237" t="s">
        <v>28</v>
      </c>
      <c r="D237" t="s">
        <v>16</v>
      </c>
      <c r="E237" t="s">
        <v>29</v>
      </c>
      <c r="F237" t="s">
        <v>18</v>
      </c>
    </row>
    <row r="238" spans="2:13" x14ac:dyDescent="0.2">
      <c r="C238" t="b">
        <v>0</v>
      </c>
      <c r="D238">
        <v>730.05</v>
      </c>
      <c r="E238" t="s">
        <v>30</v>
      </c>
    </row>
    <row r="239" spans="2:13" x14ac:dyDescent="0.2">
      <c r="C239" t="b">
        <v>0</v>
      </c>
      <c r="D239">
        <v>680.04</v>
      </c>
      <c r="E239" t="s">
        <v>30</v>
      </c>
    </row>
    <row r="240" spans="2:13" x14ac:dyDescent="0.2">
      <c r="C240" t="b">
        <v>0</v>
      </c>
      <c r="D240">
        <v>630.04</v>
      </c>
      <c r="E240" t="s">
        <v>30</v>
      </c>
    </row>
    <row r="241" spans="2:13" x14ac:dyDescent="0.2">
      <c r="C241" t="b">
        <v>0</v>
      </c>
      <c r="D241">
        <v>680.04</v>
      </c>
      <c r="E241" t="s">
        <v>30</v>
      </c>
    </row>
    <row r="242" spans="2:13" x14ac:dyDescent="0.2">
      <c r="C242" t="b">
        <v>0</v>
      </c>
      <c r="D242">
        <v>710.04</v>
      </c>
      <c r="E242" t="s">
        <v>30</v>
      </c>
    </row>
    <row r="243" spans="2:13" x14ac:dyDescent="0.2">
      <c r="C243" t="b">
        <v>0</v>
      </c>
      <c r="D243">
        <v>710.05</v>
      </c>
      <c r="E243" t="s">
        <v>30</v>
      </c>
    </row>
    <row r="244" spans="2:13" x14ac:dyDescent="0.2">
      <c r="C244" t="b">
        <v>0</v>
      </c>
      <c r="D244">
        <v>640.03</v>
      </c>
      <c r="E244" t="s">
        <v>30</v>
      </c>
    </row>
    <row r="245" spans="2:13" x14ac:dyDescent="0.2">
      <c r="B245" t="s">
        <v>11</v>
      </c>
    </row>
    <row r="246" spans="2:13" x14ac:dyDescent="0.2">
      <c r="B246" t="s">
        <v>12</v>
      </c>
      <c r="C246" t="s">
        <v>13</v>
      </c>
      <c r="D246" t="s">
        <v>14</v>
      </c>
      <c r="E246" t="s">
        <v>15</v>
      </c>
      <c r="F246" t="s">
        <v>16</v>
      </c>
      <c r="G246" t="s">
        <v>17</v>
      </c>
      <c r="H246" t="s">
        <v>18</v>
      </c>
      <c r="I246" t="s">
        <v>19</v>
      </c>
      <c r="J246" t="s">
        <v>20</v>
      </c>
      <c r="K246" t="s">
        <v>21</v>
      </c>
      <c r="L246" t="s">
        <v>22</v>
      </c>
      <c r="M246" t="s">
        <v>23</v>
      </c>
    </row>
    <row r="247" spans="2:13" x14ac:dyDescent="0.2">
      <c r="B247" t="s">
        <v>33</v>
      </c>
      <c r="C247">
        <v>89</v>
      </c>
      <c r="E247" t="s">
        <v>25</v>
      </c>
      <c r="F247">
        <v>3963.57</v>
      </c>
      <c r="G247">
        <v>5.9</v>
      </c>
      <c r="K247">
        <v>0.1</v>
      </c>
      <c r="L247">
        <v>7</v>
      </c>
    </row>
    <row r="248" spans="2:13" x14ac:dyDescent="0.2">
      <c r="C248" t="s">
        <v>27</v>
      </c>
    </row>
    <row r="249" spans="2:13" x14ac:dyDescent="0.2">
      <c r="C249" t="s">
        <v>28</v>
      </c>
      <c r="D249" t="s">
        <v>16</v>
      </c>
      <c r="E249" t="s">
        <v>29</v>
      </c>
      <c r="F249" t="s">
        <v>18</v>
      </c>
    </row>
    <row r="250" spans="2:13" x14ac:dyDescent="0.2">
      <c r="C250" t="b">
        <v>0</v>
      </c>
      <c r="D250">
        <v>3950.72</v>
      </c>
      <c r="E250" t="s">
        <v>30</v>
      </c>
    </row>
    <row r="251" spans="2:13" x14ac:dyDescent="0.2">
      <c r="C251" t="b">
        <v>0</v>
      </c>
      <c r="D251">
        <v>3920.68</v>
      </c>
      <c r="E251" t="s">
        <v>30</v>
      </c>
    </row>
    <row r="252" spans="2:13" x14ac:dyDescent="0.2">
      <c r="C252" t="b">
        <v>0</v>
      </c>
      <c r="D252">
        <v>4120.76</v>
      </c>
      <c r="E252" t="s">
        <v>30</v>
      </c>
    </row>
    <row r="253" spans="2:13" x14ac:dyDescent="0.2">
      <c r="C253" t="b">
        <v>0</v>
      </c>
      <c r="D253">
        <v>3720.64</v>
      </c>
      <c r="E253" t="s">
        <v>30</v>
      </c>
    </row>
    <row r="254" spans="2:13" x14ac:dyDescent="0.2">
      <c r="C254" t="b">
        <v>0</v>
      </c>
      <c r="D254">
        <v>3670.58</v>
      </c>
      <c r="E254" t="s">
        <v>30</v>
      </c>
    </row>
    <row r="255" spans="2:13" x14ac:dyDescent="0.2">
      <c r="C255" t="b">
        <v>0</v>
      </c>
      <c r="D255">
        <v>4010.74</v>
      </c>
      <c r="E255" t="s">
        <v>30</v>
      </c>
    </row>
    <row r="256" spans="2:13" x14ac:dyDescent="0.2">
      <c r="C256" t="b">
        <v>0</v>
      </c>
      <c r="D256">
        <v>4350.8599999999997</v>
      </c>
      <c r="E256" t="s">
        <v>30</v>
      </c>
    </row>
    <row r="257" spans="1:13" x14ac:dyDescent="0.2">
      <c r="A257" t="s">
        <v>0</v>
      </c>
    </row>
    <row r="258" spans="1:13" x14ac:dyDescent="0.2"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</row>
    <row r="259" spans="1:13" x14ac:dyDescent="0.2">
      <c r="B259" t="b">
        <v>0</v>
      </c>
      <c r="C259" t="s">
        <v>42</v>
      </c>
      <c r="D259" t="s">
        <v>43</v>
      </c>
      <c r="E259" t="s">
        <v>44</v>
      </c>
      <c r="F259">
        <v>1</v>
      </c>
      <c r="G259" t="s">
        <v>45</v>
      </c>
    </row>
    <row r="260" spans="1:13" x14ac:dyDescent="0.2">
      <c r="B260" t="s">
        <v>11</v>
      </c>
    </row>
    <row r="261" spans="1:13" x14ac:dyDescent="0.2"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20</v>
      </c>
      <c r="K261" t="s">
        <v>21</v>
      </c>
      <c r="L261" t="s">
        <v>22</v>
      </c>
      <c r="M261" t="s">
        <v>23</v>
      </c>
    </row>
    <row r="262" spans="1:13" x14ac:dyDescent="0.2">
      <c r="B262" t="s">
        <v>24</v>
      </c>
      <c r="C262">
        <v>59</v>
      </c>
      <c r="E262" t="s">
        <v>25</v>
      </c>
      <c r="F262">
        <v>55.71</v>
      </c>
      <c r="G262">
        <v>41.3</v>
      </c>
      <c r="H262">
        <v>0</v>
      </c>
      <c r="I262" t="s">
        <v>26</v>
      </c>
      <c r="J262" t="s">
        <v>46</v>
      </c>
      <c r="K262">
        <v>0.1</v>
      </c>
      <c r="L262">
        <v>7</v>
      </c>
    </row>
    <row r="263" spans="1:13" x14ac:dyDescent="0.2">
      <c r="C263" t="s">
        <v>27</v>
      </c>
    </row>
    <row r="264" spans="1:13" x14ac:dyDescent="0.2">
      <c r="C264" t="s">
        <v>28</v>
      </c>
      <c r="D264" t="s">
        <v>16</v>
      </c>
      <c r="E264" t="s">
        <v>29</v>
      </c>
      <c r="F264" t="s">
        <v>18</v>
      </c>
    </row>
    <row r="265" spans="1:13" x14ac:dyDescent="0.2">
      <c r="C265" t="b">
        <v>0</v>
      </c>
      <c r="D265">
        <v>70</v>
      </c>
      <c r="E265" t="s">
        <v>30</v>
      </c>
      <c r="F265">
        <v>0</v>
      </c>
    </row>
    <row r="266" spans="1:13" x14ac:dyDescent="0.2">
      <c r="C266" t="b">
        <v>0</v>
      </c>
      <c r="D266">
        <v>20</v>
      </c>
      <c r="E266" t="s">
        <v>30</v>
      </c>
      <c r="F266">
        <v>0</v>
      </c>
    </row>
    <row r="267" spans="1:13" x14ac:dyDescent="0.2">
      <c r="C267" t="b">
        <v>0</v>
      </c>
      <c r="D267">
        <v>50</v>
      </c>
      <c r="E267" t="s">
        <v>30</v>
      </c>
      <c r="F267">
        <v>0</v>
      </c>
    </row>
    <row r="268" spans="1:13" x14ac:dyDescent="0.2">
      <c r="C268" t="b">
        <v>0</v>
      </c>
      <c r="D268">
        <v>30</v>
      </c>
      <c r="E268" t="s">
        <v>30</v>
      </c>
      <c r="F268">
        <v>0</v>
      </c>
    </row>
    <row r="269" spans="1:13" x14ac:dyDescent="0.2">
      <c r="C269" t="b">
        <v>0</v>
      </c>
      <c r="D269">
        <v>80</v>
      </c>
      <c r="E269" t="s">
        <v>30</v>
      </c>
      <c r="F269">
        <v>0</v>
      </c>
    </row>
    <row r="270" spans="1:13" x14ac:dyDescent="0.2">
      <c r="C270" t="b">
        <v>0</v>
      </c>
      <c r="D270">
        <v>70</v>
      </c>
      <c r="E270" t="s">
        <v>30</v>
      </c>
      <c r="F270">
        <v>0</v>
      </c>
    </row>
    <row r="271" spans="1:13" x14ac:dyDescent="0.2">
      <c r="C271" t="b">
        <v>0</v>
      </c>
      <c r="D271">
        <v>70</v>
      </c>
      <c r="E271" t="s">
        <v>30</v>
      </c>
      <c r="F271">
        <v>0</v>
      </c>
    </row>
    <row r="272" spans="1:13" x14ac:dyDescent="0.2">
      <c r="B272" t="s">
        <v>11</v>
      </c>
    </row>
    <row r="273" spans="2:13" x14ac:dyDescent="0.2">
      <c r="B273" t="s">
        <v>12</v>
      </c>
      <c r="C273" t="s">
        <v>13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20</v>
      </c>
      <c r="K273" t="s">
        <v>21</v>
      </c>
      <c r="L273" t="s">
        <v>22</v>
      </c>
      <c r="M273" t="s">
        <v>23</v>
      </c>
    </row>
    <row r="274" spans="2:13" x14ac:dyDescent="0.2">
      <c r="B274" t="s">
        <v>31</v>
      </c>
      <c r="C274">
        <v>45</v>
      </c>
      <c r="E274" t="s">
        <v>25</v>
      </c>
      <c r="F274">
        <v>1032.93</v>
      </c>
      <c r="G274">
        <v>10.9</v>
      </c>
      <c r="K274">
        <v>0.1</v>
      </c>
      <c r="L274">
        <v>7</v>
      </c>
      <c r="M274">
        <v>100</v>
      </c>
    </row>
    <row r="275" spans="2:13" x14ac:dyDescent="0.2">
      <c r="C275" t="s">
        <v>27</v>
      </c>
    </row>
    <row r="276" spans="2:13" x14ac:dyDescent="0.2">
      <c r="C276" t="s">
        <v>28</v>
      </c>
      <c r="D276" t="s">
        <v>16</v>
      </c>
      <c r="E276" t="s">
        <v>29</v>
      </c>
      <c r="F276" t="s">
        <v>18</v>
      </c>
    </row>
    <row r="277" spans="2:13" x14ac:dyDescent="0.2">
      <c r="C277" t="b">
        <v>0</v>
      </c>
      <c r="D277">
        <v>910.05</v>
      </c>
      <c r="E277" t="s">
        <v>30</v>
      </c>
    </row>
    <row r="278" spans="2:13" x14ac:dyDescent="0.2">
      <c r="C278" t="b">
        <v>0</v>
      </c>
      <c r="D278">
        <v>1090.08</v>
      </c>
      <c r="E278" t="s">
        <v>30</v>
      </c>
    </row>
    <row r="279" spans="2:13" x14ac:dyDescent="0.2">
      <c r="C279" t="b">
        <v>0</v>
      </c>
      <c r="D279">
        <v>1090.08</v>
      </c>
      <c r="E279" t="s">
        <v>30</v>
      </c>
    </row>
    <row r="280" spans="2:13" x14ac:dyDescent="0.2">
      <c r="C280" t="b">
        <v>0</v>
      </c>
      <c r="D280">
        <v>940.06</v>
      </c>
      <c r="E280" t="s">
        <v>30</v>
      </c>
    </row>
    <row r="281" spans="2:13" x14ac:dyDescent="0.2">
      <c r="C281" t="b">
        <v>0</v>
      </c>
      <c r="D281">
        <v>1020.08</v>
      </c>
      <c r="E281" t="s">
        <v>30</v>
      </c>
    </row>
    <row r="282" spans="2:13" x14ac:dyDescent="0.2">
      <c r="C282" t="b">
        <v>0</v>
      </c>
      <c r="D282">
        <v>950.08</v>
      </c>
      <c r="E282" t="s">
        <v>30</v>
      </c>
    </row>
    <row r="283" spans="2:13" x14ac:dyDescent="0.2">
      <c r="C283" t="b">
        <v>0</v>
      </c>
      <c r="D283">
        <v>1230.0999999999999</v>
      </c>
      <c r="E283" t="s">
        <v>30</v>
      </c>
    </row>
    <row r="284" spans="2:13" x14ac:dyDescent="0.2">
      <c r="B284" t="s">
        <v>11</v>
      </c>
    </row>
    <row r="285" spans="2:13" x14ac:dyDescent="0.2">
      <c r="B285" t="s">
        <v>12</v>
      </c>
      <c r="C285" t="s">
        <v>13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  <c r="I285" t="s">
        <v>19</v>
      </c>
      <c r="J285" t="s">
        <v>20</v>
      </c>
      <c r="K285" t="s">
        <v>21</v>
      </c>
      <c r="L285" t="s">
        <v>22</v>
      </c>
      <c r="M285" t="s">
        <v>23</v>
      </c>
    </row>
    <row r="286" spans="2:13" x14ac:dyDescent="0.2">
      <c r="B286" t="s">
        <v>32</v>
      </c>
      <c r="C286">
        <v>72</v>
      </c>
      <c r="E286" t="s">
        <v>25</v>
      </c>
      <c r="F286">
        <v>745.76</v>
      </c>
      <c r="G286">
        <v>9.9</v>
      </c>
      <c r="K286">
        <v>0.1</v>
      </c>
      <c r="L286">
        <v>7</v>
      </c>
      <c r="M286">
        <v>100</v>
      </c>
    </row>
    <row r="287" spans="2:13" x14ac:dyDescent="0.2">
      <c r="C287" t="s">
        <v>27</v>
      </c>
    </row>
    <row r="288" spans="2:13" x14ac:dyDescent="0.2">
      <c r="C288" t="s">
        <v>28</v>
      </c>
      <c r="D288" t="s">
        <v>16</v>
      </c>
      <c r="E288" t="s">
        <v>29</v>
      </c>
      <c r="F288" t="s">
        <v>18</v>
      </c>
    </row>
    <row r="289" spans="2:13" x14ac:dyDescent="0.2">
      <c r="C289" t="b">
        <v>0</v>
      </c>
      <c r="D289">
        <v>680.04</v>
      </c>
      <c r="E289" t="s">
        <v>30</v>
      </c>
    </row>
    <row r="290" spans="2:13" x14ac:dyDescent="0.2">
      <c r="C290" t="b">
        <v>0</v>
      </c>
      <c r="D290">
        <v>700.05</v>
      </c>
      <c r="E290" t="s">
        <v>30</v>
      </c>
    </row>
    <row r="291" spans="2:13" x14ac:dyDescent="0.2">
      <c r="C291" t="b">
        <v>0</v>
      </c>
      <c r="D291">
        <v>700.05</v>
      </c>
      <c r="E291" t="s">
        <v>30</v>
      </c>
    </row>
    <row r="292" spans="2:13" x14ac:dyDescent="0.2">
      <c r="C292" t="b">
        <v>0</v>
      </c>
      <c r="D292">
        <v>820.06</v>
      </c>
      <c r="E292" t="s">
        <v>30</v>
      </c>
    </row>
    <row r="293" spans="2:13" x14ac:dyDescent="0.2">
      <c r="C293" t="b">
        <v>0</v>
      </c>
      <c r="D293">
        <v>760.05</v>
      </c>
      <c r="E293" t="s">
        <v>30</v>
      </c>
    </row>
    <row r="294" spans="2:13" x14ac:dyDescent="0.2">
      <c r="C294" t="b">
        <v>0</v>
      </c>
      <c r="D294">
        <v>690.04</v>
      </c>
      <c r="E294" t="s">
        <v>30</v>
      </c>
    </row>
    <row r="295" spans="2:13" x14ac:dyDescent="0.2">
      <c r="C295" t="b">
        <v>0</v>
      </c>
      <c r="D295">
        <v>870.06</v>
      </c>
      <c r="E295" t="s">
        <v>30</v>
      </c>
    </row>
    <row r="296" spans="2:13" x14ac:dyDescent="0.2">
      <c r="B296" t="s">
        <v>11</v>
      </c>
    </row>
    <row r="297" spans="2:13" x14ac:dyDescent="0.2">
      <c r="B297" t="s">
        <v>12</v>
      </c>
      <c r="C297" t="s">
        <v>13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  <c r="I297" t="s">
        <v>19</v>
      </c>
      <c r="J297" t="s">
        <v>20</v>
      </c>
      <c r="K297" t="s">
        <v>21</v>
      </c>
      <c r="L297" t="s">
        <v>22</v>
      </c>
      <c r="M297" t="s">
        <v>23</v>
      </c>
    </row>
    <row r="298" spans="2:13" x14ac:dyDescent="0.2">
      <c r="B298" t="s">
        <v>33</v>
      </c>
      <c r="C298">
        <v>89</v>
      </c>
      <c r="E298" t="s">
        <v>25</v>
      </c>
      <c r="F298">
        <v>3944.99</v>
      </c>
      <c r="G298">
        <v>7.3</v>
      </c>
      <c r="K298">
        <v>0.1</v>
      </c>
      <c r="L298">
        <v>7</v>
      </c>
      <c r="M298">
        <v>100</v>
      </c>
    </row>
    <row r="299" spans="2:13" x14ac:dyDescent="0.2">
      <c r="C299" t="s">
        <v>27</v>
      </c>
    </row>
    <row r="300" spans="2:13" x14ac:dyDescent="0.2">
      <c r="C300" t="s">
        <v>28</v>
      </c>
      <c r="D300" t="s">
        <v>16</v>
      </c>
      <c r="E300" t="s">
        <v>29</v>
      </c>
      <c r="F300" t="s">
        <v>18</v>
      </c>
    </row>
    <row r="301" spans="2:13" x14ac:dyDescent="0.2">
      <c r="C301" t="b">
        <v>0</v>
      </c>
      <c r="D301">
        <v>3460.57</v>
      </c>
      <c r="E301" t="s">
        <v>30</v>
      </c>
    </row>
    <row r="302" spans="2:13" x14ac:dyDescent="0.2">
      <c r="C302" t="b">
        <v>0</v>
      </c>
      <c r="D302">
        <v>4070.73</v>
      </c>
      <c r="E302" t="s">
        <v>30</v>
      </c>
    </row>
    <row r="303" spans="2:13" x14ac:dyDescent="0.2">
      <c r="C303" t="b">
        <v>0</v>
      </c>
      <c r="D303">
        <v>3910.66</v>
      </c>
      <c r="E303" t="s">
        <v>30</v>
      </c>
    </row>
    <row r="304" spans="2:13" x14ac:dyDescent="0.2">
      <c r="C304" t="b">
        <v>0</v>
      </c>
      <c r="D304">
        <v>3710.64</v>
      </c>
      <c r="E304" t="s">
        <v>30</v>
      </c>
    </row>
    <row r="305" spans="1:13" x14ac:dyDescent="0.2">
      <c r="C305" t="b">
        <v>0</v>
      </c>
      <c r="D305">
        <v>4130.78</v>
      </c>
      <c r="E305" t="s">
        <v>30</v>
      </c>
    </row>
    <row r="306" spans="1:13" x14ac:dyDescent="0.2">
      <c r="C306" t="b">
        <v>0</v>
      </c>
      <c r="D306">
        <v>3990.72</v>
      </c>
      <c r="E306" t="s">
        <v>30</v>
      </c>
    </row>
    <row r="307" spans="1:13" x14ac:dyDescent="0.2">
      <c r="C307" t="b">
        <v>0</v>
      </c>
      <c r="D307">
        <v>4340.83</v>
      </c>
      <c r="E307" t="s">
        <v>30</v>
      </c>
    </row>
    <row r="308" spans="1:13" x14ac:dyDescent="0.2">
      <c r="A308" t="s">
        <v>0</v>
      </c>
    </row>
    <row r="309" spans="1:13" x14ac:dyDescent="0.2"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</row>
    <row r="310" spans="1:13" x14ac:dyDescent="0.2">
      <c r="B310" t="b">
        <v>0</v>
      </c>
      <c r="C310" t="s">
        <v>47</v>
      </c>
      <c r="D310" t="s">
        <v>48</v>
      </c>
      <c r="E310" t="s">
        <v>49</v>
      </c>
      <c r="F310">
        <v>2</v>
      </c>
      <c r="G310" t="s">
        <v>50</v>
      </c>
    </row>
    <row r="311" spans="1:13" x14ac:dyDescent="0.2">
      <c r="B311" t="s">
        <v>11</v>
      </c>
    </row>
    <row r="312" spans="1:13" x14ac:dyDescent="0.2">
      <c r="B312" t="s">
        <v>12</v>
      </c>
      <c r="C312" t="s">
        <v>13</v>
      </c>
      <c r="D312" t="s">
        <v>14</v>
      </c>
      <c r="E312" t="s">
        <v>15</v>
      </c>
      <c r="F312" t="s">
        <v>16</v>
      </c>
      <c r="G312" t="s">
        <v>17</v>
      </c>
      <c r="H312" t="s">
        <v>18</v>
      </c>
      <c r="I312" t="s">
        <v>19</v>
      </c>
      <c r="J312" t="s">
        <v>20</v>
      </c>
      <c r="K312" t="s">
        <v>21</v>
      </c>
      <c r="L312" t="s">
        <v>22</v>
      </c>
      <c r="M312" t="s">
        <v>23</v>
      </c>
    </row>
    <row r="313" spans="1:13" x14ac:dyDescent="0.2">
      <c r="B313" t="s">
        <v>24</v>
      </c>
      <c r="C313">
        <v>59</v>
      </c>
      <c r="E313" t="s">
        <v>25</v>
      </c>
      <c r="F313">
        <v>2005.93</v>
      </c>
      <c r="G313">
        <v>6.8</v>
      </c>
      <c r="H313">
        <v>1E-3</v>
      </c>
      <c r="I313" t="s">
        <v>26</v>
      </c>
      <c r="J313">
        <v>7</v>
      </c>
      <c r="K313">
        <v>0.1</v>
      </c>
      <c r="L313">
        <v>7</v>
      </c>
    </row>
    <row r="314" spans="1:13" x14ac:dyDescent="0.2">
      <c r="C314" t="s">
        <v>27</v>
      </c>
    </row>
    <row r="315" spans="1:13" x14ac:dyDescent="0.2">
      <c r="C315" t="s">
        <v>28</v>
      </c>
      <c r="D315" t="s">
        <v>16</v>
      </c>
      <c r="E315" t="s">
        <v>29</v>
      </c>
      <c r="F315" t="s">
        <v>18</v>
      </c>
    </row>
    <row r="316" spans="1:13" x14ac:dyDescent="0.2">
      <c r="C316" t="b">
        <v>0</v>
      </c>
      <c r="D316">
        <v>1920.19</v>
      </c>
      <c r="E316" t="s">
        <v>30</v>
      </c>
      <c r="F316">
        <v>1E-3</v>
      </c>
    </row>
    <row r="317" spans="1:13" x14ac:dyDescent="0.2">
      <c r="C317" t="b">
        <v>0</v>
      </c>
      <c r="D317">
        <v>1830.17</v>
      </c>
      <c r="E317" t="s">
        <v>30</v>
      </c>
      <c r="F317">
        <v>1E-3</v>
      </c>
    </row>
    <row r="318" spans="1:13" x14ac:dyDescent="0.2">
      <c r="C318" t="b">
        <v>0</v>
      </c>
      <c r="D318">
        <v>2040.23</v>
      </c>
      <c r="E318" t="s">
        <v>30</v>
      </c>
      <c r="F318">
        <v>1E-3</v>
      </c>
    </row>
    <row r="319" spans="1:13" x14ac:dyDescent="0.2">
      <c r="C319" t="b">
        <v>0</v>
      </c>
      <c r="D319">
        <v>2270.2800000000002</v>
      </c>
      <c r="E319" t="s">
        <v>30</v>
      </c>
      <c r="F319">
        <v>1E-3</v>
      </c>
    </row>
    <row r="320" spans="1:13" x14ac:dyDescent="0.2">
      <c r="C320" t="b">
        <v>0</v>
      </c>
      <c r="D320">
        <v>2030.2</v>
      </c>
      <c r="E320" t="s">
        <v>30</v>
      </c>
      <c r="F320">
        <v>1E-3</v>
      </c>
    </row>
    <row r="321" spans="2:13" x14ac:dyDescent="0.2">
      <c r="C321" t="b">
        <v>0</v>
      </c>
      <c r="D321">
        <v>1950.21</v>
      </c>
      <c r="E321" t="s">
        <v>30</v>
      </c>
      <c r="F321">
        <v>1E-3</v>
      </c>
    </row>
    <row r="322" spans="2:13" x14ac:dyDescent="0.2">
      <c r="C322" t="b">
        <v>0</v>
      </c>
      <c r="D322">
        <v>2000.22</v>
      </c>
      <c r="E322" t="s">
        <v>30</v>
      </c>
      <c r="F322">
        <v>1E-3</v>
      </c>
    </row>
    <row r="323" spans="2:13" x14ac:dyDescent="0.2">
      <c r="B323" t="s">
        <v>11</v>
      </c>
    </row>
    <row r="324" spans="2:13" x14ac:dyDescent="0.2">
      <c r="B324" t="s">
        <v>12</v>
      </c>
      <c r="C324" t="s">
        <v>13</v>
      </c>
      <c r="D324" t="s">
        <v>14</v>
      </c>
      <c r="E324" t="s">
        <v>15</v>
      </c>
      <c r="F324" t="s">
        <v>16</v>
      </c>
      <c r="G324" t="s">
        <v>17</v>
      </c>
      <c r="H324" t="s">
        <v>18</v>
      </c>
      <c r="I324" t="s">
        <v>19</v>
      </c>
      <c r="J324" t="s">
        <v>20</v>
      </c>
      <c r="K324" t="s">
        <v>21</v>
      </c>
      <c r="L324" t="s">
        <v>22</v>
      </c>
      <c r="M324" t="s">
        <v>23</v>
      </c>
    </row>
    <row r="325" spans="2:13" x14ac:dyDescent="0.2">
      <c r="B325" t="s">
        <v>31</v>
      </c>
      <c r="C325">
        <v>45</v>
      </c>
      <c r="E325" t="s">
        <v>25</v>
      </c>
      <c r="F325">
        <v>960.07</v>
      </c>
      <c r="G325">
        <v>7</v>
      </c>
      <c r="K325">
        <v>0.1</v>
      </c>
      <c r="L325">
        <v>7</v>
      </c>
      <c r="M325">
        <v>92.9</v>
      </c>
    </row>
    <row r="326" spans="2:13" x14ac:dyDescent="0.2">
      <c r="C326" t="s">
        <v>27</v>
      </c>
    </row>
    <row r="327" spans="2:13" x14ac:dyDescent="0.2">
      <c r="C327" t="s">
        <v>28</v>
      </c>
      <c r="D327" t="s">
        <v>16</v>
      </c>
      <c r="E327" t="s">
        <v>29</v>
      </c>
      <c r="F327" t="s">
        <v>18</v>
      </c>
    </row>
    <row r="328" spans="2:13" x14ac:dyDescent="0.2">
      <c r="C328" t="b">
        <v>0</v>
      </c>
      <c r="D328">
        <v>1050.08</v>
      </c>
      <c r="E328" t="s">
        <v>30</v>
      </c>
    </row>
    <row r="329" spans="2:13" x14ac:dyDescent="0.2">
      <c r="C329" t="b">
        <v>0</v>
      </c>
      <c r="D329">
        <v>910.06</v>
      </c>
      <c r="E329" t="s">
        <v>30</v>
      </c>
    </row>
    <row r="330" spans="2:13" x14ac:dyDescent="0.2">
      <c r="C330" t="b">
        <v>0</v>
      </c>
      <c r="D330">
        <v>970.06</v>
      </c>
      <c r="E330" t="s">
        <v>30</v>
      </c>
    </row>
    <row r="331" spans="2:13" x14ac:dyDescent="0.2">
      <c r="C331" t="b">
        <v>0</v>
      </c>
      <c r="D331">
        <v>890.06</v>
      </c>
      <c r="E331" t="s">
        <v>30</v>
      </c>
    </row>
    <row r="332" spans="2:13" x14ac:dyDescent="0.2">
      <c r="C332" t="b">
        <v>0</v>
      </c>
      <c r="D332">
        <v>1050.08</v>
      </c>
      <c r="E332" t="s">
        <v>30</v>
      </c>
    </row>
    <row r="333" spans="2:13" x14ac:dyDescent="0.2">
      <c r="C333" t="b">
        <v>0</v>
      </c>
      <c r="D333">
        <v>900.06</v>
      </c>
      <c r="E333" t="s">
        <v>30</v>
      </c>
    </row>
    <row r="334" spans="2:13" x14ac:dyDescent="0.2">
      <c r="C334" t="b">
        <v>0</v>
      </c>
      <c r="D334">
        <v>950.07</v>
      </c>
      <c r="E334" t="s">
        <v>30</v>
      </c>
    </row>
    <row r="335" spans="2:13" x14ac:dyDescent="0.2">
      <c r="B335" t="s">
        <v>11</v>
      </c>
    </row>
    <row r="336" spans="2:13" x14ac:dyDescent="0.2">
      <c r="B336" t="s">
        <v>12</v>
      </c>
      <c r="C336" t="s">
        <v>13</v>
      </c>
      <c r="D336" t="s">
        <v>14</v>
      </c>
      <c r="E336" t="s">
        <v>15</v>
      </c>
      <c r="F336" t="s">
        <v>16</v>
      </c>
      <c r="G336" t="s">
        <v>17</v>
      </c>
      <c r="H336" t="s">
        <v>18</v>
      </c>
      <c r="I336" t="s">
        <v>19</v>
      </c>
      <c r="J336" t="s">
        <v>20</v>
      </c>
      <c r="K336" t="s">
        <v>21</v>
      </c>
      <c r="L336" t="s">
        <v>22</v>
      </c>
      <c r="M336" t="s">
        <v>23</v>
      </c>
    </row>
    <row r="337" spans="2:13" x14ac:dyDescent="0.2">
      <c r="B337" t="s">
        <v>32</v>
      </c>
      <c r="C337">
        <v>72</v>
      </c>
      <c r="E337" t="s">
        <v>25</v>
      </c>
      <c r="F337">
        <v>714.33</v>
      </c>
      <c r="G337">
        <v>14.3</v>
      </c>
      <c r="K337">
        <v>0.1</v>
      </c>
      <c r="L337">
        <v>7</v>
      </c>
      <c r="M337">
        <v>95.8</v>
      </c>
    </row>
    <row r="338" spans="2:13" x14ac:dyDescent="0.2">
      <c r="C338" t="s">
        <v>27</v>
      </c>
    </row>
    <row r="339" spans="2:13" x14ac:dyDescent="0.2">
      <c r="C339" t="s">
        <v>28</v>
      </c>
      <c r="D339" t="s">
        <v>16</v>
      </c>
      <c r="E339" t="s">
        <v>29</v>
      </c>
      <c r="F339" t="s">
        <v>18</v>
      </c>
    </row>
    <row r="340" spans="2:13" x14ac:dyDescent="0.2">
      <c r="C340" t="b">
        <v>0</v>
      </c>
      <c r="D340">
        <v>650.04</v>
      </c>
      <c r="E340" t="s">
        <v>30</v>
      </c>
    </row>
    <row r="341" spans="2:13" x14ac:dyDescent="0.2">
      <c r="C341" t="b">
        <v>0</v>
      </c>
      <c r="D341">
        <v>750.05</v>
      </c>
      <c r="E341" t="s">
        <v>30</v>
      </c>
    </row>
    <row r="342" spans="2:13" x14ac:dyDescent="0.2">
      <c r="C342" t="b">
        <v>0</v>
      </c>
      <c r="D342">
        <v>810.05</v>
      </c>
      <c r="E342" t="s">
        <v>30</v>
      </c>
    </row>
    <row r="343" spans="2:13" x14ac:dyDescent="0.2">
      <c r="C343" t="b">
        <v>0</v>
      </c>
      <c r="D343">
        <v>790.05</v>
      </c>
      <c r="E343" t="s">
        <v>30</v>
      </c>
    </row>
    <row r="344" spans="2:13" x14ac:dyDescent="0.2">
      <c r="C344" t="b">
        <v>0</v>
      </c>
      <c r="D344">
        <v>580.03</v>
      </c>
      <c r="E344" t="s">
        <v>30</v>
      </c>
    </row>
    <row r="345" spans="2:13" x14ac:dyDescent="0.2">
      <c r="C345" t="b">
        <v>0</v>
      </c>
      <c r="D345">
        <v>600.03</v>
      </c>
      <c r="E345" t="s">
        <v>30</v>
      </c>
    </row>
    <row r="346" spans="2:13" x14ac:dyDescent="0.2">
      <c r="C346" t="b">
        <v>0</v>
      </c>
      <c r="D346">
        <v>820.05</v>
      </c>
      <c r="E346" t="s">
        <v>30</v>
      </c>
    </row>
    <row r="347" spans="2:13" x14ac:dyDescent="0.2">
      <c r="B347" t="s">
        <v>11</v>
      </c>
    </row>
    <row r="348" spans="2:13" x14ac:dyDescent="0.2">
      <c r="B348" t="s">
        <v>12</v>
      </c>
      <c r="C348" t="s">
        <v>13</v>
      </c>
      <c r="D348" t="s">
        <v>14</v>
      </c>
      <c r="E348" t="s">
        <v>15</v>
      </c>
      <c r="F348" t="s">
        <v>16</v>
      </c>
      <c r="G348" t="s">
        <v>17</v>
      </c>
      <c r="H348" t="s">
        <v>18</v>
      </c>
      <c r="I348" t="s">
        <v>19</v>
      </c>
      <c r="J348" t="s">
        <v>20</v>
      </c>
      <c r="K348" t="s">
        <v>21</v>
      </c>
      <c r="L348" t="s">
        <v>22</v>
      </c>
      <c r="M348" t="s">
        <v>23</v>
      </c>
    </row>
    <row r="349" spans="2:13" x14ac:dyDescent="0.2">
      <c r="B349" t="s">
        <v>33</v>
      </c>
      <c r="C349">
        <v>89</v>
      </c>
      <c r="E349" t="s">
        <v>25</v>
      </c>
      <c r="F349">
        <v>3817.82</v>
      </c>
      <c r="G349">
        <v>5.7</v>
      </c>
      <c r="K349">
        <v>0.1</v>
      </c>
      <c r="L349">
        <v>7</v>
      </c>
      <c r="M349">
        <v>96.8</v>
      </c>
    </row>
    <row r="350" spans="2:13" x14ac:dyDescent="0.2">
      <c r="C350" t="s">
        <v>27</v>
      </c>
    </row>
    <row r="351" spans="2:13" x14ac:dyDescent="0.2">
      <c r="C351" t="s">
        <v>28</v>
      </c>
      <c r="D351" t="s">
        <v>16</v>
      </c>
      <c r="E351" t="s">
        <v>29</v>
      </c>
      <c r="F351" t="s">
        <v>18</v>
      </c>
    </row>
    <row r="352" spans="2:13" x14ac:dyDescent="0.2">
      <c r="C352" t="b">
        <v>0</v>
      </c>
      <c r="D352">
        <v>3740.71</v>
      </c>
      <c r="E352" t="s">
        <v>30</v>
      </c>
    </row>
    <row r="353" spans="1:13" x14ac:dyDescent="0.2">
      <c r="C353" t="b">
        <v>0</v>
      </c>
      <c r="D353">
        <v>3380.52</v>
      </c>
      <c r="E353" t="s">
        <v>30</v>
      </c>
    </row>
    <row r="354" spans="1:13" x14ac:dyDescent="0.2">
      <c r="C354" t="b">
        <v>0</v>
      </c>
      <c r="D354">
        <v>4000.76</v>
      </c>
      <c r="E354" t="s">
        <v>30</v>
      </c>
    </row>
    <row r="355" spans="1:13" x14ac:dyDescent="0.2">
      <c r="C355" t="b">
        <v>0</v>
      </c>
      <c r="D355">
        <v>3980.69</v>
      </c>
      <c r="E355" t="s">
        <v>30</v>
      </c>
    </row>
    <row r="356" spans="1:13" x14ac:dyDescent="0.2">
      <c r="C356" t="b">
        <v>0</v>
      </c>
      <c r="D356">
        <v>3940.69</v>
      </c>
      <c r="E356" t="s">
        <v>30</v>
      </c>
    </row>
    <row r="357" spans="1:13" x14ac:dyDescent="0.2">
      <c r="C357" t="b">
        <v>0</v>
      </c>
      <c r="D357">
        <v>3910.68</v>
      </c>
      <c r="E357" t="s">
        <v>30</v>
      </c>
    </row>
    <row r="358" spans="1:13" x14ac:dyDescent="0.2">
      <c r="C358" t="b">
        <v>0</v>
      </c>
      <c r="D358">
        <v>3770.67</v>
      </c>
      <c r="E358" t="s">
        <v>30</v>
      </c>
    </row>
    <row r="359" spans="1:13" x14ac:dyDescent="0.2">
      <c r="A359" t="s">
        <v>0</v>
      </c>
    </row>
    <row r="360" spans="1:13" x14ac:dyDescent="0.2"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</row>
    <row r="361" spans="1:13" x14ac:dyDescent="0.2">
      <c r="B361" t="b">
        <v>0</v>
      </c>
      <c r="C361" t="s">
        <v>51</v>
      </c>
      <c r="D361" t="s">
        <v>52</v>
      </c>
      <c r="E361" t="s">
        <v>49</v>
      </c>
      <c r="F361">
        <v>3</v>
      </c>
      <c r="G361" t="s">
        <v>53</v>
      </c>
    </row>
    <row r="362" spans="1:13" x14ac:dyDescent="0.2">
      <c r="B362" t="s">
        <v>11</v>
      </c>
    </row>
    <row r="363" spans="1:13" x14ac:dyDescent="0.2">
      <c r="B363" t="s">
        <v>12</v>
      </c>
      <c r="C363" t="s">
        <v>13</v>
      </c>
      <c r="D363" t="s">
        <v>14</v>
      </c>
      <c r="E363" t="s">
        <v>15</v>
      </c>
      <c r="F363" t="s">
        <v>16</v>
      </c>
      <c r="G363" t="s">
        <v>17</v>
      </c>
      <c r="H363" t="s">
        <v>18</v>
      </c>
      <c r="I363" t="s">
        <v>19</v>
      </c>
      <c r="J363" t="s">
        <v>20</v>
      </c>
      <c r="K363" t="s">
        <v>21</v>
      </c>
      <c r="L363" t="s">
        <v>22</v>
      </c>
      <c r="M363" t="s">
        <v>23</v>
      </c>
    </row>
    <row r="364" spans="1:13" x14ac:dyDescent="0.2">
      <c r="B364" t="s">
        <v>24</v>
      </c>
      <c r="C364">
        <v>59</v>
      </c>
      <c r="E364" t="s">
        <v>25</v>
      </c>
      <c r="F364">
        <v>20668.57</v>
      </c>
      <c r="G364">
        <v>2.1</v>
      </c>
      <c r="H364">
        <v>8.9999999999999993E-3</v>
      </c>
      <c r="I364" t="s">
        <v>26</v>
      </c>
      <c r="J364">
        <v>2.1</v>
      </c>
      <c r="K364">
        <v>0.1</v>
      </c>
      <c r="L364">
        <v>7</v>
      </c>
    </row>
    <row r="365" spans="1:13" x14ac:dyDescent="0.2">
      <c r="C365" t="s">
        <v>27</v>
      </c>
    </row>
    <row r="366" spans="1:13" x14ac:dyDescent="0.2">
      <c r="C366" t="s">
        <v>28</v>
      </c>
      <c r="D366" t="s">
        <v>16</v>
      </c>
      <c r="E366" t="s">
        <v>29</v>
      </c>
      <c r="F366" t="s">
        <v>18</v>
      </c>
    </row>
    <row r="367" spans="1:13" x14ac:dyDescent="0.2">
      <c r="C367" t="b">
        <v>0</v>
      </c>
      <c r="D367">
        <v>20795.84</v>
      </c>
      <c r="E367" t="s">
        <v>30</v>
      </c>
      <c r="F367">
        <v>8.9999999999999993E-3</v>
      </c>
    </row>
    <row r="368" spans="1:13" x14ac:dyDescent="0.2">
      <c r="C368" t="b">
        <v>0</v>
      </c>
      <c r="D368">
        <v>20735.87</v>
      </c>
      <c r="E368" t="s">
        <v>30</v>
      </c>
      <c r="F368">
        <v>8.9999999999999993E-3</v>
      </c>
    </row>
    <row r="369" spans="2:13" x14ac:dyDescent="0.2">
      <c r="C369" t="b">
        <v>0</v>
      </c>
      <c r="D369">
        <v>20415.259999999998</v>
      </c>
      <c r="E369" t="s">
        <v>30</v>
      </c>
      <c r="F369">
        <v>8.9999999999999993E-3</v>
      </c>
    </row>
    <row r="370" spans="2:13" x14ac:dyDescent="0.2">
      <c r="C370" t="b">
        <v>0</v>
      </c>
      <c r="D370">
        <v>20495.45</v>
      </c>
      <c r="E370" t="s">
        <v>30</v>
      </c>
      <c r="F370">
        <v>8.9999999999999993E-3</v>
      </c>
    </row>
    <row r="371" spans="2:13" x14ac:dyDescent="0.2">
      <c r="C371" t="b">
        <v>0</v>
      </c>
      <c r="D371">
        <v>19934.57</v>
      </c>
      <c r="E371" t="s">
        <v>30</v>
      </c>
      <c r="F371">
        <v>8.9999999999999993E-3</v>
      </c>
    </row>
    <row r="372" spans="2:13" x14ac:dyDescent="0.2">
      <c r="C372" t="b">
        <v>0</v>
      </c>
      <c r="D372">
        <v>20986.29</v>
      </c>
      <c r="E372" t="s">
        <v>30</v>
      </c>
      <c r="F372">
        <v>8.9999999999999993E-3</v>
      </c>
    </row>
    <row r="373" spans="2:13" x14ac:dyDescent="0.2">
      <c r="C373" t="b">
        <v>0</v>
      </c>
      <c r="D373">
        <v>21316.71</v>
      </c>
      <c r="E373" t="s">
        <v>30</v>
      </c>
      <c r="F373">
        <v>8.9999999999999993E-3</v>
      </c>
    </row>
    <row r="374" spans="2:13" x14ac:dyDescent="0.2">
      <c r="B374" t="s">
        <v>11</v>
      </c>
    </row>
    <row r="375" spans="2:13" x14ac:dyDescent="0.2">
      <c r="B375" t="s">
        <v>12</v>
      </c>
      <c r="C375" t="s">
        <v>13</v>
      </c>
      <c r="D375" t="s">
        <v>14</v>
      </c>
      <c r="E375" t="s">
        <v>15</v>
      </c>
      <c r="F375" t="s">
        <v>16</v>
      </c>
      <c r="G375" t="s">
        <v>17</v>
      </c>
      <c r="H375" t="s">
        <v>18</v>
      </c>
      <c r="I375" t="s">
        <v>19</v>
      </c>
      <c r="J375" t="s">
        <v>20</v>
      </c>
      <c r="K375" t="s">
        <v>21</v>
      </c>
      <c r="L375" t="s">
        <v>22</v>
      </c>
      <c r="M375" t="s">
        <v>23</v>
      </c>
    </row>
    <row r="376" spans="2:13" x14ac:dyDescent="0.2">
      <c r="B376" t="s">
        <v>31</v>
      </c>
      <c r="C376">
        <v>45</v>
      </c>
      <c r="E376" t="s">
        <v>25</v>
      </c>
      <c r="F376">
        <v>950.06</v>
      </c>
      <c r="G376">
        <v>10.5</v>
      </c>
      <c r="K376">
        <v>0.1</v>
      </c>
      <c r="L376">
        <v>7</v>
      </c>
      <c r="M376">
        <v>92</v>
      </c>
    </row>
    <row r="377" spans="2:13" x14ac:dyDescent="0.2">
      <c r="C377" t="s">
        <v>27</v>
      </c>
    </row>
    <row r="378" spans="2:13" x14ac:dyDescent="0.2">
      <c r="C378" t="s">
        <v>28</v>
      </c>
      <c r="D378" t="s">
        <v>16</v>
      </c>
      <c r="E378" t="s">
        <v>29</v>
      </c>
      <c r="F378" t="s">
        <v>18</v>
      </c>
    </row>
    <row r="379" spans="2:13" x14ac:dyDescent="0.2">
      <c r="C379" t="b">
        <v>0</v>
      </c>
      <c r="D379">
        <v>920.06</v>
      </c>
      <c r="E379" t="s">
        <v>30</v>
      </c>
    </row>
    <row r="380" spans="2:13" x14ac:dyDescent="0.2">
      <c r="C380" t="b">
        <v>0</v>
      </c>
      <c r="D380">
        <v>1010.07</v>
      </c>
      <c r="E380" t="s">
        <v>30</v>
      </c>
    </row>
    <row r="381" spans="2:13" x14ac:dyDescent="0.2">
      <c r="C381" t="b">
        <v>0</v>
      </c>
      <c r="D381">
        <v>760.05</v>
      </c>
      <c r="E381" t="s">
        <v>30</v>
      </c>
    </row>
    <row r="382" spans="2:13" x14ac:dyDescent="0.2">
      <c r="C382" t="b">
        <v>0</v>
      </c>
      <c r="D382">
        <v>940.06</v>
      </c>
      <c r="E382" t="s">
        <v>30</v>
      </c>
    </row>
    <row r="383" spans="2:13" x14ac:dyDescent="0.2">
      <c r="C383" t="b">
        <v>0</v>
      </c>
      <c r="D383">
        <v>990.07</v>
      </c>
      <c r="E383" t="s">
        <v>30</v>
      </c>
    </row>
    <row r="384" spans="2:13" x14ac:dyDescent="0.2">
      <c r="C384" t="b">
        <v>0</v>
      </c>
      <c r="D384">
        <v>1080.08</v>
      </c>
      <c r="E384" t="s">
        <v>30</v>
      </c>
    </row>
    <row r="385" spans="2:13" x14ac:dyDescent="0.2">
      <c r="C385" t="b">
        <v>0</v>
      </c>
      <c r="D385">
        <v>950.06</v>
      </c>
      <c r="E385" t="s">
        <v>30</v>
      </c>
    </row>
    <row r="386" spans="2:13" x14ac:dyDescent="0.2">
      <c r="B386" t="s">
        <v>11</v>
      </c>
    </row>
    <row r="387" spans="2:13" x14ac:dyDescent="0.2">
      <c r="B387" t="s">
        <v>12</v>
      </c>
      <c r="C387" t="s">
        <v>13</v>
      </c>
      <c r="D387" t="s">
        <v>14</v>
      </c>
      <c r="E387" t="s">
        <v>15</v>
      </c>
      <c r="F387" t="s">
        <v>16</v>
      </c>
      <c r="G387" t="s">
        <v>17</v>
      </c>
      <c r="H387" t="s">
        <v>18</v>
      </c>
      <c r="I387" t="s">
        <v>19</v>
      </c>
      <c r="J387" t="s">
        <v>20</v>
      </c>
      <c r="K387" t="s">
        <v>21</v>
      </c>
      <c r="L387" t="s">
        <v>22</v>
      </c>
      <c r="M387" t="s">
        <v>23</v>
      </c>
    </row>
    <row r="388" spans="2:13" x14ac:dyDescent="0.2">
      <c r="B388" t="s">
        <v>32</v>
      </c>
      <c r="C388">
        <v>72</v>
      </c>
      <c r="E388" t="s">
        <v>25</v>
      </c>
      <c r="F388">
        <v>740.05</v>
      </c>
      <c r="G388">
        <v>9.1</v>
      </c>
      <c r="K388">
        <v>0.1</v>
      </c>
      <c r="L388">
        <v>7</v>
      </c>
      <c r="M388">
        <v>99.2</v>
      </c>
    </row>
    <row r="389" spans="2:13" x14ac:dyDescent="0.2">
      <c r="C389" t="s">
        <v>27</v>
      </c>
    </row>
    <row r="390" spans="2:13" x14ac:dyDescent="0.2">
      <c r="C390" t="s">
        <v>28</v>
      </c>
      <c r="D390" t="s">
        <v>16</v>
      </c>
      <c r="E390" t="s">
        <v>29</v>
      </c>
      <c r="F390" t="s">
        <v>18</v>
      </c>
    </row>
    <row r="391" spans="2:13" x14ac:dyDescent="0.2">
      <c r="C391" t="b">
        <v>0</v>
      </c>
      <c r="D391">
        <v>750.05</v>
      </c>
      <c r="E391" t="s">
        <v>30</v>
      </c>
    </row>
    <row r="392" spans="2:13" x14ac:dyDescent="0.2">
      <c r="C392" t="b">
        <v>0</v>
      </c>
      <c r="D392">
        <v>670.04</v>
      </c>
      <c r="E392" t="s">
        <v>30</v>
      </c>
    </row>
    <row r="393" spans="2:13" x14ac:dyDescent="0.2">
      <c r="C393" t="b">
        <v>0</v>
      </c>
      <c r="D393">
        <v>720.04</v>
      </c>
      <c r="E393" t="s">
        <v>30</v>
      </c>
    </row>
    <row r="394" spans="2:13" x14ac:dyDescent="0.2">
      <c r="C394" t="b">
        <v>0</v>
      </c>
      <c r="D394">
        <v>750.05</v>
      </c>
      <c r="E394" t="s">
        <v>30</v>
      </c>
    </row>
    <row r="395" spans="2:13" x14ac:dyDescent="0.2">
      <c r="C395" t="b">
        <v>0</v>
      </c>
      <c r="D395">
        <v>860.07</v>
      </c>
      <c r="E395" t="s">
        <v>30</v>
      </c>
    </row>
    <row r="396" spans="2:13" x14ac:dyDescent="0.2">
      <c r="C396" t="b">
        <v>0</v>
      </c>
      <c r="D396">
        <v>770.06</v>
      </c>
      <c r="E396" t="s">
        <v>30</v>
      </c>
    </row>
    <row r="397" spans="2:13" x14ac:dyDescent="0.2">
      <c r="C397" t="b">
        <v>0</v>
      </c>
      <c r="D397">
        <v>660.05</v>
      </c>
      <c r="E397" t="s">
        <v>30</v>
      </c>
    </row>
    <row r="398" spans="2:13" x14ac:dyDescent="0.2">
      <c r="B398" t="s">
        <v>11</v>
      </c>
    </row>
    <row r="399" spans="2:13" x14ac:dyDescent="0.2">
      <c r="B399" t="s">
        <v>12</v>
      </c>
      <c r="C399" t="s">
        <v>13</v>
      </c>
      <c r="D399" t="s">
        <v>14</v>
      </c>
      <c r="E399" t="s">
        <v>15</v>
      </c>
      <c r="F399" t="s">
        <v>16</v>
      </c>
      <c r="G399" t="s">
        <v>17</v>
      </c>
      <c r="H399" t="s">
        <v>18</v>
      </c>
      <c r="I399" t="s">
        <v>19</v>
      </c>
      <c r="J399" t="s">
        <v>20</v>
      </c>
      <c r="K399" t="s">
        <v>21</v>
      </c>
      <c r="L399" t="s">
        <v>22</v>
      </c>
      <c r="M399" t="s">
        <v>23</v>
      </c>
    </row>
    <row r="400" spans="2:13" x14ac:dyDescent="0.2">
      <c r="B400" t="s">
        <v>33</v>
      </c>
      <c r="C400">
        <v>89</v>
      </c>
      <c r="E400" t="s">
        <v>25</v>
      </c>
      <c r="F400">
        <v>3736.36</v>
      </c>
      <c r="G400">
        <v>8.1999999999999993</v>
      </c>
      <c r="K400">
        <v>0.1</v>
      </c>
      <c r="L400">
        <v>7</v>
      </c>
      <c r="M400">
        <v>94.7</v>
      </c>
    </row>
    <row r="401" spans="1:13" x14ac:dyDescent="0.2">
      <c r="C401" t="s">
        <v>27</v>
      </c>
    </row>
    <row r="402" spans="1:13" x14ac:dyDescent="0.2">
      <c r="C402" t="s">
        <v>28</v>
      </c>
      <c r="D402" t="s">
        <v>16</v>
      </c>
      <c r="E402" t="s">
        <v>29</v>
      </c>
      <c r="F402" t="s">
        <v>18</v>
      </c>
    </row>
    <row r="403" spans="1:13" x14ac:dyDescent="0.2">
      <c r="C403" t="b">
        <v>0</v>
      </c>
      <c r="D403">
        <v>3150.47</v>
      </c>
      <c r="E403" t="s">
        <v>30</v>
      </c>
    </row>
    <row r="404" spans="1:13" x14ac:dyDescent="0.2">
      <c r="C404" t="b">
        <v>0</v>
      </c>
      <c r="D404">
        <v>3500.55</v>
      </c>
      <c r="E404" t="s">
        <v>30</v>
      </c>
    </row>
    <row r="405" spans="1:13" x14ac:dyDescent="0.2">
      <c r="C405" t="b">
        <v>0</v>
      </c>
      <c r="D405">
        <v>4000.72</v>
      </c>
      <c r="E405" t="s">
        <v>30</v>
      </c>
    </row>
    <row r="406" spans="1:13" x14ac:dyDescent="0.2">
      <c r="C406" t="b">
        <v>0</v>
      </c>
      <c r="D406">
        <v>3820.69</v>
      </c>
      <c r="E406" t="s">
        <v>30</v>
      </c>
    </row>
    <row r="407" spans="1:13" x14ac:dyDescent="0.2">
      <c r="C407" t="b">
        <v>0</v>
      </c>
      <c r="D407">
        <v>3840.69</v>
      </c>
      <c r="E407" t="s">
        <v>30</v>
      </c>
    </row>
    <row r="408" spans="1:13" x14ac:dyDescent="0.2">
      <c r="C408" t="b">
        <v>0</v>
      </c>
      <c r="D408">
        <v>3840.69</v>
      </c>
      <c r="E408" t="s">
        <v>30</v>
      </c>
    </row>
    <row r="409" spans="1:13" x14ac:dyDescent="0.2">
      <c r="C409" t="b">
        <v>0</v>
      </c>
      <c r="D409">
        <v>4000.73</v>
      </c>
      <c r="E409" t="s">
        <v>30</v>
      </c>
    </row>
    <row r="410" spans="1:13" x14ac:dyDescent="0.2">
      <c r="A410" t="s">
        <v>0</v>
      </c>
    </row>
    <row r="411" spans="1:13" x14ac:dyDescent="0.2"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</row>
    <row r="412" spans="1:13" x14ac:dyDescent="0.2">
      <c r="B412" t="b">
        <v>0</v>
      </c>
      <c r="C412" t="s">
        <v>54</v>
      </c>
      <c r="D412" t="s">
        <v>55</v>
      </c>
      <c r="E412" t="s">
        <v>49</v>
      </c>
      <c r="F412">
        <v>4</v>
      </c>
      <c r="G412" t="s">
        <v>56</v>
      </c>
    </row>
    <row r="413" spans="1:13" x14ac:dyDescent="0.2">
      <c r="B413" t="s">
        <v>11</v>
      </c>
    </row>
    <row r="414" spans="1:13" x14ac:dyDescent="0.2">
      <c r="B414" t="s">
        <v>12</v>
      </c>
      <c r="C414" t="s">
        <v>13</v>
      </c>
      <c r="D414" t="s">
        <v>14</v>
      </c>
      <c r="E414" t="s">
        <v>15</v>
      </c>
      <c r="F414" t="s">
        <v>16</v>
      </c>
      <c r="G414" t="s">
        <v>17</v>
      </c>
      <c r="H414" t="s">
        <v>18</v>
      </c>
      <c r="I414" t="s">
        <v>19</v>
      </c>
      <c r="J414" t="s">
        <v>20</v>
      </c>
      <c r="K414" t="s">
        <v>21</v>
      </c>
      <c r="L414" t="s">
        <v>22</v>
      </c>
      <c r="M414" t="s">
        <v>23</v>
      </c>
    </row>
    <row r="415" spans="1:13" x14ac:dyDescent="0.2">
      <c r="B415" t="s">
        <v>24</v>
      </c>
      <c r="C415">
        <v>59</v>
      </c>
      <c r="E415" t="s">
        <v>25</v>
      </c>
      <c r="F415">
        <v>108732.01</v>
      </c>
      <c r="G415">
        <v>1.5</v>
      </c>
      <c r="H415">
        <v>4.8000000000000001E-2</v>
      </c>
      <c r="I415" t="s">
        <v>26</v>
      </c>
      <c r="J415">
        <v>1.5</v>
      </c>
      <c r="K415">
        <v>0.1</v>
      </c>
      <c r="L415">
        <v>7</v>
      </c>
    </row>
    <row r="416" spans="1:13" x14ac:dyDescent="0.2">
      <c r="C416" t="s">
        <v>27</v>
      </c>
    </row>
    <row r="417" spans="2:13" x14ac:dyDescent="0.2">
      <c r="C417" t="s">
        <v>28</v>
      </c>
      <c r="D417" t="s">
        <v>16</v>
      </c>
      <c r="E417" t="s">
        <v>29</v>
      </c>
      <c r="F417" t="s">
        <v>18</v>
      </c>
    </row>
    <row r="418" spans="2:13" x14ac:dyDescent="0.2">
      <c r="C418" t="b">
        <v>0</v>
      </c>
      <c r="D418">
        <v>106400.17</v>
      </c>
      <c r="E418" t="s">
        <v>30</v>
      </c>
      <c r="F418">
        <v>4.7E-2</v>
      </c>
    </row>
    <row r="419" spans="2:13" x14ac:dyDescent="0.2">
      <c r="C419" t="b">
        <v>0</v>
      </c>
      <c r="D419">
        <v>107326.19</v>
      </c>
      <c r="E419" t="s">
        <v>30</v>
      </c>
      <c r="F419">
        <v>4.8000000000000001E-2</v>
      </c>
    </row>
    <row r="420" spans="2:13" x14ac:dyDescent="0.2">
      <c r="C420" t="b">
        <v>0</v>
      </c>
      <c r="D420">
        <v>110067.22</v>
      </c>
      <c r="E420" t="s">
        <v>30</v>
      </c>
      <c r="F420">
        <v>4.9000000000000002E-2</v>
      </c>
    </row>
    <row r="421" spans="2:13" x14ac:dyDescent="0.2">
      <c r="C421" t="b">
        <v>0</v>
      </c>
      <c r="D421">
        <v>108970.51</v>
      </c>
      <c r="E421" t="s">
        <v>30</v>
      </c>
      <c r="F421">
        <v>4.8000000000000001E-2</v>
      </c>
    </row>
    <row r="422" spans="2:13" x14ac:dyDescent="0.2">
      <c r="C422" t="b">
        <v>0</v>
      </c>
      <c r="D422">
        <v>110783.09</v>
      </c>
      <c r="E422" t="s">
        <v>30</v>
      </c>
      <c r="F422">
        <v>4.9000000000000002E-2</v>
      </c>
    </row>
    <row r="423" spans="2:13" x14ac:dyDescent="0.2">
      <c r="C423" t="b">
        <v>0</v>
      </c>
      <c r="D423">
        <v>107780.75</v>
      </c>
      <c r="E423" t="s">
        <v>30</v>
      </c>
      <c r="F423">
        <v>4.8000000000000001E-2</v>
      </c>
    </row>
    <row r="424" spans="2:13" x14ac:dyDescent="0.2">
      <c r="C424" t="b">
        <v>0</v>
      </c>
      <c r="D424">
        <v>109796.13</v>
      </c>
      <c r="E424" t="s">
        <v>30</v>
      </c>
      <c r="F424">
        <v>4.9000000000000002E-2</v>
      </c>
    </row>
    <row r="425" spans="2:13" x14ac:dyDescent="0.2">
      <c r="B425" t="s">
        <v>11</v>
      </c>
    </row>
    <row r="426" spans="2:13" x14ac:dyDescent="0.2">
      <c r="B426" t="s">
        <v>12</v>
      </c>
      <c r="C426" t="s">
        <v>13</v>
      </c>
      <c r="D426" t="s">
        <v>14</v>
      </c>
      <c r="E426" t="s">
        <v>15</v>
      </c>
      <c r="F426" t="s">
        <v>16</v>
      </c>
      <c r="G426" t="s">
        <v>17</v>
      </c>
      <c r="H426" t="s">
        <v>18</v>
      </c>
      <c r="I426" t="s">
        <v>19</v>
      </c>
      <c r="J426" t="s">
        <v>20</v>
      </c>
      <c r="K426" t="s">
        <v>21</v>
      </c>
      <c r="L426" t="s">
        <v>22</v>
      </c>
      <c r="M426" t="s">
        <v>23</v>
      </c>
    </row>
    <row r="427" spans="2:13" x14ac:dyDescent="0.2">
      <c r="B427" t="s">
        <v>31</v>
      </c>
      <c r="C427">
        <v>45</v>
      </c>
      <c r="E427" t="s">
        <v>25</v>
      </c>
      <c r="F427">
        <v>1144.3699999999999</v>
      </c>
      <c r="G427">
        <v>5.0999999999999996</v>
      </c>
      <c r="K427">
        <v>0.1</v>
      </c>
      <c r="L427">
        <v>7</v>
      </c>
      <c r="M427">
        <v>110.8</v>
      </c>
    </row>
    <row r="428" spans="2:13" x14ac:dyDescent="0.2">
      <c r="C428" t="s">
        <v>27</v>
      </c>
    </row>
    <row r="429" spans="2:13" x14ac:dyDescent="0.2">
      <c r="C429" t="s">
        <v>28</v>
      </c>
      <c r="D429" t="s">
        <v>16</v>
      </c>
      <c r="E429" t="s">
        <v>29</v>
      </c>
      <c r="F429" t="s">
        <v>18</v>
      </c>
    </row>
    <row r="430" spans="2:13" x14ac:dyDescent="0.2">
      <c r="C430" t="b">
        <v>0</v>
      </c>
      <c r="D430">
        <v>1140.07</v>
      </c>
      <c r="E430" t="s">
        <v>30</v>
      </c>
    </row>
    <row r="431" spans="2:13" x14ac:dyDescent="0.2">
      <c r="C431" t="b">
        <v>0</v>
      </c>
      <c r="D431">
        <v>1100.0899999999999</v>
      </c>
      <c r="E431" t="s">
        <v>30</v>
      </c>
    </row>
    <row r="432" spans="2:13" x14ac:dyDescent="0.2">
      <c r="C432" t="b">
        <v>0</v>
      </c>
      <c r="D432">
        <v>1120.0899999999999</v>
      </c>
      <c r="E432" t="s">
        <v>30</v>
      </c>
    </row>
    <row r="433" spans="2:13" x14ac:dyDescent="0.2">
      <c r="C433" t="b">
        <v>0</v>
      </c>
      <c r="D433">
        <v>1180.0899999999999</v>
      </c>
      <c r="E433" t="s">
        <v>30</v>
      </c>
    </row>
    <row r="434" spans="2:13" x14ac:dyDescent="0.2">
      <c r="C434" t="b">
        <v>0</v>
      </c>
      <c r="D434">
        <v>1250.0999999999999</v>
      </c>
      <c r="E434" t="s">
        <v>30</v>
      </c>
    </row>
    <row r="435" spans="2:13" x14ac:dyDescent="0.2">
      <c r="C435" t="b">
        <v>0</v>
      </c>
      <c r="D435">
        <v>1150.08</v>
      </c>
      <c r="E435" t="s">
        <v>30</v>
      </c>
    </row>
    <row r="436" spans="2:13" x14ac:dyDescent="0.2">
      <c r="C436" t="b">
        <v>0</v>
      </c>
      <c r="D436">
        <v>1070.0899999999999</v>
      </c>
      <c r="E436" t="s">
        <v>30</v>
      </c>
    </row>
    <row r="437" spans="2:13" x14ac:dyDescent="0.2">
      <c r="B437" t="s">
        <v>11</v>
      </c>
    </row>
    <row r="438" spans="2:13" x14ac:dyDescent="0.2">
      <c r="B438" t="s">
        <v>12</v>
      </c>
      <c r="C438" t="s">
        <v>13</v>
      </c>
      <c r="D438" t="s">
        <v>14</v>
      </c>
      <c r="E438" t="s">
        <v>15</v>
      </c>
      <c r="F438" t="s">
        <v>16</v>
      </c>
      <c r="G438" t="s">
        <v>17</v>
      </c>
      <c r="H438" t="s">
        <v>18</v>
      </c>
      <c r="I438" t="s">
        <v>19</v>
      </c>
      <c r="J438" t="s">
        <v>20</v>
      </c>
      <c r="K438" t="s">
        <v>21</v>
      </c>
      <c r="L438" t="s">
        <v>22</v>
      </c>
      <c r="M438" t="s">
        <v>23</v>
      </c>
    </row>
    <row r="439" spans="2:13" x14ac:dyDescent="0.2">
      <c r="B439" t="s">
        <v>32</v>
      </c>
      <c r="C439">
        <v>72</v>
      </c>
      <c r="E439" t="s">
        <v>25</v>
      </c>
      <c r="F439">
        <v>795.76</v>
      </c>
      <c r="G439">
        <v>4.2</v>
      </c>
      <c r="K439">
        <v>0.1</v>
      </c>
      <c r="L439">
        <v>7</v>
      </c>
      <c r="M439">
        <v>106.7</v>
      </c>
    </row>
    <row r="440" spans="2:13" x14ac:dyDescent="0.2">
      <c r="C440" t="s">
        <v>27</v>
      </c>
    </row>
    <row r="441" spans="2:13" x14ac:dyDescent="0.2">
      <c r="C441" t="s">
        <v>28</v>
      </c>
      <c r="D441" t="s">
        <v>16</v>
      </c>
      <c r="E441" t="s">
        <v>29</v>
      </c>
      <c r="F441" t="s">
        <v>18</v>
      </c>
    </row>
    <row r="442" spans="2:13" x14ac:dyDescent="0.2">
      <c r="C442" t="b">
        <v>0</v>
      </c>
      <c r="D442">
        <v>800.05</v>
      </c>
      <c r="E442" t="s">
        <v>30</v>
      </c>
    </row>
    <row r="443" spans="2:13" x14ac:dyDescent="0.2">
      <c r="C443" t="b">
        <v>0</v>
      </c>
      <c r="D443">
        <v>790.05</v>
      </c>
      <c r="E443" t="s">
        <v>30</v>
      </c>
    </row>
    <row r="444" spans="2:13" x14ac:dyDescent="0.2">
      <c r="C444" t="b">
        <v>0</v>
      </c>
      <c r="D444">
        <v>750.04</v>
      </c>
      <c r="E444" t="s">
        <v>30</v>
      </c>
    </row>
    <row r="445" spans="2:13" x14ac:dyDescent="0.2">
      <c r="C445" t="b">
        <v>0</v>
      </c>
      <c r="D445">
        <v>810.05</v>
      </c>
      <c r="E445" t="s">
        <v>30</v>
      </c>
    </row>
    <row r="446" spans="2:13" x14ac:dyDescent="0.2">
      <c r="C446" t="b">
        <v>0</v>
      </c>
      <c r="D446">
        <v>810.05</v>
      </c>
      <c r="E446" t="s">
        <v>30</v>
      </c>
    </row>
    <row r="447" spans="2:13" x14ac:dyDescent="0.2">
      <c r="C447" t="b">
        <v>0</v>
      </c>
      <c r="D447">
        <v>850.05</v>
      </c>
      <c r="E447" t="s">
        <v>30</v>
      </c>
    </row>
    <row r="448" spans="2:13" x14ac:dyDescent="0.2">
      <c r="C448" t="b">
        <v>0</v>
      </c>
      <c r="D448">
        <v>760.04</v>
      </c>
      <c r="E448" t="s">
        <v>30</v>
      </c>
    </row>
    <row r="449" spans="1:13" x14ac:dyDescent="0.2">
      <c r="B449" t="s">
        <v>11</v>
      </c>
    </row>
    <row r="450" spans="1:13" x14ac:dyDescent="0.2">
      <c r="B450" t="s">
        <v>12</v>
      </c>
      <c r="C450" t="s">
        <v>13</v>
      </c>
      <c r="D450" t="s">
        <v>14</v>
      </c>
      <c r="E450" t="s">
        <v>15</v>
      </c>
      <c r="F450" t="s">
        <v>16</v>
      </c>
      <c r="G450" t="s">
        <v>17</v>
      </c>
      <c r="H450" t="s">
        <v>18</v>
      </c>
      <c r="I450" t="s">
        <v>19</v>
      </c>
      <c r="J450" t="s">
        <v>20</v>
      </c>
      <c r="K450" t="s">
        <v>21</v>
      </c>
      <c r="L450" t="s">
        <v>22</v>
      </c>
      <c r="M450" t="s">
        <v>23</v>
      </c>
    </row>
    <row r="451" spans="1:13" x14ac:dyDescent="0.2">
      <c r="B451" t="s">
        <v>33</v>
      </c>
      <c r="C451">
        <v>89</v>
      </c>
      <c r="E451" t="s">
        <v>25</v>
      </c>
      <c r="F451">
        <v>4422.28</v>
      </c>
      <c r="G451">
        <v>6.5</v>
      </c>
      <c r="K451">
        <v>0.1</v>
      </c>
      <c r="L451">
        <v>7</v>
      </c>
      <c r="M451">
        <v>112.1</v>
      </c>
    </row>
    <row r="452" spans="1:13" x14ac:dyDescent="0.2">
      <c r="C452" t="s">
        <v>27</v>
      </c>
    </row>
    <row r="453" spans="1:13" x14ac:dyDescent="0.2">
      <c r="C453" t="s">
        <v>28</v>
      </c>
      <c r="D453" t="s">
        <v>16</v>
      </c>
      <c r="E453" t="s">
        <v>29</v>
      </c>
      <c r="F453" t="s">
        <v>18</v>
      </c>
    </row>
    <row r="454" spans="1:13" x14ac:dyDescent="0.2">
      <c r="C454" t="b">
        <v>0</v>
      </c>
      <c r="D454">
        <v>3980.71</v>
      </c>
      <c r="E454" t="s">
        <v>30</v>
      </c>
    </row>
    <row r="455" spans="1:13" x14ac:dyDescent="0.2">
      <c r="C455" t="b">
        <v>0</v>
      </c>
      <c r="D455">
        <v>4270.8500000000004</v>
      </c>
      <c r="E455" t="s">
        <v>30</v>
      </c>
    </row>
    <row r="456" spans="1:13" x14ac:dyDescent="0.2">
      <c r="C456" t="b">
        <v>0</v>
      </c>
      <c r="D456">
        <v>4861.01</v>
      </c>
      <c r="E456" t="s">
        <v>30</v>
      </c>
    </row>
    <row r="457" spans="1:13" x14ac:dyDescent="0.2">
      <c r="C457" t="b">
        <v>0</v>
      </c>
      <c r="D457">
        <v>4640.8900000000003</v>
      </c>
      <c r="E457" t="s">
        <v>30</v>
      </c>
    </row>
    <row r="458" spans="1:13" x14ac:dyDescent="0.2">
      <c r="C458" t="b">
        <v>0</v>
      </c>
      <c r="D458">
        <v>4260.79</v>
      </c>
      <c r="E458" t="s">
        <v>30</v>
      </c>
    </row>
    <row r="459" spans="1:13" x14ac:dyDescent="0.2">
      <c r="C459" t="b">
        <v>0</v>
      </c>
      <c r="D459">
        <v>4530.8900000000003</v>
      </c>
      <c r="E459" t="s">
        <v>30</v>
      </c>
    </row>
    <row r="460" spans="1:13" x14ac:dyDescent="0.2">
      <c r="C460" t="b">
        <v>0</v>
      </c>
      <c r="D460">
        <v>4410.84</v>
      </c>
      <c r="E460" t="s">
        <v>30</v>
      </c>
    </row>
    <row r="461" spans="1:13" x14ac:dyDescent="0.2">
      <c r="A461" t="s">
        <v>0</v>
      </c>
    </row>
    <row r="462" spans="1:13" x14ac:dyDescent="0.2"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</row>
    <row r="463" spans="1:13" x14ac:dyDescent="0.2">
      <c r="B463" t="b">
        <v>0</v>
      </c>
      <c r="C463" t="s">
        <v>57</v>
      </c>
      <c r="D463" t="s">
        <v>58</v>
      </c>
      <c r="E463" t="s">
        <v>49</v>
      </c>
      <c r="F463">
        <v>5</v>
      </c>
      <c r="G463" t="s">
        <v>59</v>
      </c>
    </row>
    <row r="464" spans="1:13" x14ac:dyDescent="0.2">
      <c r="B464" t="s">
        <v>11</v>
      </c>
    </row>
    <row r="465" spans="2:13" x14ac:dyDescent="0.2">
      <c r="B465" t="s">
        <v>12</v>
      </c>
      <c r="C465" t="s">
        <v>13</v>
      </c>
      <c r="D465" t="s">
        <v>14</v>
      </c>
      <c r="E465" t="s">
        <v>15</v>
      </c>
      <c r="F465" t="s">
        <v>16</v>
      </c>
      <c r="G465" t="s">
        <v>17</v>
      </c>
      <c r="H465" t="s">
        <v>18</v>
      </c>
      <c r="I465" t="s">
        <v>19</v>
      </c>
      <c r="J465" t="s">
        <v>20</v>
      </c>
      <c r="K465" t="s">
        <v>21</v>
      </c>
      <c r="L465" t="s">
        <v>22</v>
      </c>
      <c r="M465" t="s">
        <v>23</v>
      </c>
    </row>
    <row r="466" spans="2:13" x14ac:dyDescent="0.2">
      <c r="B466" t="s">
        <v>24</v>
      </c>
      <c r="C466">
        <v>59</v>
      </c>
      <c r="E466" t="s">
        <v>25</v>
      </c>
      <c r="F466">
        <v>205859.08</v>
      </c>
      <c r="G466">
        <v>1.2</v>
      </c>
      <c r="H466">
        <v>9.1999999999999998E-2</v>
      </c>
      <c r="I466" t="s">
        <v>26</v>
      </c>
      <c r="J466">
        <v>1.2</v>
      </c>
      <c r="K466">
        <v>0.1</v>
      </c>
      <c r="L466">
        <v>7</v>
      </c>
    </row>
    <row r="467" spans="2:13" x14ac:dyDescent="0.2">
      <c r="C467" t="s">
        <v>27</v>
      </c>
    </row>
    <row r="468" spans="2:13" x14ac:dyDescent="0.2">
      <c r="C468" t="s">
        <v>28</v>
      </c>
      <c r="D468" t="s">
        <v>16</v>
      </c>
      <c r="E468" t="s">
        <v>29</v>
      </c>
      <c r="F468" t="s">
        <v>18</v>
      </c>
    </row>
    <row r="469" spans="2:13" x14ac:dyDescent="0.2">
      <c r="C469" t="b">
        <v>0</v>
      </c>
      <c r="D469">
        <v>205226.13</v>
      </c>
      <c r="E469" t="s">
        <v>30</v>
      </c>
      <c r="F469">
        <v>9.0999999999999998E-2</v>
      </c>
    </row>
    <row r="470" spans="2:13" x14ac:dyDescent="0.2">
      <c r="C470" t="b">
        <v>0</v>
      </c>
      <c r="D470">
        <v>205591.67999999999</v>
      </c>
      <c r="E470" t="s">
        <v>30</v>
      </c>
      <c r="F470">
        <v>9.0999999999999998E-2</v>
      </c>
    </row>
    <row r="471" spans="2:13" x14ac:dyDescent="0.2">
      <c r="C471" t="b">
        <v>0</v>
      </c>
      <c r="D471">
        <v>207024.16</v>
      </c>
      <c r="E471" t="s">
        <v>30</v>
      </c>
      <c r="F471">
        <v>9.1999999999999998E-2</v>
      </c>
    </row>
    <row r="472" spans="2:13" x14ac:dyDescent="0.2">
      <c r="C472" t="b">
        <v>0</v>
      </c>
      <c r="D472">
        <v>208033.79</v>
      </c>
      <c r="E472" t="s">
        <v>30</v>
      </c>
      <c r="F472">
        <v>9.2999999999999999E-2</v>
      </c>
    </row>
    <row r="473" spans="2:13" x14ac:dyDescent="0.2">
      <c r="C473" t="b">
        <v>0</v>
      </c>
      <c r="D473">
        <v>207659.37</v>
      </c>
      <c r="E473" t="s">
        <v>30</v>
      </c>
      <c r="F473">
        <v>9.1999999999999998E-2</v>
      </c>
    </row>
    <row r="474" spans="2:13" x14ac:dyDescent="0.2">
      <c r="C474" t="b">
        <v>0</v>
      </c>
      <c r="D474">
        <v>206634.49</v>
      </c>
      <c r="E474" t="s">
        <v>30</v>
      </c>
      <c r="F474">
        <v>9.1999999999999998E-2</v>
      </c>
    </row>
    <row r="475" spans="2:13" x14ac:dyDescent="0.2">
      <c r="C475" t="b">
        <v>0</v>
      </c>
      <c r="D475">
        <v>200843.94</v>
      </c>
      <c r="E475" t="s">
        <v>30</v>
      </c>
      <c r="F475">
        <v>8.8999999999999996E-2</v>
      </c>
    </row>
    <row r="476" spans="2:13" x14ac:dyDescent="0.2">
      <c r="B476" t="s">
        <v>11</v>
      </c>
    </row>
    <row r="477" spans="2:13" x14ac:dyDescent="0.2">
      <c r="B477" t="s">
        <v>12</v>
      </c>
      <c r="C477" t="s">
        <v>13</v>
      </c>
      <c r="D477" t="s">
        <v>14</v>
      </c>
      <c r="E477" t="s">
        <v>15</v>
      </c>
      <c r="F477" t="s">
        <v>16</v>
      </c>
      <c r="G477" t="s">
        <v>17</v>
      </c>
      <c r="H477" t="s">
        <v>18</v>
      </c>
      <c r="I477" t="s">
        <v>19</v>
      </c>
      <c r="J477" t="s">
        <v>20</v>
      </c>
      <c r="K477" t="s">
        <v>21</v>
      </c>
      <c r="L477" t="s">
        <v>22</v>
      </c>
      <c r="M477" t="s">
        <v>23</v>
      </c>
    </row>
    <row r="478" spans="2:13" x14ac:dyDescent="0.2">
      <c r="B478" t="s">
        <v>31</v>
      </c>
      <c r="C478">
        <v>45</v>
      </c>
      <c r="E478" t="s">
        <v>25</v>
      </c>
      <c r="F478">
        <v>1097.22</v>
      </c>
      <c r="G478">
        <v>4</v>
      </c>
      <c r="K478">
        <v>0.1</v>
      </c>
      <c r="L478">
        <v>7</v>
      </c>
      <c r="M478">
        <v>106.2</v>
      </c>
    </row>
    <row r="479" spans="2:13" x14ac:dyDescent="0.2">
      <c r="C479" t="s">
        <v>27</v>
      </c>
    </row>
    <row r="480" spans="2:13" x14ac:dyDescent="0.2">
      <c r="C480" t="s">
        <v>28</v>
      </c>
      <c r="D480" t="s">
        <v>16</v>
      </c>
      <c r="E480" t="s">
        <v>29</v>
      </c>
      <c r="F480" t="s">
        <v>18</v>
      </c>
    </row>
    <row r="481" spans="2:13" x14ac:dyDescent="0.2">
      <c r="C481" t="b">
        <v>0</v>
      </c>
      <c r="D481">
        <v>1080.0899999999999</v>
      </c>
      <c r="E481" t="s">
        <v>30</v>
      </c>
    </row>
    <row r="482" spans="2:13" x14ac:dyDescent="0.2">
      <c r="C482" t="b">
        <v>0</v>
      </c>
      <c r="D482">
        <v>1080.08</v>
      </c>
      <c r="E482" t="s">
        <v>30</v>
      </c>
    </row>
    <row r="483" spans="2:13" x14ac:dyDescent="0.2">
      <c r="C483" t="b">
        <v>0</v>
      </c>
      <c r="D483">
        <v>1030.07</v>
      </c>
      <c r="E483" t="s">
        <v>30</v>
      </c>
    </row>
    <row r="484" spans="2:13" x14ac:dyDescent="0.2">
      <c r="C484" t="b">
        <v>0</v>
      </c>
      <c r="D484">
        <v>1080.07</v>
      </c>
      <c r="E484" t="s">
        <v>30</v>
      </c>
    </row>
    <row r="485" spans="2:13" x14ac:dyDescent="0.2">
      <c r="C485" t="b">
        <v>0</v>
      </c>
      <c r="D485">
        <v>1140.0899999999999</v>
      </c>
      <c r="E485" t="s">
        <v>30</v>
      </c>
    </row>
    <row r="486" spans="2:13" x14ac:dyDescent="0.2">
      <c r="C486" t="b">
        <v>0</v>
      </c>
      <c r="D486">
        <v>1110.08</v>
      </c>
      <c r="E486" t="s">
        <v>30</v>
      </c>
    </row>
    <row r="487" spans="2:13" x14ac:dyDescent="0.2">
      <c r="C487" t="b">
        <v>0</v>
      </c>
      <c r="D487">
        <v>1160.0899999999999</v>
      </c>
      <c r="E487" t="s">
        <v>30</v>
      </c>
    </row>
    <row r="488" spans="2:13" x14ac:dyDescent="0.2">
      <c r="B488" t="s">
        <v>11</v>
      </c>
    </row>
    <row r="489" spans="2:13" x14ac:dyDescent="0.2">
      <c r="B489" t="s">
        <v>12</v>
      </c>
      <c r="C489" t="s">
        <v>13</v>
      </c>
      <c r="D489" t="s">
        <v>14</v>
      </c>
      <c r="E489" t="s">
        <v>15</v>
      </c>
      <c r="F489" t="s">
        <v>16</v>
      </c>
      <c r="G489" t="s">
        <v>17</v>
      </c>
      <c r="H489" t="s">
        <v>18</v>
      </c>
      <c r="I489" t="s">
        <v>19</v>
      </c>
      <c r="J489" t="s">
        <v>20</v>
      </c>
      <c r="K489" t="s">
        <v>21</v>
      </c>
      <c r="L489" t="s">
        <v>22</v>
      </c>
      <c r="M489" t="s">
        <v>23</v>
      </c>
    </row>
    <row r="490" spans="2:13" x14ac:dyDescent="0.2">
      <c r="B490" t="s">
        <v>32</v>
      </c>
      <c r="C490">
        <v>72</v>
      </c>
      <c r="E490" t="s">
        <v>25</v>
      </c>
      <c r="F490">
        <v>820.05</v>
      </c>
      <c r="G490">
        <v>16.3</v>
      </c>
      <c r="K490">
        <v>0.1</v>
      </c>
      <c r="L490">
        <v>7</v>
      </c>
      <c r="M490">
        <v>110</v>
      </c>
    </row>
    <row r="491" spans="2:13" x14ac:dyDescent="0.2">
      <c r="C491" t="s">
        <v>27</v>
      </c>
    </row>
    <row r="492" spans="2:13" x14ac:dyDescent="0.2">
      <c r="C492" t="s">
        <v>28</v>
      </c>
      <c r="D492" t="s">
        <v>16</v>
      </c>
      <c r="E492" t="s">
        <v>29</v>
      </c>
      <c r="F492" t="s">
        <v>18</v>
      </c>
    </row>
    <row r="493" spans="2:13" x14ac:dyDescent="0.2">
      <c r="C493" t="b">
        <v>0</v>
      </c>
      <c r="D493">
        <v>850.05</v>
      </c>
      <c r="E493" t="s">
        <v>30</v>
      </c>
    </row>
    <row r="494" spans="2:13" x14ac:dyDescent="0.2">
      <c r="C494" t="b">
        <v>0</v>
      </c>
      <c r="D494">
        <v>850.05</v>
      </c>
      <c r="E494" t="s">
        <v>30</v>
      </c>
    </row>
    <row r="495" spans="2:13" x14ac:dyDescent="0.2">
      <c r="C495" t="b">
        <v>0</v>
      </c>
      <c r="D495">
        <v>790.04</v>
      </c>
      <c r="E495" t="s">
        <v>30</v>
      </c>
    </row>
    <row r="496" spans="2:13" x14ac:dyDescent="0.2">
      <c r="C496" t="b">
        <v>0</v>
      </c>
      <c r="D496">
        <v>1010.07</v>
      </c>
      <c r="E496" t="s">
        <v>30</v>
      </c>
    </row>
    <row r="497" spans="1:13" x14ac:dyDescent="0.2">
      <c r="C497" t="b">
        <v>0</v>
      </c>
      <c r="D497">
        <v>920.06</v>
      </c>
      <c r="E497" t="s">
        <v>30</v>
      </c>
    </row>
    <row r="498" spans="1:13" x14ac:dyDescent="0.2">
      <c r="C498" t="b">
        <v>0</v>
      </c>
      <c r="D498">
        <v>720.05</v>
      </c>
      <c r="E498" t="s">
        <v>30</v>
      </c>
    </row>
    <row r="499" spans="1:13" x14ac:dyDescent="0.2">
      <c r="C499" t="b">
        <v>0</v>
      </c>
      <c r="D499">
        <v>600.03</v>
      </c>
      <c r="E499" t="s">
        <v>30</v>
      </c>
    </row>
    <row r="500" spans="1:13" x14ac:dyDescent="0.2">
      <c r="B500" t="s">
        <v>11</v>
      </c>
    </row>
    <row r="501" spans="1:13" x14ac:dyDescent="0.2">
      <c r="B501" t="s">
        <v>12</v>
      </c>
      <c r="C501" t="s">
        <v>13</v>
      </c>
      <c r="D501" t="s">
        <v>14</v>
      </c>
      <c r="E501" t="s">
        <v>15</v>
      </c>
      <c r="F501" t="s">
        <v>16</v>
      </c>
      <c r="G501" t="s">
        <v>17</v>
      </c>
      <c r="H501" t="s">
        <v>18</v>
      </c>
      <c r="I501" t="s">
        <v>19</v>
      </c>
      <c r="J501" t="s">
        <v>20</v>
      </c>
      <c r="K501" t="s">
        <v>21</v>
      </c>
      <c r="L501" t="s">
        <v>22</v>
      </c>
      <c r="M501" t="s">
        <v>23</v>
      </c>
    </row>
    <row r="502" spans="1:13" x14ac:dyDescent="0.2">
      <c r="B502" t="s">
        <v>33</v>
      </c>
      <c r="C502">
        <v>89</v>
      </c>
      <c r="E502" t="s">
        <v>25</v>
      </c>
      <c r="F502">
        <v>4428</v>
      </c>
      <c r="G502">
        <v>3</v>
      </c>
      <c r="K502">
        <v>0.1</v>
      </c>
      <c r="L502">
        <v>7</v>
      </c>
      <c r="M502">
        <v>112.2</v>
      </c>
    </row>
    <row r="503" spans="1:13" x14ac:dyDescent="0.2">
      <c r="C503" t="s">
        <v>27</v>
      </c>
    </row>
    <row r="504" spans="1:13" x14ac:dyDescent="0.2">
      <c r="C504" t="s">
        <v>28</v>
      </c>
      <c r="D504" t="s">
        <v>16</v>
      </c>
      <c r="E504" t="s">
        <v>29</v>
      </c>
      <c r="F504" t="s">
        <v>18</v>
      </c>
    </row>
    <row r="505" spans="1:13" x14ac:dyDescent="0.2">
      <c r="C505" t="b">
        <v>0</v>
      </c>
      <c r="D505">
        <v>4300.8100000000004</v>
      </c>
      <c r="E505" t="s">
        <v>30</v>
      </c>
    </row>
    <row r="506" spans="1:13" x14ac:dyDescent="0.2">
      <c r="C506" t="b">
        <v>0</v>
      </c>
      <c r="D506">
        <v>4290.84</v>
      </c>
      <c r="E506" t="s">
        <v>30</v>
      </c>
    </row>
    <row r="507" spans="1:13" x14ac:dyDescent="0.2">
      <c r="C507" t="b">
        <v>0</v>
      </c>
      <c r="D507">
        <v>4430.8100000000004</v>
      </c>
      <c r="E507" t="s">
        <v>30</v>
      </c>
    </row>
    <row r="508" spans="1:13" x14ac:dyDescent="0.2">
      <c r="C508" t="b">
        <v>0</v>
      </c>
      <c r="D508">
        <v>4450.8900000000003</v>
      </c>
      <c r="E508" t="s">
        <v>30</v>
      </c>
    </row>
    <row r="509" spans="1:13" x14ac:dyDescent="0.2">
      <c r="C509" t="b">
        <v>0</v>
      </c>
      <c r="D509">
        <v>4680.9399999999996</v>
      </c>
      <c r="E509" t="s">
        <v>30</v>
      </c>
    </row>
    <row r="510" spans="1:13" x14ac:dyDescent="0.2">
      <c r="C510" t="b">
        <v>0</v>
      </c>
      <c r="D510">
        <v>4470.92</v>
      </c>
      <c r="E510" t="s">
        <v>30</v>
      </c>
    </row>
    <row r="511" spans="1:13" x14ac:dyDescent="0.2">
      <c r="C511" t="b">
        <v>0</v>
      </c>
      <c r="D511">
        <v>4370.82</v>
      </c>
      <c r="E511" t="s">
        <v>30</v>
      </c>
    </row>
    <row r="512" spans="1:13" x14ac:dyDescent="0.2">
      <c r="A512" t="s">
        <v>0</v>
      </c>
    </row>
    <row r="513" spans="1:13" x14ac:dyDescent="0.2"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</row>
    <row r="514" spans="1:13" x14ac:dyDescent="0.2">
      <c r="A514" t="s">
        <v>60</v>
      </c>
      <c r="B514" t="b">
        <v>0</v>
      </c>
      <c r="C514" t="s">
        <v>61</v>
      </c>
      <c r="D514" t="s">
        <v>62</v>
      </c>
      <c r="E514" t="s">
        <v>49</v>
      </c>
      <c r="F514">
        <v>6</v>
      </c>
      <c r="G514" t="s">
        <v>63</v>
      </c>
    </row>
    <row r="515" spans="1:13" x14ac:dyDescent="0.2">
      <c r="B515" t="s">
        <v>11</v>
      </c>
    </row>
    <row r="516" spans="1:13" x14ac:dyDescent="0.2">
      <c r="B516" t="s">
        <v>12</v>
      </c>
      <c r="C516" t="s">
        <v>13</v>
      </c>
      <c r="D516" t="s">
        <v>14</v>
      </c>
      <c r="E516" t="s">
        <v>15</v>
      </c>
      <c r="F516" t="s">
        <v>16</v>
      </c>
      <c r="G516" t="s">
        <v>17</v>
      </c>
      <c r="H516" t="s">
        <v>18</v>
      </c>
      <c r="I516" t="s">
        <v>19</v>
      </c>
      <c r="J516" t="s">
        <v>20</v>
      </c>
      <c r="K516" t="s">
        <v>21</v>
      </c>
      <c r="L516" t="s">
        <v>22</v>
      </c>
      <c r="M516" t="s">
        <v>23</v>
      </c>
    </row>
    <row r="517" spans="1:13" x14ac:dyDescent="0.2">
      <c r="B517" t="s">
        <v>24</v>
      </c>
      <c r="C517">
        <v>59</v>
      </c>
      <c r="E517" t="s">
        <v>25</v>
      </c>
      <c r="F517">
        <v>1114340.04</v>
      </c>
      <c r="G517">
        <v>0.5</v>
      </c>
      <c r="H517">
        <v>0.496</v>
      </c>
      <c r="I517" t="s">
        <v>26</v>
      </c>
      <c r="J517">
        <v>0.5</v>
      </c>
      <c r="K517">
        <v>0.1</v>
      </c>
      <c r="L517">
        <v>7</v>
      </c>
    </row>
    <row r="518" spans="1:13" x14ac:dyDescent="0.2">
      <c r="C518" t="s">
        <v>27</v>
      </c>
    </row>
    <row r="519" spans="1:13" x14ac:dyDescent="0.2">
      <c r="C519" t="s">
        <v>28</v>
      </c>
      <c r="D519" t="s">
        <v>16</v>
      </c>
      <c r="E519" t="s">
        <v>29</v>
      </c>
      <c r="F519" t="s">
        <v>18</v>
      </c>
    </row>
    <row r="520" spans="1:13" x14ac:dyDescent="0.2">
      <c r="C520" t="b">
        <v>0</v>
      </c>
      <c r="D520">
        <v>1119005.06</v>
      </c>
      <c r="E520" t="s">
        <v>30</v>
      </c>
      <c r="F520">
        <v>0.498</v>
      </c>
    </row>
    <row r="521" spans="1:13" x14ac:dyDescent="0.2">
      <c r="C521" t="b">
        <v>0</v>
      </c>
      <c r="D521">
        <v>1115809.67</v>
      </c>
      <c r="E521" t="s">
        <v>30</v>
      </c>
      <c r="F521">
        <v>0.496</v>
      </c>
    </row>
    <row r="522" spans="1:13" x14ac:dyDescent="0.2">
      <c r="C522" t="b">
        <v>0</v>
      </c>
      <c r="D522">
        <v>1123389.98</v>
      </c>
      <c r="E522" t="s">
        <v>30</v>
      </c>
      <c r="F522">
        <v>0.5</v>
      </c>
    </row>
    <row r="523" spans="1:13" x14ac:dyDescent="0.2">
      <c r="C523" t="b">
        <v>0</v>
      </c>
      <c r="D523">
        <v>1111980.3700000001</v>
      </c>
      <c r="E523" t="s">
        <v>30</v>
      </c>
      <c r="F523">
        <v>0.495</v>
      </c>
    </row>
    <row r="524" spans="1:13" x14ac:dyDescent="0.2">
      <c r="C524" t="b">
        <v>0</v>
      </c>
      <c r="D524">
        <v>1107413.03</v>
      </c>
      <c r="E524" t="s">
        <v>30</v>
      </c>
      <c r="F524">
        <v>0.49299999999999999</v>
      </c>
    </row>
    <row r="525" spans="1:13" x14ac:dyDescent="0.2">
      <c r="C525" t="b">
        <v>0</v>
      </c>
      <c r="D525">
        <v>1112229.75</v>
      </c>
      <c r="E525" t="s">
        <v>30</v>
      </c>
      <c r="F525">
        <v>0.495</v>
      </c>
    </row>
    <row r="526" spans="1:13" x14ac:dyDescent="0.2">
      <c r="C526" t="b">
        <v>0</v>
      </c>
      <c r="D526">
        <v>1110552.4099999999</v>
      </c>
      <c r="E526" t="s">
        <v>30</v>
      </c>
      <c r="F526">
        <v>0.49399999999999999</v>
      </c>
    </row>
    <row r="527" spans="1:13" x14ac:dyDescent="0.2">
      <c r="B527" t="s">
        <v>11</v>
      </c>
    </row>
    <row r="528" spans="1:13" x14ac:dyDescent="0.2">
      <c r="B528" t="s">
        <v>12</v>
      </c>
      <c r="C528" t="s">
        <v>13</v>
      </c>
      <c r="D528" t="s">
        <v>14</v>
      </c>
      <c r="E528" t="s">
        <v>15</v>
      </c>
      <c r="F528" t="s">
        <v>16</v>
      </c>
      <c r="G528" t="s">
        <v>17</v>
      </c>
      <c r="H528" t="s">
        <v>18</v>
      </c>
      <c r="I528" t="s">
        <v>19</v>
      </c>
      <c r="J528" t="s">
        <v>20</v>
      </c>
      <c r="K528" t="s">
        <v>21</v>
      </c>
      <c r="L528" t="s">
        <v>22</v>
      </c>
      <c r="M528" t="s">
        <v>23</v>
      </c>
    </row>
    <row r="529" spans="2:13" x14ac:dyDescent="0.2">
      <c r="B529" t="s">
        <v>31</v>
      </c>
      <c r="C529">
        <v>45</v>
      </c>
      <c r="E529" t="s">
        <v>25</v>
      </c>
      <c r="F529">
        <v>1134.3699999999999</v>
      </c>
      <c r="G529">
        <v>8.3000000000000007</v>
      </c>
      <c r="K529">
        <v>0.1</v>
      </c>
      <c r="L529">
        <v>7</v>
      </c>
      <c r="M529">
        <v>109.8</v>
      </c>
    </row>
    <row r="530" spans="2:13" x14ac:dyDescent="0.2">
      <c r="C530" t="s">
        <v>27</v>
      </c>
    </row>
    <row r="531" spans="2:13" x14ac:dyDescent="0.2">
      <c r="C531" t="s">
        <v>28</v>
      </c>
      <c r="D531" t="s">
        <v>16</v>
      </c>
      <c r="E531" t="s">
        <v>29</v>
      </c>
      <c r="F531" t="s">
        <v>18</v>
      </c>
    </row>
    <row r="532" spans="2:13" x14ac:dyDescent="0.2">
      <c r="C532" t="b">
        <v>0</v>
      </c>
      <c r="D532">
        <v>1330.1</v>
      </c>
      <c r="E532" t="s">
        <v>30</v>
      </c>
    </row>
    <row r="533" spans="2:13" x14ac:dyDescent="0.2">
      <c r="C533" t="b">
        <v>0</v>
      </c>
      <c r="D533">
        <v>1160.0899999999999</v>
      </c>
      <c r="E533" t="s">
        <v>30</v>
      </c>
    </row>
    <row r="534" spans="2:13" x14ac:dyDescent="0.2">
      <c r="C534" t="b">
        <v>0</v>
      </c>
      <c r="D534">
        <v>1050.08</v>
      </c>
      <c r="E534" t="s">
        <v>30</v>
      </c>
    </row>
    <row r="535" spans="2:13" x14ac:dyDescent="0.2">
      <c r="C535" t="b">
        <v>0</v>
      </c>
      <c r="D535">
        <v>1120.0899999999999</v>
      </c>
      <c r="E535" t="s">
        <v>30</v>
      </c>
    </row>
    <row r="536" spans="2:13" x14ac:dyDescent="0.2">
      <c r="C536" t="b">
        <v>0</v>
      </c>
      <c r="D536">
        <v>1130.0899999999999</v>
      </c>
      <c r="E536" t="s">
        <v>30</v>
      </c>
    </row>
    <row r="537" spans="2:13" x14ac:dyDescent="0.2">
      <c r="C537" t="b">
        <v>0</v>
      </c>
      <c r="D537">
        <v>1060.08</v>
      </c>
      <c r="E537" t="s">
        <v>30</v>
      </c>
    </row>
    <row r="538" spans="2:13" x14ac:dyDescent="0.2">
      <c r="C538" t="b">
        <v>0</v>
      </c>
      <c r="D538">
        <v>1090.08</v>
      </c>
      <c r="E538" t="s">
        <v>30</v>
      </c>
    </row>
    <row r="539" spans="2:13" x14ac:dyDescent="0.2">
      <c r="B539" t="s">
        <v>11</v>
      </c>
    </row>
    <row r="540" spans="2:13" x14ac:dyDescent="0.2">
      <c r="B540" t="s">
        <v>12</v>
      </c>
      <c r="C540" t="s">
        <v>13</v>
      </c>
      <c r="D540" t="s">
        <v>14</v>
      </c>
      <c r="E540" t="s">
        <v>15</v>
      </c>
      <c r="F540" t="s">
        <v>16</v>
      </c>
      <c r="G540" t="s">
        <v>17</v>
      </c>
      <c r="H540" t="s">
        <v>18</v>
      </c>
      <c r="I540" t="s">
        <v>19</v>
      </c>
      <c r="J540" t="s">
        <v>20</v>
      </c>
      <c r="K540" t="s">
        <v>21</v>
      </c>
      <c r="L540" t="s">
        <v>22</v>
      </c>
      <c r="M540" t="s">
        <v>23</v>
      </c>
    </row>
    <row r="541" spans="2:13" x14ac:dyDescent="0.2">
      <c r="B541" t="s">
        <v>32</v>
      </c>
      <c r="C541">
        <v>72</v>
      </c>
      <c r="E541" t="s">
        <v>25</v>
      </c>
      <c r="F541">
        <v>820.06</v>
      </c>
      <c r="G541">
        <v>14.4</v>
      </c>
      <c r="K541">
        <v>0.1</v>
      </c>
      <c r="L541">
        <v>7</v>
      </c>
      <c r="M541">
        <v>110</v>
      </c>
    </row>
    <row r="542" spans="2:13" x14ac:dyDescent="0.2">
      <c r="C542" t="s">
        <v>27</v>
      </c>
    </row>
    <row r="543" spans="2:13" x14ac:dyDescent="0.2">
      <c r="C543" t="s">
        <v>28</v>
      </c>
      <c r="D543" t="s">
        <v>16</v>
      </c>
      <c r="E543" t="s">
        <v>29</v>
      </c>
      <c r="F543" t="s">
        <v>18</v>
      </c>
    </row>
    <row r="544" spans="2:13" x14ac:dyDescent="0.2">
      <c r="C544" t="b">
        <v>0</v>
      </c>
      <c r="D544">
        <v>880.06</v>
      </c>
      <c r="E544" t="s">
        <v>30</v>
      </c>
    </row>
    <row r="545" spans="2:13" x14ac:dyDescent="0.2">
      <c r="C545" t="b">
        <v>0</v>
      </c>
      <c r="D545">
        <v>840.06</v>
      </c>
      <c r="E545" t="s">
        <v>30</v>
      </c>
    </row>
    <row r="546" spans="2:13" x14ac:dyDescent="0.2">
      <c r="C546" t="b">
        <v>0</v>
      </c>
      <c r="D546">
        <v>1030.08</v>
      </c>
      <c r="E546" t="s">
        <v>30</v>
      </c>
    </row>
    <row r="547" spans="2:13" x14ac:dyDescent="0.2">
      <c r="C547" t="b">
        <v>0</v>
      </c>
      <c r="D547">
        <v>770.04</v>
      </c>
      <c r="E547" t="s">
        <v>30</v>
      </c>
    </row>
    <row r="548" spans="2:13" x14ac:dyDescent="0.2">
      <c r="C548" t="b">
        <v>0</v>
      </c>
      <c r="D548">
        <v>670.04</v>
      </c>
      <c r="E548" t="s">
        <v>30</v>
      </c>
    </row>
    <row r="549" spans="2:13" x14ac:dyDescent="0.2">
      <c r="C549" t="b">
        <v>0</v>
      </c>
      <c r="D549">
        <v>830.06</v>
      </c>
      <c r="E549" t="s">
        <v>30</v>
      </c>
    </row>
    <row r="550" spans="2:13" x14ac:dyDescent="0.2">
      <c r="C550" t="b">
        <v>0</v>
      </c>
      <c r="D550">
        <v>720.05</v>
      </c>
      <c r="E550" t="s">
        <v>30</v>
      </c>
    </row>
    <row r="551" spans="2:13" x14ac:dyDescent="0.2">
      <c r="B551" t="s">
        <v>11</v>
      </c>
    </row>
    <row r="552" spans="2:13" x14ac:dyDescent="0.2">
      <c r="B552" t="s">
        <v>12</v>
      </c>
      <c r="C552" t="s">
        <v>13</v>
      </c>
      <c r="D552" t="s">
        <v>14</v>
      </c>
      <c r="E552" t="s">
        <v>15</v>
      </c>
      <c r="F552" t="s">
        <v>16</v>
      </c>
      <c r="G552" t="s">
        <v>17</v>
      </c>
      <c r="H552" t="s">
        <v>18</v>
      </c>
      <c r="I552" t="s">
        <v>19</v>
      </c>
      <c r="J552" t="s">
        <v>20</v>
      </c>
      <c r="K552" t="s">
        <v>21</v>
      </c>
      <c r="L552" t="s">
        <v>22</v>
      </c>
      <c r="M552" t="s">
        <v>23</v>
      </c>
    </row>
    <row r="553" spans="2:13" x14ac:dyDescent="0.2">
      <c r="B553" t="s">
        <v>33</v>
      </c>
      <c r="C553">
        <v>89</v>
      </c>
      <c r="E553" t="s">
        <v>25</v>
      </c>
      <c r="F553">
        <v>4812.4399999999996</v>
      </c>
      <c r="G553">
        <v>4.0999999999999996</v>
      </c>
      <c r="K553">
        <v>0.1</v>
      </c>
      <c r="L553">
        <v>7</v>
      </c>
      <c r="M553">
        <v>122</v>
      </c>
    </row>
    <row r="554" spans="2:13" x14ac:dyDescent="0.2">
      <c r="C554" t="s">
        <v>27</v>
      </c>
    </row>
    <row r="555" spans="2:13" x14ac:dyDescent="0.2">
      <c r="C555" t="s">
        <v>28</v>
      </c>
      <c r="D555" t="s">
        <v>16</v>
      </c>
      <c r="E555" t="s">
        <v>29</v>
      </c>
      <c r="F555" t="s">
        <v>18</v>
      </c>
    </row>
    <row r="556" spans="2:13" x14ac:dyDescent="0.2">
      <c r="C556" t="b">
        <v>0</v>
      </c>
      <c r="D556">
        <v>4870.9799999999996</v>
      </c>
      <c r="E556" t="s">
        <v>30</v>
      </c>
    </row>
    <row r="557" spans="2:13" x14ac:dyDescent="0.2">
      <c r="C557" t="b">
        <v>0</v>
      </c>
      <c r="D557">
        <v>4911.01</v>
      </c>
      <c r="E557" t="s">
        <v>30</v>
      </c>
    </row>
    <row r="558" spans="2:13" x14ac:dyDescent="0.2">
      <c r="C558" t="b">
        <v>0</v>
      </c>
      <c r="D558">
        <v>4941.08</v>
      </c>
      <c r="E558" t="s">
        <v>30</v>
      </c>
    </row>
    <row r="559" spans="2:13" x14ac:dyDescent="0.2">
      <c r="C559" t="b">
        <v>0</v>
      </c>
      <c r="D559">
        <v>4811.0200000000004</v>
      </c>
      <c r="E559" t="s">
        <v>30</v>
      </c>
    </row>
    <row r="560" spans="2:13" x14ac:dyDescent="0.2">
      <c r="C560" t="b">
        <v>0</v>
      </c>
      <c r="D560">
        <v>4550.93</v>
      </c>
      <c r="E560" t="s">
        <v>30</v>
      </c>
    </row>
    <row r="561" spans="1:13" x14ac:dyDescent="0.2">
      <c r="C561" t="b">
        <v>0</v>
      </c>
      <c r="D561">
        <v>4540.8999999999996</v>
      </c>
      <c r="E561" t="s">
        <v>30</v>
      </c>
    </row>
    <row r="562" spans="1:13" x14ac:dyDescent="0.2">
      <c r="C562" t="b">
        <v>0</v>
      </c>
      <c r="D562">
        <v>5061.1400000000003</v>
      </c>
      <c r="E562" t="s">
        <v>30</v>
      </c>
    </row>
    <row r="563" spans="1:13" x14ac:dyDescent="0.2">
      <c r="A563" t="s">
        <v>0</v>
      </c>
    </row>
    <row r="564" spans="1:13" x14ac:dyDescent="0.2"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</row>
    <row r="565" spans="1:13" x14ac:dyDescent="0.2">
      <c r="B565" t="b">
        <v>0</v>
      </c>
      <c r="C565" t="s">
        <v>64</v>
      </c>
      <c r="D565" t="s">
        <v>65</v>
      </c>
      <c r="E565" t="s">
        <v>49</v>
      </c>
      <c r="F565">
        <v>7</v>
      </c>
      <c r="G565" t="s">
        <v>66</v>
      </c>
    </row>
    <row r="566" spans="1:13" x14ac:dyDescent="0.2">
      <c r="B566" t="s">
        <v>11</v>
      </c>
    </row>
    <row r="567" spans="1:13" x14ac:dyDescent="0.2">
      <c r="B567" t="s">
        <v>12</v>
      </c>
      <c r="C567" t="s">
        <v>13</v>
      </c>
      <c r="D567" t="s">
        <v>14</v>
      </c>
      <c r="E567" t="s">
        <v>15</v>
      </c>
      <c r="F567" t="s">
        <v>16</v>
      </c>
      <c r="G567" t="s">
        <v>17</v>
      </c>
      <c r="H567" t="s">
        <v>18</v>
      </c>
      <c r="I567" t="s">
        <v>19</v>
      </c>
      <c r="J567" t="s">
        <v>20</v>
      </c>
      <c r="K567" t="s">
        <v>21</v>
      </c>
      <c r="L567" t="s">
        <v>22</v>
      </c>
      <c r="M567" t="s">
        <v>23</v>
      </c>
    </row>
    <row r="568" spans="1:13" x14ac:dyDescent="0.2">
      <c r="B568" t="s">
        <v>24</v>
      </c>
      <c r="C568">
        <v>59</v>
      </c>
      <c r="E568" t="s">
        <v>25</v>
      </c>
      <c r="F568">
        <v>2421724.7599999998</v>
      </c>
      <c r="G568">
        <v>0.5</v>
      </c>
      <c r="H568">
        <v>1.077</v>
      </c>
      <c r="I568" t="s">
        <v>26</v>
      </c>
      <c r="J568">
        <v>0.5</v>
      </c>
      <c r="K568">
        <v>0.1</v>
      </c>
      <c r="L568">
        <v>7</v>
      </c>
    </row>
    <row r="569" spans="1:13" x14ac:dyDescent="0.2">
      <c r="C569" t="s">
        <v>27</v>
      </c>
    </row>
    <row r="570" spans="1:13" x14ac:dyDescent="0.2">
      <c r="C570" t="s">
        <v>28</v>
      </c>
      <c r="D570" t="s">
        <v>16</v>
      </c>
      <c r="E570" t="s">
        <v>29</v>
      </c>
      <c r="F570" t="s">
        <v>18</v>
      </c>
    </row>
    <row r="571" spans="1:13" x14ac:dyDescent="0.2">
      <c r="C571" t="b">
        <v>0</v>
      </c>
      <c r="D571">
        <v>2412270.12</v>
      </c>
      <c r="E571" t="s">
        <v>67</v>
      </c>
      <c r="F571">
        <v>1.073</v>
      </c>
    </row>
    <row r="572" spans="1:13" x14ac:dyDescent="0.2">
      <c r="C572" t="b">
        <v>0</v>
      </c>
      <c r="D572">
        <v>2410549.65</v>
      </c>
      <c r="E572" t="s">
        <v>67</v>
      </c>
      <c r="F572">
        <v>1.0720000000000001</v>
      </c>
    </row>
    <row r="573" spans="1:13" x14ac:dyDescent="0.2">
      <c r="C573" t="b">
        <v>0</v>
      </c>
      <c r="D573">
        <v>2423400.2799999998</v>
      </c>
      <c r="E573" t="s">
        <v>67</v>
      </c>
      <c r="F573">
        <v>1.0780000000000001</v>
      </c>
    </row>
    <row r="574" spans="1:13" x14ac:dyDescent="0.2">
      <c r="C574" t="b">
        <v>0</v>
      </c>
      <c r="D574">
        <v>2436026.5299999998</v>
      </c>
      <c r="E574" t="s">
        <v>67</v>
      </c>
      <c r="F574">
        <v>1.0840000000000001</v>
      </c>
    </row>
    <row r="575" spans="1:13" x14ac:dyDescent="0.2">
      <c r="C575" t="b">
        <v>0</v>
      </c>
      <c r="D575">
        <v>2439392.46</v>
      </c>
      <c r="E575" t="s">
        <v>67</v>
      </c>
      <c r="F575">
        <v>1.085</v>
      </c>
    </row>
    <row r="576" spans="1:13" x14ac:dyDescent="0.2">
      <c r="C576" t="b">
        <v>0</v>
      </c>
      <c r="D576">
        <v>2417610.75</v>
      </c>
      <c r="E576" t="s">
        <v>67</v>
      </c>
      <c r="F576">
        <v>1.075</v>
      </c>
    </row>
    <row r="577" spans="2:13" x14ac:dyDescent="0.2">
      <c r="C577" t="b">
        <v>0</v>
      </c>
      <c r="D577">
        <v>2412823.56</v>
      </c>
      <c r="E577" t="s">
        <v>67</v>
      </c>
      <c r="F577">
        <v>1.073</v>
      </c>
    </row>
    <row r="578" spans="2:13" x14ac:dyDescent="0.2">
      <c r="B578" t="s">
        <v>11</v>
      </c>
    </row>
    <row r="579" spans="2:13" x14ac:dyDescent="0.2">
      <c r="B579" t="s">
        <v>12</v>
      </c>
      <c r="C579" t="s">
        <v>13</v>
      </c>
      <c r="D579" t="s">
        <v>14</v>
      </c>
      <c r="E579" t="s">
        <v>15</v>
      </c>
      <c r="F579" t="s">
        <v>16</v>
      </c>
      <c r="G579" t="s">
        <v>17</v>
      </c>
      <c r="H579" t="s">
        <v>18</v>
      </c>
      <c r="I579" t="s">
        <v>19</v>
      </c>
      <c r="J579" t="s">
        <v>20</v>
      </c>
      <c r="K579" t="s">
        <v>21</v>
      </c>
      <c r="L579" t="s">
        <v>22</v>
      </c>
      <c r="M579" t="s">
        <v>23</v>
      </c>
    </row>
    <row r="580" spans="2:13" x14ac:dyDescent="0.2">
      <c r="B580" t="s">
        <v>31</v>
      </c>
      <c r="C580">
        <v>45</v>
      </c>
      <c r="E580" t="s">
        <v>25</v>
      </c>
      <c r="F580">
        <v>1150.0899999999999</v>
      </c>
      <c r="G580">
        <v>12.1</v>
      </c>
      <c r="K580">
        <v>0.1</v>
      </c>
      <c r="L580">
        <v>7</v>
      </c>
      <c r="M580">
        <v>111.3</v>
      </c>
    </row>
    <row r="581" spans="2:13" x14ac:dyDescent="0.2">
      <c r="C581" t="s">
        <v>27</v>
      </c>
    </row>
    <row r="582" spans="2:13" x14ac:dyDescent="0.2">
      <c r="C582" t="s">
        <v>28</v>
      </c>
      <c r="D582" t="s">
        <v>16</v>
      </c>
      <c r="E582" t="s">
        <v>29</v>
      </c>
      <c r="F582" t="s">
        <v>18</v>
      </c>
    </row>
    <row r="583" spans="2:13" x14ac:dyDescent="0.2">
      <c r="C583" t="b">
        <v>0</v>
      </c>
      <c r="D583">
        <v>950.07</v>
      </c>
      <c r="E583" t="s">
        <v>30</v>
      </c>
    </row>
    <row r="584" spans="2:13" x14ac:dyDescent="0.2">
      <c r="C584" t="b">
        <v>0</v>
      </c>
      <c r="D584">
        <v>1010.07</v>
      </c>
      <c r="E584" t="s">
        <v>30</v>
      </c>
    </row>
    <row r="585" spans="2:13" x14ac:dyDescent="0.2">
      <c r="C585" t="b">
        <v>0</v>
      </c>
      <c r="D585">
        <v>1200.0999999999999</v>
      </c>
      <c r="E585" t="s">
        <v>30</v>
      </c>
    </row>
    <row r="586" spans="2:13" x14ac:dyDescent="0.2">
      <c r="C586" t="b">
        <v>0</v>
      </c>
      <c r="D586">
        <v>1160.0899999999999</v>
      </c>
      <c r="E586" t="s">
        <v>30</v>
      </c>
    </row>
    <row r="587" spans="2:13" x14ac:dyDescent="0.2">
      <c r="C587" t="b">
        <v>0</v>
      </c>
      <c r="D587">
        <v>1370.12</v>
      </c>
      <c r="E587" t="s">
        <v>30</v>
      </c>
    </row>
    <row r="588" spans="2:13" x14ac:dyDescent="0.2">
      <c r="C588" t="b">
        <v>0</v>
      </c>
      <c r="D588">
        <v>1140.08</v>
      </c>
      <c r="E588" t="s">
        <v>30</v>
      </c>
    </row>
    <row r="589" spans="2:13" x14ac:dyDescent="0.2">
      <c r="C589" t="b">
        <v>0</v>
      </c>
      <c r="D589">
        <v>1220.0999999999999</v>
      </c>
      <c r="E589" t="s">
        <v>30</v>
      </c>
    </row>
    <row r="590" spans="2:13" x14ac:dyDescent="0.2">
      <c r="B590" t="s">
        <v>11</v>
      </c>
    </row>
    <row r="591" spans="2:13" x14ac:dyDescent="0.2">
      <c r="B591" t="s">
        <v>12</v>
      </c>
      <c r="C591" t="s">
        <v>13</v>
      </c>
      <c r="D591" t="s">
        <v>14</v>
      </c>
      <c r="E591" t="s">
        <v>15</v>
      </c>
      <c r="F591" t="s">
        <v>16</v>
      </c>
      <c r="G591" t="s">
        <v>17</v>
      </c>
      <c r="H591" t="s">
        <v>18</v>
      </c>
      <c r="I591" t="s">
        <v>19</v>
      </c>
      <c r="J591" t="s">
        <v>20</v>
      </c>
      <c r="K591" t="s">
        <v>21</v>
      </c>
      <c r="L591" t="s">
        <v>22</v>
      </c>
      <c r="M591" t="s">
        <v>23</v>
      </c>
    </row>
    <row r="592" spans="2:13" x14ac:dyDescent="0.2">
      <c r="B592" t="s">
        <v>32</v>
      </c>
      <c r="C592">
        <v>72</v>
      </c>
      <c r="E592" t="s">
        <v>25</v>
      </c>
      <c r="F592">
        <v>881.49</v>
      </c>
      <c r="G592">
        <v>8.1</v>
      </c>
      <c r="K592">
        <v>0.1</v>
      </c>
      <c r="L592">
        <v>7</v>
      </c>
      <c r="M592">
        <v>118.2</v>
      </c>
    </row>
    <row r="593" spans="2:13" x14ac:dyDescent="0.2">
      <c r="C593" t="s">
        <v>27</v>
      </c>
    </row>
    <row r="594" spans="2:13" x14ac:dyDescent="0.2">
      <c r="C594" t="s">
        <v>28</v>
      </c>
      <c r="D594" t="s">
        <v>16</v>
      </c>
      <c r="E594" t="s">
        <v>29</v>
      </c>
      <c r="F594" t="s">
        <v>18</v>
      </c>
    </row>
    <row r="595" spans="2:13" x14ac:dyDescent="0.2">
      <c r="C595" t="b">
        <v>0</v>
      </c>
      <c r="D595">
        <v>850.06</v>
      </c>
      <c r="E595" t="s">
        <v>30</v>
      </c>
    </row>
    <row r="596" spans="2:13" x14ac:dyDescent="0.2">
      <c r="C596" t="b">
        <v>0</v>
      </c>
      <c r="D596">
        <v>980.07</v>
      </c>
      <c r="E596" t="s">
        <v>30</v>
      </c>
    </row>
    <row r="597" spans="2:13" x14ac:dyDescent="0.2">
      <c r="C597" t="b">
        <v>0</v>
      </c>
      <c r="D597">
        <v>860.06</v>
      </c>
      <c r="E597" t="s">
        <v>30</v>
      </c>
    </row>
    <row r="598" spans="2:13" x14ac:dyDescent="0.2">
      <c r="C598" t="b">
        <v>0</v>
      </c>
      <c r="D598">
        <v>860.05</v>
      </c>
      <c r="E598" t="s">
        <v>30</v>
      </c>
    </row>
    <row r="599" spans="2:13" x14ac:dyDescent="0.2">
      <c r="C599" t="b">
        <v>0</v>
      </c>
      <c r="D599">
        <v>850.06</v>
      </c>
      <c r="E599" t="s">
        <v>30</v>
      </c>
    </row>
    <row r="600" spans="2:13" x14ac:dyDescent="0.2">
      <c r="C600" t="b">
        <v>0</v>
      </c>
      <c r="D600">
        <v>980.07</v>
      </c>
      <c r="E600" t="s">
        <v>30</v>
      </c>
    </row>
    <row r="601" spans="2:13" x14ac:dyDescent="0.2">
      <c r="C601" t="b">
        <v>0</v>
      </c>
      <c r="D601">
        <v>790.05</v>
      </c>
      <c r="E601" t="s">
        <v>30</v>
      </c>
    </row>
    <row r="602" spans="2:13" x14ac:dyDescent="0.2">
      <c r="B602" t="s">
        <v>11</v>
      </c>
    </row>
    <row r="603" spans="2:13" x14ac:dyDescent="0.2">
      <c r="B603" t="s">
        <v>12</v>
      </c>
      <c r="C603" t="s">
        <v>13</v>
      </c>
      <c r="D603" t="s">
        <v>14</v>
      </c>
      <c r="E603" t="s">
        <v>15</v>
      </c>
      <c r="F603" t="s">
        <v>16</v>
      </c>
      <c r="G603" t="s">
        <v>17</v>
      </c>
      <c r="H603" t="s">
        <v>18</v>
      </c>
      <c r="I603" t="s">
        <v>19</v>
      </c>
      <c r="J603" t="s">
        <v>20</v>
      </c>
      <c r="K603" t="s">
        <v>21</v>
      </c>
      <c r="L603" t="s">
        <v>22</v>
      </c>
      <c r="M603" t="s">
        <v>23</v>
      </c>
    </row>
    <row r="604" spans="2:13" x14ac:dyDescent="0.2">
      <c r="B604" t="s">
        <v>33</v>
      </c>
      <c r="C604">
        <v>89</v>
      </c>
      <c r="E604" t="s">
        <v>25</v>
      </c>
      <c r="F604">
        <v>4358</v>
      </c>
      <c r="G604">
        <v>6.9</v>
      </c>
      <c r="K604">
        <v>0.1</v>
      </c>
      <c r="L604">
        <v>7</v>
      </c>
      <c r="M604">
        <v>110.5</v>
      </c>
    </row>
    <row r="605" spans="2:13" x14ac:dyDescent="0.2">
      <c r="C605" t="s">
        <v>27</v>
      </c>
    </row>
    <row r="606" spans="2:13" x14ac:dyDescent="0.2">
      <c r="C606" t="s">
        <v>28</v>
      </c>
      <c r="D606" t="s">
        <v>16</v>
      </c>
      <c r="E606" t="s">
        <v>29</v>
      </c>
      <c r="F606" t="s">
        <v>18</v>
      </c>
    </row>
    <row r="607" spans="2:13" x14ac:dyDescent="0.2">
      <c r="C607" t="b">
        <v>0</v>
      </c>
      <c r="D607">
        <v>4240.83</v>
      </c>
      <c r="E607" t="s">
        <v>30</v>
      </c>
    </row>
    <row r="608" spans="2:13" x14ac:dyDescent="0.2">
      <c r="C608" t="b">
        <v>0</v>
      </c>
      <c r="D608">
        <v>4190.84</v>
      </c>
      <c r="E608" t="s">
        <v>30</v>
      </c>
    </row>
    <row r="609" spans="1:13" x14ac:dyDescent="0.2">
      <c r="C609" t="b">
        <v>0</v>
      </c>
      <c r="D609">
        <v>4630.93</v>
      </c>
      <c r="E609" t="s">
        <v>30</v>
      </c>
    </row>
    <row r="610" spans="1:13" x14ac:dyDescent="0.2">
      <c r="C610" t="b">
        <v>0</v>
      </c>
      <c r="D610">
        <v>3840.66</v>
      </c>
      <c r="E610" t="s">
        <v>30</v>
      </c>
    </row>
    <row r="611" spans="1:13" x14ac:dyDescent="0.2">
      <c r="C611" t="b">
        <v>0</v>
      </c>
      <c r="D611">
        <v>4671.0200000000004</v>
      </c>
      <c r="E611" t="s">
        <v>30</v>
      </c>
    </row>
    <row r="612" spans="1:13" x14ac:dyDescent="0.2">
      <c r="C612" t="b">
        <v>0</v>
      </c>
      <c r="D612">
        <v>4340.8599999999997</v>
      </c>
      <c r="E612" t="s">
        <v>30</v>
      </c>
    </row>
    <row r="613" spans="1:13" x14ac:dyDescent="0.2">
      <c r="C613" t="b">
        <v>0</v>
      </c>
      <c r="D613">
        <v>4590.8900000000003</v>
      </c>
      <c r="E613" t="s">
        <v>30</v>
      </c>
    </row>
    <row r="614" spans="1:13" x14ac:dyDescent="0.2">
      <c r="A614" t="s">
        <v>0</v>
      </c>
    </row>
    <row r="615" spans="1:13" x14ac:dyDescent="0.2"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</row>
    <row r="616" spans="1:13" x14ac:dyDescent="0.2">
      <c r="B616" t="b">
        <v>0</v>
      </c>
      <c r="C616" t="s">
        <v>68</v>
      </c>
      <c r="D616" t="s">
        <v>69</v>
      </c>
      <c r="E616" t="s">
        <v>49</v>
      </c>
      <c r="F616">
        <v>8</v>
      </c>
      <c r="G616" t="s">
        <v>70</v>
      </c>
    </row>
    <row r="617" spans="1:13" x14ac:dyDescent="0.2">
      <c r="B617" t="s">
        <v>11</v>
      </c>
    </row>
    <row r="618" spans="1:13" x14ac:dyDescent="0.2">
      <c r="B618" t="s">
        <v>12</v>
      </c>
      <c r="C618" t="s">
        <v>13</v>
      </c>
      <c r="D618" t="s">
        <v>14</v>
      </c>
      <c r="E618" t="s">
        <v>15</v>
      </c>
      <c r="F618" t="s">
        <v>16</v>
      </c>
      <c r="G618" t="s">
        <v>17</v>
      </c>
      <c r="H618" t="s">
        <v>18</v>
      </c>
      <c r="I618" t="s">
        <v>19</v>
      </c>
      <c r="J618" t="s">
        <v>20</v>
      </c>
      <c r="K618" t="s">
        <v>21</v>
      </c>
      <c r="L618" t="s">
        <v>22</v>
      </c>
      <c r="M618" t="s">
        <v>23</v>
      </c>
    </row>
    <row r="619" spans="1:13" x14ac:dyDescent="0.2">
      <c r="B619" t="s">
        <v>24</v>
      </c>
      <c r="C619">
        <v>59</v>
      </c>
      <c r="E619" t="s">
        <v>25</v>
      </c>
      <c r="F619">
        <v>21837173.600000001</v>
      </c>
      <c r="G619">
        <v>1.7</v>
      </c>
      <c r="H619">
        <v>9.7129999999999992</v>
      </c>
      <c r="I619" t="s">
        <v>26</v>
      </c>
      <c r="J619">
        <v>1.7</v>
      </c>
      <c r="K619">
        <v>0.1</v>
      </c>
      <c r="L619">
        <v>7</v>
      </c>
    </row>
    <row r="620" spans="1:13" x14ac:dyDescent="0.2">
      <c r="C620" t="s">
        <v>27</v>
      </c>
    </row>
    <row r="621" spans="1:13" x14ac:dyDescent="0.2">
      <c r="C621" t="s">
        <v>28</v>
      </c>
      <c r="D621" t="s">
        <v>16</v>
      </c>
      <c r="E621" t="s">
        <v>29</v>
      </c>
      <c r="F621" t="s">
        <v>18</v>
      </c>
    </row>
    <row r="622" spans="1:13" x14ac:dyDescent="0.2">
      <c r="C622" t="b">
        <v>0</v>
      </c>
      <c r="D622">
        <v>21978139.670000002</v>
      </c>
      <c r="E622" t="s">
        <v>67</v>
      </c>
      <c r="F622">
        <v>9.7759999999999998</v>
      </c>
    </row>
    <row r="623" spans="1:13" x14ac:dyDescent="0.2">
      <c r="C623" t="b">
        <v>0</v>
      </c>
      <c r="D623">
        <v>21710939.68</v>
      </c>
      <c r="E623" t="s">
        <v>67</v>
      </c>
      <c r="F623">
        <v>9.657</v>
      </c>
    </row>
    <row r="624" spans="1:13" x14ac:dyDescent="0.2">
      <c r="C624" t="b">
        <v>0</v>
      </c>
      <c r="D624">
        <v>22032817.170000002</v>
      </c>
      <c r="E624" t="s">
        <v>67</v>
      </c>
      <c r="F624">
        <v>9.8000000000000007</v>
      </c>
    </row>
    <row r="625" spans="2:13" x14ac:dyDescent="0.2">
      <c r="C625" t="b">
        <v>0</v>
      </c>
      <c r="D625">
        <v>21118314.690000001</v>
      </c>
      <c r="E625" t="s">
        <v>67</v>
      </c>
      <c r="F625">
        <v>9.3940000000000001</v>
      </c>
    </row>
    <row r="626" spans="2:13" x14ac:dyDescent="0.2">
      <c r="C626" t="b">
        <v>0</v>
      </c>
      <c r="D626">
        <v>21656754.68</v>
      </c>
      <c r="E626" t="s">
        <v>67</v>
      </c>
      <c r="F626">
        <v>9.6329999999999991</v>
      </c>
    </row>
    <row r="627" spans="2:13" x14ac:dyDescent="0.2">
      <c r="C627" t="b">
        <v>0</v>
      </c>
      <c r="D627">
        <v>22150807.170000002</v>
      </c>
      <c r="E627" t="s">
        <v>67</v>
      </c>
      <c r="F627">
        <v>9.8529999999999998</v>
      </c>
    </row>
    <row r="628" spans="2:13" x14ac:dyDescent="0.2">
      <c r="C628" t="b">
        <v>0</v>
      </c>
      <c r="D628">
        <v>22212442.170000002</v>
      </c>
      <c r="E628" t="s">
        <v>67</v>
      </c>
      <c r="F628">
        <v>9.8800000000000008</v>
      </c>
    </row>
    <row r="629" spans="2:13" x14ac:dyDescent="0.2">
      <c r="B629" t="s">
        <v>11</v>
      </c>
    </row>
    <row r="630" spans="2:13" x14ac:dyDescent="0.2">
      <c r="B630" t="s">
        <v>12</v>
      </c>
      <c r="C630" t="s">
        <v>13</v>
      </c>
      <c r="D630" t="s">
        <v>14</v>
      </c>
      <c r="E630" t="s">
        <v>15</v>
      </c>
      <c r="F630" t="s">
        <v>16</v>
      </c>
      <c r="G630" t="s">
        <v>17</v>
      </c>
      <c r="H630" t="s">
        <v>18</v>
      </c>
      <c r="I630" t="s">
        <v>19</v>
      </c>
      <c r="J630" t="s">
        <v>20</v>
      </c>
      <c r="K630" t="s">
        <v>21</v>
      </c>
      <c r="L630" t="s">
        <v>22</v>
      </c>
      <c r="M630" t="s">
        <v>23</v>
      </c>
    </row>
    <row r="631" spans="2:13" x14ac:dyDescent="0.2">
      <c r="B631" t="s">
        <v>31</v>
      </c>
      <c r="C631">
        <v>45</v>
      </c>
      <c r="E631" t="s">
        <v>25</v>
      </c>
      <c r="F631">
        <v>1072.93</v>
      </c>
      <c r="G631">
        <v>4.2</v>
      </c>
      <c r="K631">
        <v>0.1</v>
      </c>
      <c r="L631">
        <v>7</v>
      </c>
      <c r="M631">
        <v>103.9</v>
      </c>
    </row>
    <row r="632" spans="2:13" x14ac:dyDescent="0.2">
      <c r="C632" t="s">
        <v>27</v>
      </c>
    </row>
    <row r="633" spans="2:13" x14ac:dyDescent="0.2">
      <c r="C633" t="s">
        <v>28</v>
      </c>
      <c r="D633" t="s">
        <v>16</v>
      </c>
      <c r="E633" t="s">
        <v>29</v>
      </c>
      <c r="F633" t="s">
        <v>18</v>
      </c>
    </row>
    <row r="634" spans="2:13" x14ac:dyDescent="0.2">
      <c r="C634" t="b">
        <v>0</v>
      </c>
      <c r="D634">
        <v>1050.07</v>
      </c>
      <c r="E634" t="s">
        <v>30</v>
      </c>
    </row>
    <row r="635" spans="2:13" x14ac:dyDescent="0.2">
      <c r="C635" t="b">
        <v>0</v>
      </c>
      <c r="D635">
        <v>1130.08</v>
      </c>
      <c r="E635" t="s">
        <v>30</v>
      </c>
    </row>
    <row r="636" spans="2:13" x14ac:dyDescent="0.2">
      <c r="C636" t="b">
        <v>0</v>
      </c>
      <c r="D636">
        <v>1090.08</v>
      </c>
      <c r="E636" t="s">
        <v>30</v>
      </c>
    </row>
    <row r="637" spans="2:13" x14ac:dyDescent="0.2">
      <c r="C637" t="b">
        <v>0</v>
      </c>
      <c r="D637">
        <v>1000.07</v>
      </c>
      <c r="E637" t="s">
        <v>30</v>
      </c>
    </row>
    <row r="638" spans="2:13" x14ac:dyDescent="0.2">
      <c r="C638" t="b">
        <v>0</v>
      </c>
      <c r="D638">
        <v>1110.08</v>
      </c>
      <c r="E638" t="s">
        <v>30</v>
      </c>
    </row>
    <row r="639" spans="2:13" x14ac:dyDescent="0.2">
      <c r="C639" t="b">
        <v>0</v>
      </c>
      <c r="D639">
        <v>1090.07</v>
      </c>
      <c r="E639" t="s">
        <v>30</v>
      </c>
    </row>
    <row r="640" spans="2:13" x14ac:dyDescent="0.2">
      <c r="C640" t="b">
        <v>0</v>
      </c>
      <c r="D640">
        <v>1040.08</v>
      </c>
      <c r="E640" t="s">
        <v>30</v>
      </c>
    </row>
    <row r="641" spans="2:13" x14ac:dyDescent="0.2">
      <c r="B641" t="s">
        <v>11</v>
      </c>
    </row>
    <row r="642" spans="2:13" x14ac:dyDescent="0.2">
      <c r="B642" t="s">
        <v>12</v>
      </c>
      <c r="C642" t="s">
        <v>13</v>
      </c>
      <c r="D642" t="s">
        <v>14</v>
      </c>
      <c r="E642" t="s">
        <v>15</v>
      </c>
      <c r="F642" t="s">
        <v>16</v>
      </c>
      <c r="G642" t="s">
        <v>17</v>
      </c>
      <c r="H642" t="s">
        <v>18</v>
      </c>
      <c r="I642" t="s">
        <v>19</v>
      </c>
      <c r="J642" t="s">
        <v>20</v>
      </c>
      <c r="K642" t="s">
        <v>21</v>
      </c>
      <c r="L642" t="s">
        <v>22</v>
      </c>
      <c r="M642" t="s">
        <v>23</v>
      </c>
    </row>
    <row r="643" spans="2:13" x14ac:dyDescent="0.2">
      <c r="B643" t="s">
        <v>32</v>
      </c>
      <c r="C643">
        <v>72</v>
      </c>
      <c r="E643" t="s">
        <v>25</v>
      </c>
      <c r="F643">
        <v>788.62</v>
      </c>
      <c r="G643">
        <v>8.4</v>
      </c>
      <c r="K643">
        <v>0.1</v>
      </c>
      <c r="L643">
        <v>7</v>
      </c>
      <c r="M643">
        <v>105.7</v>
      </c>
    </row>
    <row r="644" spans="2:13" x14ac:dyDescent="0.2">
      <c r="C644" t="s">
        <v>27</v>
      </c>
    </row>
    <row r="645" spans="2:13" x14ac:dyDescent="0.2">
      <c r="C645" t="s">
        <v>28</v>
      </c>
      <c r="D645" t="s">
        <v>16</v>
      </c>
      <c r="E645" t="s">
        <v>29</v>
      </c>
      <c r="F645" t="s">
        <v>18</v>
      </c>
    </row>
    <row r="646" spans="2:13" x14ac:dyDescent="0.2">
      <c r="C646" t="b">
        <v>0</v>
      </c>
      <c r="D646">
        <v>800.05</v>
      </c>
      <c r="E646" t="s">
        <v>30</v>
      </c>
    </row>
    <row r="647" spans="2:13" x14ac:dyDescent="0.2">
      <c r="C647" t="b">
        <v>0</v>
      </c>
      <c r="D647">
        <v>920.06</v>
      </c>
      <c r="E647" t="s">
        <v>30</v>
      </c>
    </row>
    <row r="648" spans="2:13" x14ac:dyDescent="0.2">
      <c r="C648" t="b">
        <v>0</v>
      </c>
      <c r="D648">
        <v>800.06</v>
      </c>
      <c r="E648" t="s">
        <v>30</v>
      </c>
    </row>
    <row r="649" spans="2:13" x14ac:dyDescent="0.2">
      <c r="C649" t="b">
        <v>0</v>
      </c>
      <c r="D649">
        <v>780.04</v>
      </c>
      <c r="E649" t="s">
        <v>30</v>
      </c>
    </row>
    <row r="650" spans="2:13" x14ac:dyDescent="0.2">
      <c r="C650" t="b">
        <v>0</v>
      </c>
      <c r="D650">
        <v>740.05</v>
      </c>
      <c r="E650" t="s">
        <v>30</v>
      </c>
    </row>
    <row r="651" spans="2:13" x14ac:dyDescent="0.2">
      <c r="C651" t="b">
        <v>0</v>
      </c>
      <c r="D651">
        <v>770.05</v>
      </c>
      <c r="E651" t="s">
        <v>30</v>
      </c>
    </row>
    <row r="652" spans="2:13" x14ac:dyDescent="0.2">
      <c r="C652" t="b">
        <v>0</v>
      </c>
      <c r="D652">
        <v>710.04</v>
      </c>
      <c r="E652" t="s">
        <v>30</v>
      </c>
    </row>
    <row r="653" spans="2:13" x14ac:dyDescent="0.2">
      <c r="B653" t="s">
        <v>11</v>
      </c>
    </row>
    <row r="654" spans="2:13" x14ac:dyDescent="0.2">
      <c r="B654" t="s">
        <v>12</v>
      </c>
      <c r="C654" t="s">
        <v>13</v>
      </c>
      <c r="D654" t="s">
        <v>14</v>
      </c>
      <c r="E654" t="s">
        <v>15</v>
      </c>
      <c r="F654" t="s">
        <v>16</v>
      </c>
      <c r="G654" t="s">
        <v>17</v>
      </c>
      <c r="H654" t="s">
        <v>18</v>
      </c>
      <c r="I654" t="s">
        <v>19</v>
      </c>
      <c r="J654" t="s">
        <v>20</v>
      </c>
      <c r="K654" t="s">
        <v>21</v>
      </c>
      <c r="L654" t="s">
        <v>22</v>
      </c>
      <c r="M654" t="s">
        <v>23</v>
      </c>
    </row>
    <row r="655" spans="2:13" x14ac:dyDescent="0.2">
      <c r="B655" t="s">
        <v>33</v>
      </c>
      <c r="C655">
        <v>89</v>
      </c>
      <c r="E655" t="s">
        <v>25</v>
      </c>
      <c r="F655">
        <v>4270.8100000000004</v>
      </c>
      <c r="G655">
        <v>4.9000000000000004</v>
      </c>
      <c r="K655">
        <v>0.1</v>
      </c>
      <c r="L655">
        <v>7</v>
      </c>
      <c r="M655">
        <v>108.3</v>
      </c>
    </row>
    <row r="656" spans="2:13" x14ac:dyDescent="0.2">
      <c r="C656" t="s">
        <v>27</v>
      </c>
    </row>
    <row r="657" spans="1:13" x14ac:dyDescent="0.2">
      <c r="C657" t="s">
        <v>28</v>
      </c>
      <c r="D657" t="s">
        <v>16</v>
      </c>
      <c r="E657" t="s">
        <v>29</v>
      </c>
      <c r="F657" t="s">
        <v>18</v>
      </c>
    </row>
    <row r="658" spans="1:13" x14ac:dyDescent="0.2">
      <c r="C658" t="b">
        <v>0</v>
      </c>
      <c r="D658">
        <v>4030.74</v>
      </c>
      <c r="E658" t="s">
        <v>30</v>
      </c>
    </row>
    <row r="659" spans="1:13" x14ac:dyDescent="0.2">
      <c r="C659" t="b">
        <v>0</v>
      </c>
      <c r="D659">
        <v>4100.7299999999996</v>
      </c>
      <c r="E659" t="s">
        <v>30</v>
      </c>
    </row>
    <row r="660" spans="1:13" x14ac:dyDescent="0.2">
      <c r="C660" t="b">
        <v>0</v>
      </c>
      <c r="D660">
        <v>4200.7700000000004</v>
      </c>
      <c r="E660" t="s">
        <v>30</v>
      </c>
    </row>
    <row r="661" spans="1:13" x14ac:dyDescent="0.2">
      <c r="C661" t="b">
        <v>0</v>
      </c>
      <c r="D661">
        <v>4550.92</v>
      </c>
      <c r="E661" t="s">
        <v>30</v>
      </c>
    </row>
    <row r="662" spans="1:13" x14ac:dyDescent="0.2">
      <c r="C662" t="b">
        <v>0</v>
      </c>
      <c r="D662">
        <v>4380.83</v>
      </c>
      <c r="E662" t="s">
        <v>30</v>
      </c>
    </row>
    <row r="663" spans="1:13" x14ac:dyDescent="0.2">
      <c r="C663" t="b">
        <v>0</v>
      </c>
      <c r="D663">
        <v>4510.9399999999996</v>
      </c>
      <c r="E663" t="s">
        <v>30</v>
      </c>
    </row>
    <row r="664" spans="1:13" x14ac:dyDescent="0.2">
      <c r="C664" t="b">
        <v>0</v>
      </c>
      <c r="D664">
        <v>4120.7700000000004</v>
      </c>
      <c r="E664" t="s">
        <v>30</v>
      </c>
    </row>
    <row r="665" spans="1:13" x14ac:dyDescent="0.2">
      <c r="A665" t="s">
        <v>0</v>
      </c>
    </row>
    <row r="666" spans="1:13" x14ac:dyDescent="0.2"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</row>
    <row r="667" spans="1:13" x14ac:dyDescent="0.2">
      <c r="B667" t="b">
        <v>0</v>
      </c>
      <c r="C667" t="s">
        <v>71</v>
      </c>
      <c r="D667" t="s">
        <v>72</v>
      </c>
      <c r="E667" t="s">
        <v>49</v>
      </c>
      <c r="F667">
        <v>9</v>
      </c>
      <c r="G667" t="s">
        <v>73</v>
      </c>
    </row>
    <row r="668" spans="1:13" x14ac:dyDescent="0.2">
      <c r="B668" t="s">
        <v>11</v>
      </c>
    </row>
    <row r="669" spans="1:13" x14ac:dyDescent="0.2">
      <c r="B669" t="s">
        <v>12</v>
      </c>
      <c r="C669" t="s">
        <v>13</v>
      </c>
      <c r="D669" t="s">
        <v>14</v>
      </c>
      <c r="E669" t="s">
        <v>15</v>
      </c>
      <c r="F669" t="s">
        <v>16</v>
      </c>
      <c r="G669" t="s">
        <v>17</v>
      </c>
      <c r="H669" t="s">
        <v>18</v>
      </c>
      <c r="I669" t="s">
        <v>19</v>
      </c>
      <c r="J669" t="s">
        <v>20</v>
      </c>
      <c r="K669" t="s">
        <v>21</v>
      </c>
      <c r="L669" t="s">
        <v>22</v>
      </c>
      <c r="M669" t="s">
        <v>23</v>
      </c>
    </row>
    <row r="670" spans="1:13" x14ac:dyDescent="0.2">
      <c r="B670" t="s">
        <v>24</v>
      </c>
      <c r="C670">
        <v>59</v>
      </c>
      <c r="E670" t="s">
        <v>25</v>
      </c>
      <c r="F670">
        <v>112533001.18000001</v>
      </c>
      <c r="G670">
        <v>0.3</v>
      </c>
      <c r="H670">
        <v>50.055999999999997</v>
      </c>
      <c r="I670" t="s">
        <v>26</v>
      </c>
      <c r="J670">
        <v>0.3</v>
      </c>
      <c r="K670">
        <v>0.1</v>
      </c>
      <c r="L670">
        <v>7</v>
      </c>
    </row>
    <row r="671" spans="1:13" x14ac:dyDescent="0.2">
      <c r="C671" t="s">
        <v>27</v>
      </c>
    </row>
    <row r="672" spans="1:13" x14ac:dyDescent="0.2">
      <c r="C672" t="s">
        <v>28</v>
      </c>
      <c r="D672" t="s">
        <v>16</v>
      </c>
      <c r="E672" t="s">
        <v>29</v>
      </c>
      <c r="F672" t="s">
        <v>18</v>
      </c>
    </row>
    <row r="673" spans="2:13" x14ac:dyDescent="0.2">
      <c r="C673" t="b">
        <v>0</v>
      </c>
      <c r="D673">
        <v>112347998.33</v>
      </c>
      <c r="E673" t="s">
        <v>67</v>
      </c>
      <c r="F673">
        <v>49.973999999999997</v>
      </c>
    </row>
    <row r="674" spans="2:13" x14ac:dyDescent="0.2">
      <c r="C674" t="b">
        <v>0</v>
      </c>
      <c r="D674">
        <v>112627688.31999999</v>
      </c>
      <c r="E674" t="s">
        <v>67</v>
      </c>
      <c r="F674">
        <v>50.097999999999999</v>
      </c>
    </row>
    <row r="675" spans="2:13" x14ac:dyDescent="0.2">
      <c r="C675" t="b">
        <v>0</v>
      </c>
      <c r="D675">
        <v>112437128.31999999</v>
      </c>
      <c r="E675" t="s">
        <v>67</v>
      </c>
      <c r="F675">
        <v>50.012999999999998</v>
      </c>
    </row>
    <row r="676" spans="2:13" x14ac:dyDescent="0.2">
      <c r="C676" t="b">
        <v>0</v>
      </c>
      <c r="D676">
        <v>112233458.33</v>
      </c>
      <c r="E676" t="s">
        <v>67</v>
      </c>
      <c r="F676">
        <v>49.923000000000002</v>
      </c>
    </row>
    <row r="677" spans="2:13" x14ac:dyDescent="0.2">
      <c r="C677" t="b">
        <v>0</v>
      </c>
      <c r="D677">
        <v>113130988.31</v>
      </c>
      <c r="E677" t="s">
        <v>67</v>
      </c>
      <c r="F677">
        <v>50.322000000000003</v>
      </c>
    </row>
    <row r="678" spans="2:13" x14ac:dyDescent="0.2">
      <c r="C678" t="b">
        <v>0</v>
      </c>
      <c r="D678">
        <v>112704478.31999999</v>
      </c>
      <c r="E678" t="s">
        <v>67</v>
      </c>
      <c r="F678">
        <v>50.131999999999998</v>
      </c>
    </row>
    <row r="679" spans="2:13" x14ac:dyDescent="0.2">
      <c r="C679" t="b">
        <v>0</v>
      </c>
      <c r="D679">
        <v>112249268.33</v>
      </c>
      <c r="E679" t="s">
        <v>67</v>
      </c>
      <c r="F679">
        <v>49.93</v>
      </c>
    </row>
    <row r="680" spans="2:13" x14ac:dyDescent="0.2">
      <c r="B680" t="s">
        <v>11</v>
      </c>
    </row>
    <row r="681" spans="2:13" x14ac:dyDescent="0.2">
      <c r="B681" t="s">
        <v>12</v>
      </c>
      <c r="C681" t="s">
        <v>13</v>
      </c>
      <c r="D681" t="s">
        <v>14</v>
      </c>
      <c r="E681" t="s">
        <v>15</v>
      </c>
      <c r="F681" t="s">
        <v>16</v>
      </c>
      <c r="G681" t="s">
        <v>17</v>
      </c>
      <c r="H681" t="s">
        <v>18</v>
      </c>
      <c r="I681" t="s">
        <v>19</v>
      </c>
      <c r="J681" t="s">
        <v>20</v>
      </c>
      <c r="K681" t="s">
        <v>21</v>
      </c>
      <c r="L681" t="s">
        <v>22</v>
      </c>
      <c r="M681" t="s">
        <v>23</v>
      </c>
    </row>
    <row r="682" spans="2:13" x14ac:dyDescent="0.2">
      <c r="B682" t="s">
        <v>31</v>
      </c>
      <c r="C682">
        <v>45</v>
      </c>
      <c r="E682" t="s">
        <v>25</v>
      </c>
      <c r="F682">
        <v>968.64</v>
      </c>
      <c r="G682">
        <v>16.5</v>
      </c>
      <c r="K682">
        <v>0.1</v>
      </c>
      <c r="L682">
        <v>7</v>
      </c>
      <c r="M682">
        <v>93.8</v>
      </c>
    </row>
    <row r="683" spans="2:13" x14ac:dyDescent="0.2">
      <c r="C683" t="s">
        <v>27</v>
      </c>
    </row>
    <row r="684" spans="2:13" x14ac:dyDescent="0.2">
      <c r="C684" t="s">
        <v>28</v>
      </c>
      <c r="D684" t="s">
        <v>16</v>
      </c>
      <c r="E684" t="s">
        <v>29</v>
      </c>
      <c r="F684" t="s">
        <v>18</v>
      </c>
    </row>
    <row r="685" spans="2:13" x14ac:dyDescent="0.2">
      <c r="C685" t="b">
        <v>0</v>
      </c>
      <c r="D685">
        <v>1060.08</v>
      </c>
      <c r="E685" t="s">
        <v>30</v>
      </c>
    </row>
    <row r="686" spans="2:13" x14ac:dyDescent="0.2">
      <c r="C686" t="b">
        <v>0</v>
      </c>
      <c r="D686">
        <v>750.04</v>
      </c>
      <c r="E686" t="s">
        <v>30</v>
      </c>
    </row>
    <row r="687" spans="2:13" x14ac:dyDescent="0.2">
      <c r="C687" t="b">
        <v>0</v>
      </c>
      <c r="D687">
        <v>940.07</v>
      </c>
      <c r="E687" t="s">
        <v>30</v>
      </c>
    </row>
    <row r="688" spans="2:13" x14ac:dyDescent="0.2">
      <c r="C688" t="b">
        <v>0</v>
      </c>
      <c r="D688">
        <v>1040.07</v>
      </c>
      <c r="E688" t="s">
        <v>30</v>
      </c>
    </row>
    <row r="689" spans="2:13" x14ac:dyDescent="0.2">
      <c r="C689" t="b">
        <v>0</v>
      </c>
      <c r="D689">
        <v>870.06</v>
      </c>
      <c r="E689" t="s">
        <v>30</v>
      </c>
    </row>
    <row r="690" spans="2:13" x14ac:dyDescent="0.2">
      <c r="C690" t="b">
        <v>0</v>
      </c>
      <c r="D690">
        <v>880.06</v>
      </c>
      <c r="E690" t="s">
        <v>30</v>
      </c>
    </row>
    <row r="691" spans="2:13" x14ac:dyDescent="0.2">
      <c r="C691" t="b">
        <v>0</v>
      </c>
      <c r="D691">
        <v>1240.0999999999999</v>
      </c>
      <c r="E691" t="s">
        <v>30</v>
      </c>
    </row>
    <row r="692" spans="2:13" x14ac:dyDescent="0.2">
      <c r="B692" t="s">
        <v>11</v>
      </c>
    </row>
    <row r="693" spans="2:13" x14ac:dyDescent="0.2">
      <c r="B693" t="s">
        <v>12</v>
      </c>
      <c r="C693" t="s">
        <v>13</v>
      </c>
      <c r="D693" t="s">
        <v>14</v>
      </c>
      <c r="E693" t="s">
        <v>15</v>
      </c>
      <c r="F693" t="s">
        <v>16</v>
      </c>
      <c r="G693" t="s">
        <v>17</v>
      </c>
      <c r="H693" t="s">
        <v>18</v>
      </c>
      <c r="I693" t="s">
        <v>19</v>
      </c>
      <c r="J693" t="s">
        <v>20</v>
      </c>
      <c r="K693" t="s">
        <v>21</v>
      </c>
      <c r="L693" t="s">
        <v>22</v>
      </c>
      <c r="M693" t="s">
        <v>23</v>
      </c>
    </row>
    <row r="694" spans="2:13" x14ac:dyDescent="0.2">
      <c r="B694" t="s">
        <v>32</v>
      </c>
      <c r="C694">
        <v>72</v>
      </c>
      <c r="E694" t="s">
        <v>25</v>
      </c>
      <c r="F694">
        <v>810.05</v>
      </c>
      <c r="G694">
        <v>10.8</v>
      </c>
      <c r="K694">
        <v>0.1</v>
      </c>
      <c r="L694">
        <v>7</v>
      </c>
      <c r="M694">
        <v>108.6</v>
      </c>
    </row>
    <row r="695" spans="2:13" x14ac:dyDescent="0.2">
      <c r="C695" t="s">
        <v>27</v>
      </c>
    </row>
    <row r="696" spans="2:13" x14ac:dyDescent="0.2">
      <c r="C696" t="s">
        <v>28</v>
      </c>
      <c r="D696" t="s">
        <v>16</v>
      </c>
      <c r="E696" t="s">
        <v>29</v>
      </c>
      <c r="F696" t="s">
        <v>18</v>
      </c>
    </row>
    <row r="697" spans="2:13" x14ac:dyDescent="0.2">
      <c r="C697" t="b">
        <v>0</v>
      </c>
      <c r="D697">
        <v>700.04</v>
      </c>
      <c r="E697" t="s">
        <v>30</v>
      </c>
    </row>
    <row r="698" spans="2:13" x14ac:dyDescent="0.2">
      <c r="C698" t="b">
        <v>0</v>
      </c>
      <c r="D698">
        <v>860.07</v>
      </c>
      <c r="E698" t="s">
        <v>30</v>
      </c>
    </row>
    <row r="699" spans="2:13" x14ac:dyDescent="0.2">
      <c r="C699" t="b">
        <v>0</v>
      </c>
      <c r="D699">
        <v>920.07</v>
      </c>
      <c r="E699" t="s">
        <v>30</v>
      </c>
    </row>
    <row r="700" spans="2:13" x14ac:dyDescent="0.2">
      <c r="C700" t="b">
        <v>0</v>
      </c>
      <c r="D700">
        <v>680.04</v>
      </c>
      <c r="E700" t="s">
        <v>30</v>
      </c>
    </row>
    <row r="701" spans="2:13" x14ac:dyDescent="0.2">
      <c r="C701" t="b">
        <v>0</v>
      </c>
      <c r="D701">
        <v>850.05</v>
      </c>
      <c r="E701" t="s">
        <v>30</v>
      </c>
    </row>
    <row r="702" spans="2:13" x14ac:dyDescent="0.2">
      <c r="C702" t="b">
        <v>0</v>
      </c>
      <c r="D702">
        <v>820.05</v>
      </c>
      <c r="E702" t="s">
        <v>30</v>
      </c>
    </row>
    <row r="703" spans="2:13" x14ac:dyDescent="0.2">
      <c r="C703" t="b">
        <v>0</v>
      </c>
      <c r="D703">
        <v>840.06</v>
      </c>
      <c r="E703" t="s">
        <v>30</v>
      </c>
    </row>
    <row r="704" spans="2:13" x14ac:dyDescent="0.2">
      <c r="B704" t="s">
        <v>11</v>
      </c>
    </row>
    <row r="705" spans="1:13" x14ac:dyDescent="0.2">
      <c r="B705" t="s">
        <v>12</v>
      </c>
      <c r="C705" t="s">
        <v>13</v>
      </c>
      <c r="D705" t="s">
        <v>14</v>
      </c>
      <c r="E705" t="s">
        <v>15</v>
      </c>
      <c r="F705" t="s">
        <v>16</v>
      </c>
      <c r="G705" t="s">
        <v>17</v>
      </c>
      <c r="H705" t="s">
        <v>18</v>
      </c>
      <c r="I705" t="s">
        <v>19</v>
      </c>
      <c r="J705" t="s">
        <v>20</v>
      </c>
      <c r="K705" t="s">
        <v>21</v>
      </c>
      <c r="L705" t="s">
        <v>22</v>
      </c>
      <c r="M705" t="s">
        <v>23</v>
      </c>
    </row>
    <row r="706" spans="1:13" x14ac:dyDescent="0.2">
      <c r="B706" t="s">
        <v>33</v>
      </c>
      <c r="C706">
        <v>89</v>
      </c>
      <c r="E706" t="s">
        <v>25</v>
      </c>
      <c r="F706">
        <v>4083.61</v>
      </c>
      <c r="G706">
        <v>5.0999999999999996</v>
      </c>
      <c r="K706">
        <v>0.1</v>
      </c>
      <c r="L706">
        <v>7</v>
      </c>
      <c r="M706">
        <v>103.5</v>
      </c>
    </row>
    <row r="707" spans="1:13" x14ac:dyDescent="0.2">
      <c r="C707" t="s">
        <v>27</v>
      </c>
    </row>
    <row r="708" spans="1:13" x14ac:dyDescent="0.2">
      <c r="C708" t="s">
        <v>28</v>
      </c>
      <c r="D708" t="s">
        <v>16</v>
      </c>
      <c r="E708" t="s">
        <v>29</v>
      </c>
      <c r="F708" t="s">
        <v>18</v>
      </c>
    </row>
    <row r="709" spans="1:13" x14ac:dyDescent="0.2">
      <c r="C709" t="b">
        <v>0</v>
      </c>
      <c r="D709">
        <v>3840.64</v>
      </c>
      <c r="E709" t="s">
        <v>30</v>
      </c>
    </row>
    <row r="710" spans="1:13" x14ac:dyDescent="0.2">
      <c r="C710" t="b">
        <v>0</v>
      </c>
      <c r="D710">
        <v>4100.75</v>
      </c>
      <c r="E710" t="s">
        <v>30</v>
      </c>
    </row>
    <row r="711" spans="1:13" x14ac:dyDescent="0.2">
      <c r="C711" t="b">
        <v>0</v>
      </c>
      <c r="D711">
        <v>4320.83</v>
      </c>
      <c r="E711" t="s">
        <v>30</v>
      </c>
    </row>
    <row r="712" spans="1:13" x14ac:dyDescent="0.2">
      <c r="C712" t="b">
        <v>0</v>
      </c>
      <c r="D712">
        <v>3980.72</v>
      </c>
      <c r="E712" t="s">
        <v>30</v>
      </c>
    </row>
    <row r="713" spans="1:13" x14ac:dyDescent="0.2">
      <c r="C713" t="b">
        <v>0</v>
      </c>
      <c r="D713">
        <v>3850.67</v>
      </c>
      <c r="E713" t="s">
        <v>30</v>
      </c>
    </row>
    <row r="714" spans="1:13" x14ac:dyDescent="0.2">
      <c r="C714" t="b">
        <v>0</v>
      </c>
      <c r="D714">
        <v>4120.79</v>
      </c>
      <c r="E714" t="s">
        <v>30</v>
      </c>
    </row>
    <row r="715" spans="1:13" x14ac:dyDescent="0.2">
      <c r="C715" t="b">
        <v>0</v>
      </c>
      <c r="D715">
        <v>4370.8500000000004</v>
      </c>
      <c r="E715" t="s">
        <v>30</v>
      </c>
    </row>
    <row r="716" spans="1:13" x14ac:dyDescent="0.2">
      <c r="A716" t="s">
        <v>0</v>
      </c>
    </row>
    <row r="717" spans="1:13" x14ac:dyDescent="0.2"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</row>
    <row r="718" spans="1:13" x14ac:dyDescent="0.2">
      <c r="B718" t="b">
        <v>0</v>
      </c>
      <c r="C718" t="s">
        <v>74</v>
      </c>
      <c r="D718" t="s">
        <v>75</v>
      </c>
      <c r="E718" t="s">
        <v>9</v>
      </c>
      <c r="G718" t="s">
        <v>76</v>
      </c>
    </row>
    <row r="719" spans="1:13" x14ac:dyDescent="0.2">
      <c r="B719" t="s">
        <v>11</v>
      </c>
    </row>
    <row r="720" spans="1:13" x14ac:dyDescent="0.2">
      <c r="B720" t="s">
        <v>12</v>
      </c>
      <c r="C720" t="s">
        <v>13</v>
      </c>
      <c r="D720" t="s">
        <v>14</v>
      </c>
      <c r="E720" t="s">
        <v>15</v>
      </c>
      <c r="F720" t="s">
        <v>16</v>
      </c>
      <c r="G720" t="s">
        <v>17</v>
      </c>
      <c r="H720" t="s">
        <v>18</v>
      </c>
      <c r="I720" t="s">
        <v>19</v>
      </c>
      <c r="J720" t="s">
        <v>20</v>
      </c>
      <c r="K720" t="s">
        <v>21</v>
      </c>
      <c r="L720" t="s">
        <v>22</v>
      </c>
      <c r="M720" t="s">
        <v>23</v>
      </c>
    </row>
    <row r="721" spans="2:13" x14ac:dyDescent="0.2">
      <c r="B721" t="s">
        <v>24</v>
      </c>
      <c r="C721">
        <v>59</v>
      </c>
      <c r="E721" t="s">
        <v>25</v>
      </c>
      <c r="F721">
        <v>312.87</v>
      </c>
      <c r="G721">
        <v>17.100000000000001</v>
      </c>
      <c r="H721">
        <v>0</v>
      </c>
      <c r="I721" t="s">
        <v>26</v>
      </c>
      <c r="J721">
        <v>20.8</v>
      </c>
      <c r="K721">
        <v>0.1</v>
      </c>
      <c r="L721">
        <v>7</v>
      </c>
    </row>
    <row r="722" spans="2:13" x14ac:dyDescent="0.2">
      <c r="C722" t="s">
        <v>27</v>
      </c>
    </row>
    <row r="723" spans="2:13" x14ac:dyDescent="0.2">
      <c r="C723" t="s">
        <v>28</v>
      </c>
      <c r="D723" t="s">
        <v>16</v>
      </c>
      <c r="E723" t="s">
        <v>29</v>
      </c>
      <c r="F723" t="s">
        <v>18</v>
      </c>
    </row>
    <row r="724" spans="2:13" x14ac:dyDescent="0.2">
      <c r="C724" t="b">
        <v>0</v>
      </c>
      <c r="D724">
        <v>340.02</v>
      </c>
      <c r="E724" t="s">
        <v>30</v>
      </c>
      <c r="F724">
        <v>0</v>
      </c>
    </row>
    <row r="725" spans="2:13" x14ac:dyDescent="0.2">
      <c r="C725" t="b">
        <v>0</v>
      </c>
      <c r="D725">
        <v>330.01</v>
      </c>
      <c r="E725" t="s">
        <v>30</v>
      </c>
      <c r="F725">
        <v>0</v>
      </c>
    </row>
    <row r="726" spans="2:13" x14ac:dyDescent="0.2">
      <c r="C726" t="b">
        <v>0</v>
      </c>
      <c r="D726">
        <v>390.02</v>
      </c>
      <c r="E726" t="s">
        <v>30</v>
      </c>
      <c r="F726">
        <v>0</v>
      </c>
    </row>
    <row r="727" spans="2:13" x14ac:dyDescent="0.2">
      <c r="C727" t="b">
        <v>0</v>
      </c>
      <c r="D727">
        <v>220.01</v>
      </c>
      <c r="E727" t="s">
        <v>30</v>
      </c>
      <c r="F727">
        <v>0</v>
      </c>
    </row>
    <row r="728" spans="2:13" x14ac:dyDescent="0.2">
      <c r="C728" t="b">
        <v>0</v>
      </c>
      <c r="D728">
        <v>280.01</v>
      </c>
      <c r="E728" t="s">
        <v>30</v>
      </c>
      <c r="F728">
        <v>0</v>
      </c>
    </row>
    <row r="729" spans="2:13" x14ac:dyDescent="0.2">
      <c r="C729" t="b">
        <v>0</v>
      </c>
      <c r="D729">
        <v>330.01</v>
      </c>
      <c r="E729" t="s">
        <v>30</v>
      </c>
      <c r="F729">
        <v>0</v>
      </c>
    </row>
    <row r="730" spans="2:13" x14ac:dyDescent="0.2">
      <c r="C730" t="b">
        <v>0</v>
      </c>
      <c r="D730">
        <v>300.01</v>
      </c>
      <c r="E730" t="s">
        <v>30</v>
      </c>
      <c r="F730">
        <v>0</v>
      </c>
    </row>
    <row r="731" spans="2:13" x14ac:dyDescent="0.2">
      <c r="B731" t="s">
        <v>11</v>
      </c>
    </row>
    <row r="732" spans="2:13" x14ac:dyDescent="0.2">
      <c r="B732" t="s">
        <v>12</v>
      </c>
      <c r="C732" t="s">
        <v>13</v>
      </c>
      <c r="D732" t="s">
        <v>14</v>
      </c>
      <c r="E732" t="s">
        <v>15</v>
      </c>
      <c r="F732" t="s">
        <v>16</v>
      </c>
      <c r="G732" t="s">
        <v>17</v>
      </c>
      <c r="H732" t="s">
        <v>18</v>
      </c>
      <c r="I732" t="s">
        <v>19</v>
      </c>
      <c r="J732" t="s">
        <v>20</v>
      </c>
      <c r="K732" t="s">
        <v>21</v>
      </c>
      <c r="L732" t="s">
        <v>22</v>
      </c>
      <c r="M732" t="s">
        <v>23</v>
      </c>
    </row>
    <row r="733" spans="2:13" x14ac:dyDescent="0.2">
      <c r="B733" t="s">
        <v>31</v>
      </c>
      <c r="C733">
        <v>45</v>
      </c>
      <c r="E733" t="s">
        <v>25</v>
      </c>
      <c r="F733">
        <v>1014.36</v>
      </c>
      <c r="G733">
        <v>13.5</v>
      </c>
      <c r="K733">
        <v>0.1</v>
      </c>
      <c r="L733">
        <v>7</v>
      </c>
      <c r="M733">
        <v>98.2</v>
      </c>
    </row>
    <row r="734" spans="2:13" x14ac:dyDescent="0.2">
      <c r="C734" t="s">
        <v>27</v>
      </c>
    </row>
    <row r="735" spans="2:13" x14ac:dyDescent="0.2">
      <c r="C735" t="s">
        <v>28</v>
      </c>
      <c r="D735" t="s">
        <v>16</v>
      </c>
      <c r="E735" t="s">
        <v>29</v>
      </c>
      <c r="F735" t="s">
        <v>18</v>
      </c>
    </row>
    <row r="736" spans="2:13" x14ac:dyDescent="0.2">
      <c r="C736" t="b">
        <v>0</v>
      </c>
      <c r="D736">
        <v>1100.0899999999999</v>
      </c>
      <c r="E736" t="s">
        <v>30</v>
      </c>
    </row>
    <row r="737" spans="2:13" x14ac:dyDescent="0.2">
      <c r="C737" t="b">
        <v>0</v>
      </c>
      <c r="D737">
        <v>1200.0899999999999</v>
      </c>
      <c r="E737" t="s">
        <v>30</v>
      </c>
    </row>
    <row r="738" spans="2:13" x14ac:dyDescent="0.2">
      <c r="C738" t="b">
        <v>0</v>
      </c>
      <c r="D738">
        <v>910.06</v>
      </c>
      <c r="E738" t="s">
        <v>30</v>
      </c>
    </row>
    <row r="739" spans="2:13" x14ac:dyDescent="0.2">
      <c r="C739" t="b">
        <v>0</v>
      </c>
      <c r="D739">
        <v>1040.08</v>
      </c>
      <c r="E739" t="s">
        <v>30</v>
      </c>
    </row>
    <row r="740" spans="2:13" x14ac:dyDescent="0.2">
      <c r="C740" t="b">
        <v>0</v>
      </c>
      <c r="D740">
        <v>780.05</v>
      </c>
      <c r="E740" t="s">
        <v>30</v>
      </c>
    </row>
    <row r="741" spans="2:13" x14ac:dyDescent="0.2">
      <c r="C741" t="b">
        <v>0</v>
      </c>
      <c r="D741">
        <v>990.07</v>
      </c>
      <c r="E741" t="s">
        <v>30</v>
      </c>
    </row>
    <row r="742" spans="2:13" x14ac:dyDescent="0.2">
      <c r="C742" t="b">
        <v>0</v>
      </c>
      <c r="D742">
        <v>1080.0899999999999</v>
      </c>
      <c r="E742" t="s">
        <v>30</v>
      </c>
    </row>
    <row r="743" spans="2:13" x14ac:dyDescent="0.2">
      <c r="B743" t="s">
        <v>11</v>
      </c>
    </row>
    <row r="744" spans="2:13" x14ac:dyDescent="0.2">
      <c r="B744" t="s">
        <v>12</v>
      </c>
      <c r="C744" t="s">
        <v>13</v>
      </c>
      <c r="D744" t="s">
        <v>14</v>
      </c>
      <c r="E744" t="s">
        <v>15</v>
      </c>
      <c r="F744" t="s">
        <v>16</v>
      </c>
      <c r="G744" t="s">
        <v>17</v>
      </c>
      <c r="H744" t="s">
        <v>18</v>
      </c>
      <c r="I744" t="s">
        <v>19</v>
      </c>
      <c r="J744" t="s">
        <v>20</v>
      </c>
      <c r="K744" t="s">
        <v>21</v>
      </c>
      <c r="L744" t="s">
        <v>22</v>
      </c>
      <c r="M744" t="s">
        <v>23</v>
      </c>
    </row>
    <row r="745" spans="2:13" x14ac:dyDescent="0.2">
      <c r="B745" t="s">
        <v>32</v>
      </c>
      <c r="C745">
        <v>72</v>
      </c>
      <c r="E745" t="s">
        <v>25</v>
      </c>
      <c r="F745">
        <v>660.04</v>
      </c>
      <c r="G745">
        <v>12.4</v>
      </c>
      <c r="K745">
        <v>0.1</v>
      </c>
      <c r="L745">
        <v>7</v>
      </c>
      <c r="M745">
        <v>88.5</v>
      </c>
    </row>
    <row r="746" spans="2:13" x14ac:dyDescent="0.2">
      <c r="C746" t="s">
        <v>27</v>
      </c>
    </row>
    <row r="747" spans="2:13" x14ac:dyDescent="0.2">
      <c r="C747" t="s">
        <v>28</v>
      </c>
      <c r="D747" t="s">
        <v>16</v>
      </c>
      <c r="E747" t="s">
        <v>29</v>
      </c>
      <c r="F747" t="s">
        <v>18</v>
      </c>
    </row>
    <row r="748" spans="2:13" x14ac:dyDescent="0.2">
      <c r="C748" t="b">
        <v>0</v>
      </c>
      <c r="D748">
        <v>800.05</v>
      </c>
      <c r="E748" t="s">
        <v>30</v>
      </c>
    </row>
    <row r="749" spans="2:13" x14ac:dyDescent="0.2">
      <c r="C749" t="b">
        <v>0</v>
      </c>
      <c r="D749">
        <v>700.05</v>
      </c>
      <c r="E749" t="s">
        <v>30</v>
      </c>
    </row>
    <row r="750" spans="2:13" x14ac:dyDescent="0.2">
      <c r="C750" t="b">
        <v>0</v>
      </c>
      <c r="D750">
        <v>590.04</v>
      </c>
      <c r="E750" t="s">
        <v>30</v>
      </c>
    </row>
    <row r="751" spans="2:13" x14ac:dyDescent="0.2">
      <c r="C751" t="b">
        <v>0</v>
      </c>
      <c r="D751">
        <v>630.03</v>
      </c>
      <c r="E751" t="s">
        <v>30</v>
      </c>
    </row>
    <row r="752" spans="2:13" x14ac:dyDescent="0.2">
      <c r="C752" t="b">
        <v>0</v>
      </c>
      <c r="D752">
        <v>590.04</v>
      </c>
      <c r="E752" t="s">
        <v>30</v>
      </c>
    </row>
    <row r="753" spans="1:13" x14ac:dyDescent="0.2">
      <c r="C753" t="b">
        <v>0</v>
      </c>
      <c r="D753">
        <v>720.04</v>
      </c>
      <c r="E753" t="s">
        <v>30</v>
      </c>
    </row>
    <row r="754" spans="1:13" x14ac:dyDescent="0.2">
      <c r="C754" t="b">
        <v>0</v>
      </c>
      <c r="D754">
        <v>590.03</v>
      </c>
      <c r="E754" t="s">
        <v>30</v>
      </c>
    </row>
    <row r="755" spans="1:13" x14ac:dyDescent="0.2">
      <c r="B755" t="s">
        <v>11</v>
      </c>
    </row>
    <row r="756" spans="1:13" x14ac:dyDescent="0.2">
      <c r="B756" t="s">
        <v>12</v>
      </c>
      <c r="C756" t="s">
        <v>13</v>
      </c>
      <c r="D756" t="s">
        <v>14</v>
      </c>
      <c r="E756" t="s">
        <v>15</v>
      </c>
      <c r="F756" t="s">
        <v>16</v>
      </c>
      <c r="G756" t="s">
        <v>17</v>
      </c>
      <c r="H756" t="s">
        <v>18</v>
      </c>
      <c r="I756" t="s">
        <v>19</v>
      </c>
      <c r="J756" t="s">
        <v>20</v>
      </c>
      <c r="K756" t="s">
        <v>21</v>
      </c>
      <c r="L756" t="s">
        <v>22</v>
      </c>
      <c r="M756" t="s">
        <v>23</v>
      </c>
    </row>
    <row r="757" spans="1:13" x14ac:dyDescent="0.2">
      <c r="B757" t="s">
        <v>33</v>
      </c>
      <c r="C757">
        <v>89</v>
      </c>
      <c r="E757" t="s">
        <v>25</v>
      </c>
      <c r="F757">
        <v>3997.87</v>
      </c>
      <c r="G757">
        <v>12.9</v>
      </c>
      <c r="K757">
        <v>0.1</v>
      </c>
      <c r="L757">
        <v>7</v>
      </c>
      <c r="M757">
        <v>101.3</v>
      </c>
    </row>
    <row r="758" spans="1:13" x14ac:dyDescent="0.2">
      <c r="C758" t="s">
        <v>27</v>
      </c>
    </row>
    <row r="759" spans="1:13" x14ac:dyDescent="0.2">
      <c r="C759" t="s">
        <v>28</v>
      </c>
      <c r="D759" t="s">
        <v>16</v>
      </c>
      <c r="E759" t="s">
        <v>29</v>
      </c>
      <c r="F759" t="s">
        <v>18</v>
      </c>
    </row>
    <row r="760" spans="1:13" x14ac:dyDescent="0.2">
      <c r="C760" t="b">
        <v>0</v>
      </c>
      <c r="D760">
        <v>4570.91</v>
      </c>
      <c r="E760" t="s">
        <v>30</v>
      </c>
    </row>
    <row r="761" spans="1:13" x14ac:dyDescent="0.2">
      <c r="C761" t="b">
        <v>0</v>
      </c>
      <c r="D761">
        <v>4881.03</v>
      </c>
      <c r="E761" t="s">
        <v>30</v>
      </c>
    </row>
    <row r="762" spans="1:13" x14ac:dyDescent="0.2">
      <c r="C762" t="b">
        <v>0</v>
      </c>
      <c r="D762">
        <v>3690.64</v>
      </c>
      <c r="E762" t="s">
        <v>30</v>
      </c>
    </row>
    <row r="763" spans="1:13" x14ac:dyDescent="0.2">
      <c r="C763" t="b">
        <v>0</v>
      </c>
      <c r="D763">
        <v>3500.6</v>
      </c>
      <c r="E763" t="s">
        <v>30</v>
      </c>
    </row>
    <row r="764" spans="1:13" x14ac:dyDescent="0.2">
      <c r="C764" t="b">
        <v>0</v>
      </c>
      <c r="D764">
        <v>3770.63</v>
      </c>
      <c r="E764" t="s">
        <v>30</v>
      </c>
    </row>
    <row r="765" spans="1:13" x14ac:dyDescent="0.2">
      <c r="C765" t="b">
        <v>0</v>
      </c>
      <c r="D765">
        <v>3770.6</v>
      </c>
      <c r="E765" t="s">
        <v>30</v>
      </c>
    </row>
    <row r="766" spans="1:13" x14ac:dyDescent="0.2">
      <c r="C766" t="b">
        <v>0</v>
      </c>
      <c r="D766">
        <v>3800.67</v>
      </c>
      <c r="E766" t="s">
        <v>30</v>
      </c>
    </row>
    <row r="767" spans="1:13" x14ac:dyDescent="0.2">
      <c r="A767" t="s">
        <v>0</v>
      </c>
    </row>
    <row r="768" spans="1:13" x14ac:dyDescent="0.2"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</row>
    <row r="769" spans="2:13" x14ac:dyDescent="0.2">
      <c r="B769" t="b">
        <v>0</v>
      </c>
      <c r="C769" t="s">
        <v>77</v>
      </c>
      <c r="D769" t="s">
        <v>78</v>
      </c>
      <c r="E769" t="s">
        <v>9</v>
      </c>
      <c r="G769" t="s">
        <v>76</v>
      </c>
    </row>
    <row r="770" spans="2:13" x14ac:dyDescent="0.2">
      <c r="B770" t="s">
        <v>11</v>
      </c>
    </row>
    <row r="771" spans="2:13" x14ac:dyDescent="0.2"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17</v>
      </c>
      <c r="H771" t="s">
        <v>18</v>
      </c>
      <c r="I771" t="s">
        <v>19</v>
      </c>
      <c r="J771" t="s">
        <v>20</v>
      </c>
      <c r="K771" t="s">
        <v>21</v>
      </c>
      <c r="L771" t="s">
        <v>22</v>
      </c>
      <c r="M771" t="s">
        <v>23</v>
      </c>
    </row>
    <row r="772" spans="2:13" x14ac:dyDescent="0.2">
      <c r="B772" t="s">
        <v>24</v>
      </c>
      <c r="C772">
        <v>59</v>
      </c>
      <c r="E772" t="s">
        <v>25</v>
      </c>
      <c r="F772">
        <v>135.72</v>
      </c>
      <c r="G772">
        <v>15.3</v>
      </c>
      <c r="H772">
        <v>0</v>
      </c>
      <c r="I772" t="s">
        <v>26</v>
      </c>
      <c r="J772">
        <v>25.9</v>
      </c>
      <c r="K772">
        <v>0.1</v>
      </c>
      <c r="L772">
        <v>7</v>
      </c>
    </row>
    <row r="773" spans="2:13" x14ac:dyDescent="0.2">
      <c r="C773" t="s">
        <v>27</v>
      </c>
    </row>
    <row r="774" spans="2:13" x14ac:dyDescent="0.2">
      <c r="C774" t="s">
        <v>28</v>
      </c>
      <c r="D774" t="s">
        <v>16</v>
      </c>
      <c r="E774" t="s">
        <v>29</v>
      </c>
      <c r="F774" t="s">
        <v>18</v>
      </c>
    </row>
    <row r="775" spans="2:13" x14ac:dyDescent="0.2">
      <c r="C775" t="b">
        <v>0</v>
      </c>
      <c r="D775">
        <v>110</v>
      </c>
      <c r="E775" t="s">
        <v>30</v>
      </c>
      <c r="F775">
        <v>0</v>
      </c>
    </row>
    <row r="776" spans="2:13" x14ac:dyDescent="0.2">
      <c r="C776" t="b">
        <v>0</v>
      </c>
      <c r="D776">
        <v>160.01</v>
      </c>
      <c r="E776" t="s">
        <v>30</v>
      </c>
      <c r="F776">
        <v>0</v>
      </c>
    </row>
    <row r="777" spans="2:13" x14ac:dyDescent="0.2">
      <c r="C777" t="b">
        <v>0</v>
      </c>
      <c r="D777">
        <v>110</v>
      </c>
      <c r="E777" t="s">
        <v>30</v>
      </c>
      <c r="F777">
        <v>0</v>
      </c>
    </row>
    <row r="778" spans="2:13" x14ac:dyDescent="0.2">
      <c r="C778" t="b">
        <v>0</v>
      </c>
      <c r="D778">
        <v>140.01</v>
      </c>
      <c r="E778" t="s">
        <v>30</v>
      </c>
      <c r="F778">
        <v>0</v>
      </c>
    </row>
    <row r="779" spans="2:13" x14ac:dyDescent="0.2">
      <c r="C779" t="b">
        <v>0</v>
      </c>
      <c r="D779">
        <v>160.01</v>
      </c>
      <c r="E779" t="s">
        <v>30</v>
      </c>
      <c r="F779">
        <v>0</v>
      </c>
    </row>
    <row r="780" spans="2:13" x14ac:dyDescent="0.2">
      <c r="C780" t="b">
        <v>0</v>
      </c>
      <c r="D780">
        <v>140</v>
      </c>
      <c r="E780" t="s">
        <v>30</v>
      </c>
      <c r="F780">
        <v>0</v>
      </c>
    </row>
    <row r="781" spans="2:13" x14ac:dyDescent="0.2">
      <c r="C781" t="b">
        <v>0</v>
      </c>
      <c r="D781">
        <v>130.01</v>
      </c>
      <c r="E781" t="s">
        <v>30</v>
      </c>
      <c r="F781">
        <v>0</v>
      </c>
    </row>
    <row r="782" spans="2:13" x14ac:dyDescent="0.2">
      <c r="B782" t="s">
        <v>11</v>
      </c>
    </row>
    <row r="783" spans="2:13" x14ac:dyDescent="0.2">
      <c r="B783" t="s">
        <v>12</v>
      </c>
      <c r="C783" t="s">
        <v>13</v>
      </c>
      <c r="D783" t="s">
        <v>14</v>
      </c>
      <c r="E783" t="s">
        <v>15</v>
      </c>
      <c r="F783" t="s">
        <v>16</v>
      </c>
      <c r="G783" t="s">
        <v>17</v>
      </c>
      <c r="H783" t="s">
        <v>18</v>
      </c>
      <c r="I783" t="s">
        <v>19</v>
      </c>
      <c r="J783" t="s">
        <v>20</v>
      </c>
      <c r="K783" t="s">
        <v>21</v>
      </c>
      <c r="L783" t="s">
        <v>22</v>
      </c>
      <c r="M783" t="s">
        <v>23</v>
      </c>
    </row>
    <row r="784" spans="2:13" x14ac:dyDescent="0.2">
      <c r="B784" t="s">
        <v>31</v>
      </c>
      <c r="C784">
        <v>45</v>
      </c>
      <c r="E784" t="s">
        <v>25</v>
      </c>
      <c r="F784">
        <v>911.49</v>
      </c>
      <c r="G784">
        <v>10</v>
      </c>
      <c r="K784">
        <v>0.1</v>
      </c>
      <c r="L784">
        <v>7</v>
      </c>
      <c r="M784">
        <v>88.2</v>
      </c>
    </row>
    <row r="785" spans="2:13" x14ac:dyDescent="0.2">
      <c r="C785" t="s">
        <v>27</v>
      </c>
    </row>
    <row r="786" spans="2:13" x14ac:dyDescent="0.2">
      <c r="C786" t="s">
        <v>28</v>
      </c>
      <c r="D786" t="s">
        <v>16</v>
      </c>
      <c r="E786" t="s">
        <v>29</v>
      </c>
      <c r="F786" t="s">
        <v>18</v>
      </c>
    </row>
    <row r="787" spans="2:13" x14ac:dyDescent="0.2">
      <c r="C787" t="b">
        <v>0</v>
      </c>
      <c r="D787">
        <v>880.06</v>
      </c>
      <c r="E787" t="s">
        <v>30</v>
      </c>
    </row>
    <row r="788" spans="2:13" x14ac:dyDescent="0.2">
      <c r="C788" t="b">
        <v>0</v>
      </c>
      <c r="D788">
        <v>770.04</v>
      </c>
      <c r="E788" t="s">
        <v>30</v>
      </c>
    </row>
    <row r="789" spans="2:13" x14ac:dyDescent="0.2">
      <c r="C789" t="b">
        <v>0</v>
      </c>
      <c r="D789">
        <v>880.06</v>
      </c>
      <c r="E789" t="s">
        <v>30</v>
      </c>
    </row>
    <row r="790" spans="2:13" x14ac:dyDescent="0.2">
      <c r="C790" t="b">
        <v>0</v>
      </c>
      <c r="D790">
        <v>1030.08</v>
      </c>
      <c r="E790" t="s">
        <v>30</v>
      </c>
    </row>
    <row r="791" spans="2:13" x14ac:dyDescent="0.2">
      <c r="C791" t="b">
        <v>0</v>
      </c>
      <c r="D791">
        <v>1020.07</v>
      </c>
      <c r="E791" t="s">
        <v>30</v>
      </c>
    </row>
    <row r="792" spans="2:13" x14ac:dyDescent="0.2">
      <c r="C792" t="b">
        <v>0</v>
      </c>
      <c r="D792">
        <v>870.06</v>
      </c>
      <c r="E792" t="s">
        <v>30</v>
      </c>
    </row>
    <row r="793" spans="2:13" x14ac:dyDescent="0.2">
      <c r="C793" t="b">
        <v>0</v>
      </c>
      <c r="D793">
        <v>930.07</v>
      </c>
      <c r="E793" t="s">
        <v>30</v>
      </c>
    </row>
    <row r="794" spans="2:13" x14ac:dyDescent="0.2">
      <c r="B794" t="s">
        <v>11</v>
      </c>
    </row>
    <row r="795" spans="2:13" x14ac:dyDescent="0.2">
      <c r="B795" t="s">
        <v>12</v>
      </c>
      <c r="C795" t="s">
        <v>13</v>
      </c>
      <c r="D795" t="s">
        <v>14</v>
      </c>
      <c r="E795" t="s">
        <v>15</v>
      </c>
      <c r="F795" t="s">
        <v>16</v>
      </c>
      <c r="G795" t="s">
        <v>17</v>
      </c>
      <c r="H795" t="s">
        <v>18</v>
      </c>
      <c r="I795" t="s">
        <v>19</v>
      </c>
      <c r="J795" t="s">
        <v>20</v>
      </c>
      <c r="K795" t="s">
        <v>21</v>
      </c>
      <c r="L795" t="s">
        <v>22</v>
      </c>
      <c r="M795" t="s">
        <v>23</v>
      </c>
    </row>
    <row r="796" spans="2:13" x14ac:dyDescent="0.2">
      <c r="B796" t="s">
        <v>32</v>
      </c>
      <c r="C796">
        <v>72</v>
      </c>
      <c r="E796" t="s">
        <v>25</v>
      </c>
      <c r="F796">
        <v>742.9</v>
      </c>
      <c r="G796">
        <v>11.1</v>
      </c>
      <c r="K796">
        <v>0.1</v>
      </c>
      <c r="L796">
        <v>7</v>
      </c>
      <c r="M796">
        <v>99.6</v>
      </c>
    </row>
    <row r="797" spans="2:13" x14ac:dyDescent="0.2">
      <c r="C797" t="s">
        <v>27</v>
      </c>
    </row>
    <row r="798" spans="2:13" x14ac:dyDescent="0.2">
      <c r="C798" t="s">
        <v>28</v>
      </c>
      <c r="D798" t="s">
        <v>16</v>
      </c>
      <c r="E798" t="s">
        <v>29</v>
      </c>
      <c r="F798" t="s">
        <v>18</v>
      </c>
    </row>
    <row r="799" spans="2:13" x14ac:dyDescent="0.2">
      <c r="C799" t="b">
        <v>0</v>
      </c>
      <c r="D799">
        <v>810.05</v>
      </c>
      <c r="E799" t="s">
        <v>30</v>
      </c>
    </row>
    <row r="800" spans="2:13" x14ac:dyDescent="0.2">
      <c r="C800" t="b">
        <v>0</v>
      </c>
      <c r="D800">
        <v>750.04</v>
      </c>
      <c r="E800" t="s">
        <v>30</v>
      </c>
    </row>
    <row r="801" spans="2:13" x14ac:dyDescent="0.2">
      <c r="C801" t="b">
        <v>0</v>
      </c>
      <c r="D801">
        <v>890.06</v>
      </c>
      <c r="E801" t="s">
        <v>30</v>
      </c>
    </row>
    <row r="802" spans="2:13" x14ac:dyDescent="0.2">
      <c r="C802" t="b">
        <v>0</v>
      </c>
      <c r="D802">
        <v>670.04</v>
      </c>
      <c r="E802" t="s">
        <v>30</v>
      </c>
    </row>
    <row r="803" spans="2:13" x14ac:dyDescent="0.2">
      <c r="C803" t="b">
        <v>0</v>
      </c>
      <c r="D803">
        <v>720.04</v>
      </c>
      <c r="E803" t="s">
        <v>30</v>
      </c>
    </row>
    <row r="804" spans="2:13" x14ac:dyDescent="0.2">
      <c r="C804" t="b">
        <v>0</v>
      </c>
      <c r="D804">
        <v>700.04</v>
      </c>
      <c r="E804" t="s">
        <v>30</v>
      </c>
    </row>
    <row r="805" spans="2:13" x14ac:dyDescent="0.2">
      <c r="C805" t="b">
        <v>0</v>
      </c>
      <c r="D805">
        <v>660.04</v>
      </c>
      <c r="E805" t="s">
        <v>30</v>
      </c>
    </row>
    <row r="806" spans="2:13" x14ac:dyDescent="0.2">
      <c r="B806" t="s">
        <v>11</v>
      </c>
    </row>
    <row r="807" spans="2:13" x14ac:dyDescent="0.2">
      <c r="B807" t="s">
        <v>12</v>
      </c>
      <c r="C807" t="s">
        <v>13</v>
      </c>
      <c r="D807" t="s">
        <v>14</v>
      </c>
      <c r="E807" t="s">
        <v>15</v>
      </c>
      <c r="F807" t="s">
        <v>16</v>
      </c>
      <c r="G807" t="s">
        <v>17</v>
      </c>
      <c r="H807" t="s">
        <v>18</v>
      </c>
      <c r="I807" t="s">
        <v>19</v>
      </c>
      <c r="J807" t="s">
        <v>20</v>
      </c>
      <c r="K807" t="s">
        <v>21</v>
      </c>
      <c r="L807" t="s">
        <v>22</v>
      </c>
      <c r="M807" t="s">
        <v>23</v>
      </c>
    </row>
    <row r="808" spans="2:13" x14ac:dyDescent="0.2">
      <c r="B808" t="s">
        <v>33</v>
      </c>
      <c r="C808">
        <v>89</v>
      </c>
      <c r="E808" t="s">
        <v>25</v>
      </c>
      <c r="F808">
        <v>3993.58</v>
      </c>
      <c r="G808">
        <v>4</v>
      </c>
      <c r="K808">
        <v>0.1</v>
      </c>
      <c r="L808">
        <v>7</v>
      </c>
      <c r="M808">
        <v>101.2</v>
      </c>
    </row>
    <row r="809" spans="2:13" x14ac:dyDescent="0.2">
      <c r="C809" t="s">
        <v>27</v>
      </c>
    </row>
    <row r="810" spans="2:13" x14ac:dyDescent="0.2">
      <c r="C810" t="s">
        <v>28</v>
      </c>
      <c r="D810" t="s">
        <v>16</v>
      </c>
      <c r="E810" t="s">
        <v>29</v>
      </c>
      <c r="F810" t="s">
        <v>18</v>
      </c>
    </row>
    <row r="811" spans="2:13" x14ac:dyDescent="0.2">
      <c r="C811" t="b">
        <v>0</v>
      </c>
      <c r="D811">
        <v>4010.74</v>
      </c>
      <c r="E811" t="s">
        <v>30</v>
      </c>
    </row>
    <row r="812" spans="2:13" x14ac:dyDescent="0.2">
      <c r="C812" t="b">
        <v>0</v>
      </c>
      <c r="D812">
        <v>3840.66</v>
      </c>
      <c r="E812" t="s">
        <v>30</v>
      </c>
    </row>
    <row r="813" spans="2:13" x14ac:dyDescent="0.2">
      <c r="C813" t="b">
        <v>0</v>
      </c>
      <c r="D813">
        <v>3970.75</v>
      </c>
      <c r="E813" t="s">
        <v>30</v>
      </c>
    </row>
    <row r="814" spans="2:13" x14ac:dyDescent="0.2">
      <c r="C814" t="b">
        <v>0</v>
      </c>
      <c r="D814">
        <v>4090.76</v>
      </c>
      <c r="E814" t="s">
        <v>30</v>
      </c>
    </row>
    <row r="815" spans="2:13" x14ac:dyDescent="0.2">
      <c r="C815" t="b">
        <v>0</v>
      </c>
      <c r="D815">
        <v>3730.62</v>
      </c>
      <c r="E815" t="s">
        <v>30</v>
      </c>
    </row>
    <row r="816" spans="2:13" x14ac:dyDescent="0.2">
      <c r="C816" t="b">
        <v>0</v>
      </c>
      <c r="D816">
        <v>4130.76</v>
      </c>
      <c r="E816" t="s">
        <v>30</v>
      </c>
    </row>
    <row r="817" spans="1:13" x14ac:dyDescent="0.2">
      <c r="C817" t="b">
        <v>0</v>
      </c>
      <c r="D817">
        <v>4180.79</v>
      </c>
      <c r="E817" t="s">
        <v>30</v>
      </c>
    </row>
    <row r="818" spans="1:13" x14ac:dyDescent="0.2">
      <c r="A818" t="s">
        <v>0</v>
      </c>
    </row>
    <row r="819" spans="1:13" x14ac:dyDescent="0.2"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</row>
    <row r="820" spans="1:13" x14ac:dyDescent="0.2">
      <c r="B820" t="b">
        <v>0</v>
      </c>
      <c r="C820" t="s">
        <v>79</v>
      </c>
      <c r="D820" t="s">
        <v>80</v>
      </c>
      <c r="E820" t="s">
        <v>0</v>
      </c>
      <c r="G820" t="s">
        <v>81</v>
      </c>
    </row>
    <row r="821" spans="1:13" x14ac:dyDescent="0.2">
      <c r="B821" t="s">
        <v>11</v>
      </c>
    </row>
    <row r="822" spans="1:13" x14ac:dyDescent="0.2">
      <c r="B822" t="s">
        <v>12</v>
      </c>
      <c r="C822" t="s">
        <v>13</v>
      </c>
      <c r="D822" t="s">
        <v>14</v>
      </c>
      <c r="E822" t="s">
        <v>15</v>
      </c>
      <c r="F822" t="s">
        <v>16</v>
      </c>
      <c r="G822" t="s">
        <v>17</v>
      </c>
      <c r="H822" t="s">
        <v>18</v>
      </c>
      <c r="I822" t="s">
        <v>19</v>
      </c>
      <c r="J822" t="s">
        <v>20</v>
      </c>
      <c r="K822" t="s">
        <v>21</v>
      </c>
      <c r="L822" t="s">
        <v>22</v>
      </c>
      <c r="M822" t="s">
        <v>23</v>
      </c>
    </row>
    <row r="823" spans="1:13" x14ac:dyDescent="0.2">
      <c r="B823" t="s">
        <v>24</v>
      </c>
      <c r="C823">
        <v>59</v>
      </c>
      <c r="E823" t="s">
        <v>25</v>
      </c>
      <c r="F823">
        <v>20127.810000000001</v>
      </c>
      <c r="G823">
        <v>3.9</v>
      </c>
      <c r="H823">
        <v>8.9999999999999993E-3</v>
      </c>
      <c r="I823" t="s">
        <v>26</v>
      </c>
      <c r="J823">
        <v>3.9</v>
      </c>
      <c r="K823">
        <v>0.1</v>
      </c>
      <c r="L823">
        <v>7</v>
      </c>
    </row>
    <row r="824" spans="1:13" x14ac:dyDescent="0.2">
      <c r="C824" t="s">
        <v>27</v>
      </c>
    </row>
    <row r="825" spans="1:13" x14ac:dyDescent="0.2">
      <c r="C825" t="s">
        <v>28</v>
      </c>
      <c r="D825" t="s">
        <v>16</v>
      </c>
      <c r="E825" t="s">
        <v>29</v>
      </c>
      <c r="F825" t="s">
        <v>18</v>
      </c>
    </row>
    <row r="826" spans="1:13" x14ac:dyDescent="0.2">
      <c r="C826" t="b">
        <v>0</v>
      </c>
      <c r="D826">
        <v>19233.61</v>
      </c>
      <c r="E826" t="s">
        <v>30</v>
      </c>
      <c r="F826">
        <v>8.9999999999999993E-3</v>
      </c>
    </row>
    <row r="827" spans="1:13" x14ac:dyDescent="0.2">
      <c r="C827" t="b">
        <v>0</v>
      </c>
      <c r="D827">
        <v>18993.61</v>
      </c>
      <c r="E827" t="s">
        <v>30</v>
      </c>
      <c r="F827">
        <v>8.0000000000000002E-3</v>
      </c>
    </row>
    <row r="828" spans="1:13" x14ac:dyDescent="0.2">
      <c r="C828" t="b">
        <v>0</v>
      </c>
      <c r="D828">
        <v>19834.73</v>
      </c>
      <c r="E828" t="s">
        <v>30</v>
      </c>
      <c r="F828">
        <v>8.9999999999999993E-3</v>
      </c>
    </row>
    <row r="829" spans="1:13" x14ac:dyDescent="0.2">
      <c r="C829" t="b">
        <v>0</v>
      </c>
      <c r="D829">
        <v>20475.34</v>
      </c>
      <c r="E829" t="s">
        <v>30</v>
      </c>
      <c r="F829">
        <v>8.9999999999999993E-3</v>
      </c>
    </row>
    <row r="830" spans="1:13" x14ac:dyDescent="0.2">
      <c r="C830" t="b">
        <v>0</v>
      </c>
      <c r="D830">
        <v>20755.740000000002</v>
      </c>
      <c r="E830" t="s">
        <v>30</v>
      </c>
      <c r="F830">
        <v>8.9999999999999993E-3</v>
      </c>
    </row>
    <row r="831" spans="1:13" x14ac:dyDescent="0.2">
      <c r="C831" t="b">
        <v>0</v>
      </c>
      <c r="D831">
        <v>21026.28</v>
      </c>
      <c r="E831" t="s">
        <v>30</v>
      </c>
      <c r="F831">
        <v>8.9999999999999993E-3</v>
      </c>
    </row>
    <row r="832" spans="1:13" x14ac:dyDescent="0.2">
      <c r="C832" t="b">
        <v>0</v>
      </c>
      <c r="D832">
        <v>20575.38</v>
      </c>
      <c r="E832" t="s">
        <v>30</v>
      </c>
      <c r="F832">
        <v>8.9999999999999993E-3</v>
      </c>
    </row>
    <row r="833" spans="2:13" x14ac:dyDescent="0.2">
      <c r="B833" t="s">
        <v>11</v>
      </c>
    </row>
    <row r="834" spans="2:13" x14ac:dyDescent="0.2">
      <c r="B834" t="s">
        <v>12</v>
      </c>
      <c r="C834" t="s">
        <v>13</v>
      </c>
      <c r="D834" t="s">
        <v>14</v>
      </c>
      <c r="E834" t="s">
        <v>15</v>
      </c>
      <c r="F834" t="s">
        <v>16</v>
      </c>
      <c r="G834" t="s">
        <v>17</v>
      </c>
      <c r="H834" t="s">
        <v>18</v>
      </c>
      <c r="I834" t="s">
        <v>19</v>
      </c>
      <c r="J834" t="s">
        <v>20</v>
      </c>
      <c r="K834" t="s">
        <v>21</v>
      </c>
      <c r="L834" t="s">
        <v>22</v>
      </c>
      <c r="M834" t="s">
        <v>23</v>
      </c>
    </row>
    <row r="835" spans="2:13" x14ac:dyDescent="0.2">
      <c r="B835" t="s">
        <v>31</v>
      </c>
      <c r="C835">
        <v>45</v>
      </c>
      <c r="E835" t="s">
        <v>25</v>
      </c>
      <c r="F835">
        <v>912.92</v>
      </c>
      <c r="G835">
        <v>13.5</v>
      </c>
      <c r="K835">
        <v>0.1</v>
      </c>
      <c r="L835">
        <v>7</v>
      </c>
      <c r="M835">
        <v>88.4</v>
      </c>
    </row>
    <row r="836" spans="2:13" x14ac:dyDescent="0.2">
      <c r="C836" t="s">
        <v>27</v>
      </c>
    </row>
    <row r="837" spans="2:13" x14ac:dyDescent="0.2">
      <c r="C837" t="s">
        <v>28</v>
      </c>
      <c r="D837" t="s">
        <v>16</v>
      </c>
      <c r="E837" t="s">
        <v>29</v>
      </c>
      <c r="F837" t="s">
        <v>18</v>
      </c>
    </row>
    <row r="838" spans="2:13" x14ac:dyDescent="0.2">
      <c r="C838" t="b">
        <v>0</v>
      </c>
      <c r="D838">
        <v>850.05</v>
      </c>
      <c r="E838" t="s">
        <v>30</v>
      </c>
    </row>
    <row r="839" spans="2:13" x14ac:dyDescent="0.2">
      <c r="C839" t="b">
        <v>0</v>
      </c>
      <c r="D839">
        <v>890.06</v>
      </c>
      <c r="E839" t="s">
        <v>30</v>
      </c>
    </row>
    <row r="840" spans="2:13" x14ac:dyDescent="0.2">
      <c r="C840" t="b">
        <v>0</v>
      </c>
      <c r="D840">
        <v>700.05</v>
      </c>
      <c r="E840" t="s">
        <v>30</v>
      </c>
    </row>
    <row r="841" spans="2:13" x14ac:dyDescent="0.2">
      <c r="C841" t="b">
        <v>0</v>
      </c>
      <c r="D841">
        <v>1010.07</v>
      </c>
      <c r="E841" t="s">
        <v>30</v>
      </c>
    </row>
    <row r="842" spans="2:13" x14ac:dyDescent="0.2">
      <c r="C842" t="b">
        <v>0</v>
      </c>
      <c r="D842">
        <v>920.06</v>
      </c>
      <c r="E842" t="s">
        <v>30</v>
      </c>
    </row>
    <row r="843" spans="2:13" x14ac:dyDescent="0.2">
      <c r="C843" t="b">
        <v>0</v>
      </c>
      <c r="D843">
        <v>930.07</v>
      </c>
      <c r="E843" t="s">
        <v>30</v>
      </c>
    </row>
    <row r="844" spans="2:13" x14ac:dyDescent="0.2">
      <c r="C844" t="b">
        <v>0</v>
      </c>
      <c r="D844">
        <v>1090.08</v>
      </c>
      <c r="E844" t="s">
        <v>30</v>
      </c>
    </row>
    <row r="845" spans="2:13" x14ac:dyDescent="0.2">
      <c r="B845" t="s">
        <v>11</v>
      </c>
    </row>
    <row r="846" spans="2:13" x14ac:dyDescent="0.2">
      <c r="B846" t="s">
        <v>12</v>
      </c>
      <c r="C846" t="s">
        <v>13</v>
      </c>
      <c r="D846" t="s">
        <v>14</v>
      </c>
      <c r="E846" t="s">
        <v>15</v>
      </c>
      <c r="F846" t="s">
        <v>16</v>
      </c>
      <c r="G846" t="s">
        <v>17</v>
      </c>
      <c r="H846" t="s">
        <v>18</v>
      </c>
      <c r="I846" t="s">
        <v>19</v>
      </c>
      <c r="J846" t="s">
        <v>20</v>
      </c>
      <c r="K846" t="s">
        <v>21</v>
      </c>
      <c r="L846" t="s">
        <v>22</v>
      </c>
      <c r="M846" t="s">
        <v>23</v>
      </c>
    </row>
    <row r="847" spans="2:13" x14ac:dyDescent="0.2">
      <c r="B847" t="s">
        <v>32</v>
      </c>
      <c r="C847">
        <v>72</v>
      </c>
      <c r="E847" t="s">
        <v>25</v>
      </c>
      <c r="F847">
        <v>704.33</v>
      </c>
      <c r="G847">
        <v>15.5</v>
      </c>
      <c r="K847">
        <v>0.1</v>
      </c>
      <c r="L847">
        <v>7</v>
      </c>
      <c r="M847">
        <v>94.4</v>
      </c>
    </row>
    <row r="848" spans="2:13" x14ac:dyDescent="0.2">
      <c r="C848" t="s">
        <v>27</v>
      </c>
    </row>
    <row r="849" spans="2:13" x14ac:dyDescent="0.2">
      <c r="C849" t="s">
        <v>28</v>
      </c>
      <c r="D849" t="s">
        <v>16</v>
      </c>
      <c r="E849" t="s">
        <v>29</v>
      </c>
      <c r="F849" t="s">
        <v>18</v>
      </c>
    </row>
    <row r="850" spans="2:13" x14ac:dyDescent="0.2">
      <c r="C850" t="b">
        <v>0</v>
      </c>
      <c r="D850">
        <v>640.03</v>
      </c>
      <c r="E850" t="s">
        <v>30</v>
      </c>
    </row>
    <row r="851" spans="2:13" x14ac:dyDescent="0.2">
      <c r="C851" t="b">
        <v>0</v>
      </c>
      <c r="D851">
        <v>580.03</v>
      </c>
      <c r="E851" t="s">
        <v>30</v>
      </c>
    </row>
    <row r="852" spans="2:13" x14ac:dyDescent="0.2">
      <c r="C852" t="b">
        <v>0</v>
      </c>
      <c r="D852">
        <v>730.05</v>
      </c>
      <c r="E852" t="s">
        <v>30</v>
      </c>
    </row>
    <row r="853" spans="2:13" x14ac:dyDescent="0.2">
      <c r="C853" t="b">
        <v>0</v>
      </c>
      <c r="D853">
        <v>650.04</v>
      </c>
      <c r="E853" t="s">
        <v>30</v>
      </c>
    </row>
    <row r="854" spans="2:13" x14ac:dyDescent="0.2">
      <c r="C854" t="b">
        <v>0</v>
      </c>
      <c r="D854">
        <v>630.04</v>
      </c>
      <c r="E854" t="s">
        <v>30</v>
      </c>
    </row>
    <row r="855" spans="2:13" x14ac:dyDescent="0.2">
      <c r="C855" t="b">
        <v>0</v>
      </c>
      <c r="D855">
        <v>840.05</v>
      </c>
      <c r="E855" t="s">
        <v>30</v>
      </c>
    </row>
    <row r="856" spans="2:13" x14ac:dyDescent="0.2">
      <c r="C856" t="b">
        <v>0</v>
      </c>
      <c r="D856">
        <v>860.06</v>
      </c>
      <c r="E856" t="s">
        <v>30</v>
      </c>
    </row>
    <row r="857" spans="2:13" x14ac:dyDescent="0.2">
      <c r="B857" t="s">
        <v>11</v>
      </c>
    </row>
    <row r="858" spans="2:13" x14ac:dyDescent="0.2">
      <c r="B858" t="s">
        <v>12</v>
      </c>
      <c r="C858" t="s">
        <v>13</v>
      </c>
      <c r="D858" t="s">
        <v>14</v>
      </c>
      <c r="E858" t="s">
        <v>15</v>
      </c>
      <c r="F858" t="s">
        <v>16</v>
      </c>
      <c r="G858" t="s">
        <v>17</v>
      </c>
      <c r="H858" t="s">
        <v>18</v>
      </c>
      <c r="I858" t="s">
        <v>19</v>
      </c>
      <c r="J858" t="s">
        <v>20</v>
      </c>
      <c r="K858" t="s">
        <v>21</v>
      </c>
      <c r="L858" t="s">
        <v>22</v>
      </c>
      <c r="M858" t="s">
        <v>23</v>
      </c>
    </row>
    <row r="859" spans="2:13" x14ac:dyDescent="0.2">
      <c r="B859" t="s">
        <v>33</v>
      </c>
      <c r="C859">
        <v>89</v>
      </c>
      <c r="E859" t="s">
        <v>25</v>
      </c>
      <c r="F859">
        <v>3594.89</v>
      </c>
      <c r="G859">
        <v>9.8000000000000007</v>
      </c>
      <c r="K859">
        <v>0.1</v>
      </c>
      <c r="L859">
        <v>7</v>
      </c>
      <c r="M859">
        <v>91.1</v>
      </c>
    </row>
    <row r="860" spans="2:13" x14ac:dyDescent="0.2">
      <c r="C860" t="s">
        <v>27</v>
      </c>
    </row>
    <row r="861" spans="2:13" x14ac:dyDescent="0.2">
      <c r="C861" t="s">
        <v>28</v>
      </c>
      <c r="D861" t="s">
        <v>16</v>
      </c>
      <c r="E861" t="s">
        <v>29</v>
      </c>
      <c r="F861" t="s">
        <v>18</v>
      </c>
    </row>
    <row r="862" spans="2:13" x14ac:dyDescent="0.2">
      <c r="C862" t="b">
        <v>0</v>
      </c>
      <c r="D862">
        <v>3100.45</v>
      </c>
      <c r="E862" t="s">
        <v>30</v>
      </c>
    </row>
    <row r="863" spans="2:13" x14ac:dyDescent="0.2">
      <c r="C863" t="b">
        <v>0</v>
      </c>
      <c r="D863">
        <v>3400.52</v>
      </c>
      <c r="E863" t="s">
        <v>30</v>
      </c>
    </row>
    <row r="864" spans="2:13" x14ac:dyDescent="0.2">
      <c r="C864" t="b">
        <v>0</v>
      </c>
      <c r="D864">
        <v>3300.5</v>
      </c>
      <c r="E864" t="s">
        <v>30</v>
      </c>
    </row>
    <row r="865" spans="1:13" x14ac:dyDescent="0.2">
      <c r="C865" t="b">
        <v>0</v>
      </c>
      <c r="D865">
        <v>3800.68</v>
      </c>
      <c r="E865" t="s">
        <v>30</v>
      </c>
    </row>
    <row r="866" spans="1:13" x14ac:dyDescent="0.2">
      <c r="C866" t="b">
        <v>0</v>
      </c>
      <c r="D866">
        <v>3770.65</v>
      </c>
      <c r="E866" t="s">
        <v>30</v>
      </c>
    </row>
    <row r="867" spans="1:13" x14ac:dyDescent="0.2">
      <c r="C867" t="b">
        <v>0</v>
      </c>
      <c r="D867">
        <v>4140.78</v>
      </c>
      <c r="E867" t="s">
        <v>30</v>
      </c>
    </row>
    <row r="868" spans="1:13" x14ac:dyDescent="0.2">
      <c r="C868" t="b">
        <v>0</v>
      </c>
      <c r="D868">
        <v>3650.65</v>
      </c>
      <c r="E868" t="s">
        <v>30</v>
      </c>
    </row>
    <row r="869" spans="1:13" x14ac:dyDescent="0.2">
      <c r="A869" t="s">
        <v>0</v>
      </c>
    </row>
    <row r="870" spans="1:13" x14ac:dyDescent="0.2"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</row>
    <row r="871" spans="1:13" x14ac:dyDescent="0.2">
      <c r="B871" t="b">
        <v>0</v>
      </c>
      <c r="C871" t="s">
        <v>82</v>
      </c>
      <c r="D871" t="s">
        <v>83</v>
      </c>
      <c r="E871" t="s">
        <v>0</v>
      </c>
      <c r="G871" t="s">
        <v>84</v>
      </c>
    </row>
    <row r="872" spans="1:13" x14ac:dyDescent="0.2">
      <c r="B872" t="s">
        <v>11</v>
      </c>
    </row>
    <row r="873" spans="1:13" x14ac:dyDescent="0.2">
      <c r="B873" t="s">
        <v>12</v>
      </c>
      <c r="C873" t="s">
        <v>13</v>
      </c>
      <c r="D873" t="s">
        <v>14</v>
      </c>
      <c r="E873" t="s">
        <v>15</v>
      </c>
      <c r="F873" t="s">
        <v>16</v>
      </c>
      <c r="G873" t="s">
        <v>17</v>
      </c>
      <c r="H873" t="s">
        <v>18</v>
      </c>
      <c r="I873" t="s">
        <v>19</v>
      </c>
      <c r="J873" t="s">
        <v>20</v>
      </c>
      <c r="K873" t="s">
        <v>21</v>
      </c>
      <c r="L873" t="s">
        <v>22</v>
      </c>
      <c r="M873" t="s">
        <v>23</v>
      </c>
    </row>
    <row r="874" spans="1:13" x14ac:dyDescent="0.2">
      <c r="B874" t="s">
        <v>24</v>
      </c>
      <c r="C874">
        <v>59</v>
      </c>
      <c r="E874" t="s">
        <v>25</v>
      </c>
      <c r="F874">
        <v>18598.54</v>
      </c>
      <c r="G874">
        <v>2.5</v>
      </c>
      <c r="H874">
        <v>8.0000000000000002E-3</v>
      </c>
      <c r="I874" t="s">
        <v>26</v>
      </c>
      <c r="J874">
        <v>2.5</v>
      </c>
      <c r="K874">
        <v>0.1</v>
      </c>
      <c r="L874">
        <v>7</v>
      </c>
    </row>
    <row r="875" spans="1:13" x14ac:dyDescent="0.2">
      <c r="C875" t="s">
        <v>27</v>
      </c>
    </row>
    <row r="876" spans="1:13" x14ac:dyDescent="0.2">
      <c r="C876" t="s">
        <v>28</v>
      </c>
      <c r="D876" t="s">
        <v>16</v>
      </c>
      <c r="E876" t="s">
        <v>29</v>
      </c>
      <c r="F876" t="s">
        <v>18</v>
      </c>
    </row>
    <row r="877" spans="1:13" x14ac:dyDescent="0.2">
      <c r="C877" t="b">
        <v>0</v>
      </c>
      <c r="D877">
        <v>18632.96</v>
      </c>
      <c r="E877" t="s">
        <v>30</v>
      </c>
      <c r="F877">
        <v>8.0000000000000002E-3</v>
      </c>
    </row>
    <row r="878" spans="1:13" x14ac:dyDescent="0.2">
      <c r="C878" t="b">
        <v>0</v>
      </c>
      <c r="D878">
        <v>18152.21</v>
      </c>
      <c r="E878" t="s">
        <v>30</v>
      </c>
      <c r="F878">
        <v>8.0000000000000002E-3</v>
      </c>
    </row>
    <row r="879" spans="1:13" x14ac:dyDescent="0.2">
      <c r="C879" t="b">
        <v>0</v>
      </c>
      <c r="D879">
        <v>18502.64</v>
      </c>
      <c r="E879" t="s">
        <v>30</v>
      </c>
      <c r="F879">
        <v>8.0000000000000002E-3</v>
      </c>
    </row>
    <row r="880" spans="1:13" x14ac:dyDescent="0.2">
      <c r="C880" t="b">
        <v>0</v>
      </c>
      <c r="D880">
        <v>19393.84</v>
      </c>
      <c r="E880" t="s">
        <v>30</v>
      </c>
      <c r="F880">
        <v>8.9999999999999993E-3</v>
      </c>
    </row>
    <row r="881" spans="2:13" x14ac:dyDescent="0.2">
      <c r="C881" t="b">
        <v>0</v>
      </c>
      <c r="D881">
        <v>18993.5</v>
      </c>
      <c r="E881" t="s">
        <v>30</v>
      </c>
      <c r="F881">
        <v>8.0000000000000002E-3</v>
      </c>
    </row>
    <row r="882" spans="2:13" x14ac:dyDescent="0.2">
      <c r="C882" t="b">
        <v>0</v>
      </c>
      <c r="D882">
        <v>18102.150000000001</v>
      </c>
      <c r="E882" t="s">
        <v>30</v>
      </c>
      <c r="F882">
        <v>8.0000000000000002E-3</v>
      </c>
    </row>
    <row r="883" spans="2:13" x14ac:dyDescent="0.2">
      <c r="C883" t="b">
        <v>0</v>
      </c>
      <c r="D883">
        <v>18412.46</v>
      </c>
      <c r="E883" t="s">
        <v>30</v>
      </c>
      <c r="F883">
        <v>8.0000000000000002E-3</v>
      </c>
    </row>
    <row r="884" spans="2:13" x14ac:dyDescent="0.2">
      <c r="B884" t="s">
        <v>11</v>
      </c>
    </row>
    <row r="885" spans="2:13" x14ac:dyDescent="0.2">
      <c r="B885" t="s">
        <v>12</v>
      </c>
      <c r="C885" t="s">
        <v>13</v>
      </c>
      <c r="D885" t="s">
        <v>14</v>
      </c>
      <c r="E885" t="s">
        <v>15</v>
      </c>
      <c r="F885" t="s">
        <v>16</v>
      </c>
      <c r="G885" t="s">
        <v>17</v>
      </c>
      <c r="H885" t="s">
        <v>18</v>
      </c>
      <c r="I885" t="s">
        <v>19</v>
      </c>
      <c r="J885" t="s">
        <v>20</v>
      </c>
      <c r="K885" t="s">
        <v>21</v>
      </c>
      <c r="L885" t="s">
        <v>22</v>
      </c>
      <c r="M885" t="s">
        <v>23</v>
      </c>
    </row>
    <row r="886" spans="2:13" x14ac:dyDescent="0.2">
      <c r="B886" t="s">
        <v>31</v>
      </c>
      <c r="C886">
        <v>45</v>
      </c>
      <c r="E886" t="s">
        <v>25</v>
      </c>
      <c r="F886">
        <v>1050.08</v>
      </c>
      <c r="G886">
        <v>8.1</v>
      </c>
      <c r="K886">
        <v>0.1</v>
      </c>
      <c r="L886">
        <v>7</v>
      </c>
      <c r="M886">
        <v>101.7</v>
      </c>
    </row>
    <row r="887" spans="2:13" x14ac:dyDescent="0.2">
      <c r="C887" t="s">
        <v>27</v>
      </c>
    </row>
    <row r="888" spans="2:13" x14ac:dyDescent="0.2">
      <c r="C888" t="s">
        <v>28</v>
      </c>
      <c r="D888" t="s">
        <v>16</v>
      </c>
      <c r="E888" t="s">
        <v>29</v>
      </c>
      <c r="F888" t="s">
        <v>18</v>
      </c>
    </row>
    <row r="889" spans="2:13" x14ac:dyDescent="0.2">
      <c r="C889" t="b">
        <v>0</v>
      </c>
      <c r="D889">
        <v>940.07</v>
      </c>
      <c r="E889" t="s">
        <v>30</v>
      </c>
    </row>
    <row r="890" spans="2:13" x14ac:dyDescent="0.2">
      <c r="C890" t="b">
        <v>0</v>
      </c>
      <c r="D890">
        <v>1060.07</v>
      </c>
      <c r="E890" t="s">
        <v>30</v>
      </c>
    </row>
    <row r="891" spans="2:13" x14ac:dyDescent="0.2">
      <c r="C891" t="b">
        <v>0</v>
      </c>
      <c r="D891">
        <v>1110.0899999999999</v>
      </c>
      <c r="E891" t="s">
        <v>30</v>
      </c>
    </row>
    <row r="892" spans="2:13" x14ac:dyDescent="0.2">
      <c r="C892" t="b">
        <v>0</v>
      </c>
      <c r="D892">
        <v>1150.08</v>
      </c>
      <c r="E892" t="s">
        <v>30</v>
      </c>
    </row>
    <row r="893" spans="2:13" x14ac:dyDescent="0.2">
      <c r="C893" t="b">
        <v>0</v>
      </c>
      <c r="D893">
        <v>1110.0899999999999</v>
      </c>
      <c r="E893" t="s">
        <v>30</v>
      </c>
    </row>
    <row r="894" spans="2:13" x14ac:dyDescent="0.2">
      <c r="C894" t="b">
        <v>0</v>
      </c>
      <c r="D894">
        <v>1050.07</v>
      </c>
      <c r="E894" t="s">
        <v>30</v>
      </c>
    </row>
    <row r="895" spans="2:13" x14ac:dyDescent="0.2">
      <c r="C895" t="b">
        <v>0</v>
      </c>
      <c r="D895">
        <v>930.06</v>
      </c>
      <c r="E895" t="s">
        <v>30</v>
      </c>
    </row>
    <row r="896" spans="2:13" x14ac:dyDescent="0.2">
      <c r="B896" t="s">
        <v>11</v>
      </c>
    </row>
    <row r="897" spans="2:13" x14ac:dyDescent="0.2">
      <c r="B897" t="s">
        <v>12</v>
      </c>
      <c r="C897" t="s">
        <v>13</v>
      </c>
      <c r="D897" t="s">
        <v>14</v>
      </c>
      <c r="E897" t="s">
        <v>15</v>
      </c>
      <c r="F897" t="s">
        <v>16</v>
      </c>
      <c r="G897" t="s">
        <v>17</v>
      </c>
      <c r="H897" t="s">
        <v>18</v>
      </c>
      <c r="I897" t="s">
        <v>19</v>
      </c>
      <c r="J897" t="s">
        <v>20</v>
      </c>
      <c r="K897" t="s">
        <v>21</v>
      </c>
      <c r="L897" t="s">
        <v>22</v>
      </c>
      <c r="M897" t="s">
        <v>23</v>
      </c>
    </row>
    <row r="898" spans="2:13" x14ac:dyDescent="0.2">
      <c r="B898" t="s">
        <v>32</v>
      </c>
      <c r="C898">
        <v>72</v>
      </c>
      <c r="E898" t="s">
        <v>25</v>
      </c>
      <c r="F898">
        <v>807.2</v>
      </c>
      <c r="G898">
        <v>12.2</v>
      </c>
      <c r="K898">
        <v>0.1</v>
      </c>
      <c r="L898">
        <v>7</v>
      </c>
      <c r="M898">
        <v>108.2</v>
      </c>
    </row>
    <row r="899" spans="2:13" x14ac:dyDescent="0.2">
      <c r="C899" t="s">
        <v>27</v>
      </c>
    </row>
    <row r="900" spans="2:13" x14ac:dyDescent="0.2">
      <c r="C900" t="s">
        <v>28</v>
      </c>
      <c r="D900" t="s">
        <v>16</v>
      </c>
      <c r="E900" t="s">
        <v>29</v>
      </c>
      <c r="F900" t="s">
        <v>18</v>
      </c>
    </row>
    <row r="901" spans="2:13" x14ac:dyDescent="0.2">
      <c r="C901" t="b">
        <v>0</v>
      </c>
      <c r="D901">
        <v>770.05</v>
      </c>
      <c r="E901" t="s">
        <v>30</v>
      </c>
    </row>
    <row r="902" spans="2:13" x14ac:dyDescent="0.2">
      <c r="C902" t="b">
        <v>0</v>
      </c>
      <c r="D902">
        <v>640.04</v>
      </c>
      <c r="E902" t="s">
        <v>30</v>
      </c>
    </row>
    <row r="903" spans="2:13" x14ac:dyDescent="0.2">
      <c r="C903" t="b">
        <v>0</v>
      </c>
      <c r="D903">
        <v>800.07</v>
      </c>
      <c r="E903" t="s">
        <v>30</v>
      </c>
    </row>
    <row r="904" spans="2:13" x14ac:dyDescent="0.2">
      <c r="C904" t="b">
        <v>0</v>
      </c>
      <c r="D904">
        <v>940.07</v>
      </c>
      <c r="E904" t="s">
        <v>30</v>
      </c>
    </row>
    <row r="905" spans="2:13" x14ac:dyDescent="0.2">
      <c r="C905" t="b">
        <v>0</v>
      </c>
      <c r="D905">
        <v>910.07</v>
      </c>
      <c r="E905" t="s">
        <v>30</v>
      </c>
    </row>
    <row r="906" spans="2:13" x14ac:dyDescent="0.2">
      <c r="C906" t="b">
        <v>0</v>
      </c>
      <c r="D906">
        <v>780.05</v>
      </c>
      <c r="E906" t="s">
        <v>30</v>
      </c>
    </row>
    <row r="907" spans="2:13" x14ac:dyDescent="0.2">
      <c r="C907" t="b">
        <v>0</v>
      </c>
      <c r="D907">
        <v>810.05</v>
      </c>
      <c r="E907" t="s">
        <v>30</v>
      </c>
    </row>
    <row r="908" spans="2:13" x14ac:dyDescent="0.2">
      <c r="B908" t="s">
        <v>11</v>
      </c>
    </row>
    <row r="909" spans="2:13" x14ac:dyDescent="0.2">
      <c r="B909" t="s">
        <v>12</v>
      </c>
      <c r="C909" t="s">
        <v>13</v>
      </c>
      <c r="D909" t="s">
        <v>14</v>
      </c>
      <c r="E909" t="s">
        <v>15</v>
      </c>
      <c r="F909" t="s">
        <v>16</v>
      </c>
      <c r="G909" t="s">
        <v>17</v>
      </c>
      <c r="H909" t="s">
        <v>18</v>
      </c>
      <c r="I909" t="s">
        <v>19</v>
      </c>
      <c r="J909" t="s">
        <v>20</v>
      </c>
      <c r="K909" t="s">
        <v>21</v>
      </c>
      <c r="L909" t="s">
        <v>22</v>
      </c>
      <c r="M909" t="s">
        <v>23</v>
      </c>
    </row>
    <row r="910" spans="2:13" x14ac:dyDescent="0.2">
      <c r="B910" t="s">
        <v>33</v>
      </c>
      <c r="C910">
        <v>89</v>
      </c>
      <c r="E910" t="s">
        <v>25</v>
      </c>
      <c r="F910">
        <v>4100.7700000000004</v>
      </c>
      <c r="G910">
        <v>6.5</v>
      </c>
      <c r="K910">
        <v>0.1</v>
      </c>
      <c r="L910">
        <v>7</v>
      </c>
      <c r="M910">
        <v>103.9</v>
      </c>
    </row>
    <row r="911" spans="2:13" x14ac:dyDescent="0.2">
      <c r="C911" t="s">
        <v>27</v>
      </c>
    </row>
    <row r="912" spans="2:13" x14ac:dyDescent="0.2">
      <c r="C912" t="s">
        <v>28</v>
      </c>
      <c r="D912" t="s">
        <v>16</v>
      </c>
      <c r="E912" t="s">
        <v>29</v>
      </c>
      <c r="F912" t="s">
        <v>18</v>
      </c>
    </row>
    <row r="913" spans="1:13" x14ac:dyDescent="0.2">
      <c r="C913" t="b">
        <v>0</v>
      </c>
      <c r="D913">
        <v>3630.62</v>
      </c>
      <c r="E913" t="s">
        <v>30</v>
      </c>
    </row>
    <row r="914" spans="1:13" x14ac:dyDescent="0.2">
      <c r="C914" t="b">
        <v>0</v>
      </c>
      <c r="D914">
        <v>4010.72</v>
      </c>
      <c r="E914" t="s">
        <v>30</v>
      </c>
    </row>
    <row r="915" spans="1:13" x14ac:dyDescent="0.2">
      <c r="C915" t="b">
        <v>0</v>
      </c>
      <c r="D915">
        <v>4260.8</v>
      </c>
      <c r="E915" t="s">
        <v>30</v>
      </c>
    </row>
    <row r="916" spans="1:13" x14ac:dyDescent="0.2">
      <c r="C916" t="b">
        <v>0</v>
      </c>
      <c r="D916">
        <v>4430.9399999999996</v>
      </c>
      <c r="E916" t="s">
        <v>30</v>
      </c>
    </row>
    <row r="917" spans="1:13" x14ac:dyDescent="0.2">
      <c r="C917" t="b">
        <v>0</v>
      </c>
      <c r="D917">
        <v>4070.74</v>
      </c>
      <c r="E917" t="s">
        <v>30</v>
      </c>
    </row>
    <row r="918" spans="1:13" x14ac:dyDescent="0.2">
      <c r="C918" t="b">
        <v>0</v>
      </c>
      <c r="D918">
        <v>3990.71</v>
      </c>
      <c r="E918" t="s">
        <v>30</v>
      </c>
    </row>
    <row r="919" spans="1:13" x14ac:dyDescent="0.2">
      <c r="C919" t="b">
        <v>0</v>
      </c>
      <c r="D919">
        <v>4310.83</v>
      </c>
      <c r="E919" t="s">
        <v>30</v>
      </c>
    </row>
    <row r="920" spans="1:13" x14ac:dyDescent="0.2">
      <c r="A920" t="s">
        <v>0</v>
      </c>
    </row>
    <row r="921" spans="1:13" x14ac:dyDescent="0.2"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</row>
    <row r="922" spans="1:13" x14ac:dyDescent="0.2">
      <c r="B922" t="b">
        <v>0</v>
      </c>
      <c r="C922" t="s">
        <v>85</v>
      </c>
      <c r="D922" t="s">
        <v>86</v>
      </c>
      <c r="E922" t="s">
        <v>0</v>
      </c>
      <c r="G922" t="s">
        <v>87</v>
      </c>
    </row>
    <row r="923" spans="1:13" x14ac:dyDescent="0.2">
      <c r="B923" t="s">
        <v>11</v>
      </c>
    </row>
    <row r="924" spans="1:13" x14ac:dyDescent="0.2">
      <c r="B924" t="s">
        <v>12</v>
      </c>
      <c r="C924" t="s">
        <v>13</v>
      </c>
      <c r="D924" t="s">
        <v>14</v>
      </c>
      <c r="E924" t="s">
        <v>15</v>
      </c>
      <c r="F924" t="s">
        <v>16</v>
      </c>
      <c r="G924" t="s">
        <v>17</v>
      </c>
      <c r="H924" t="s">
        <v>18</v>
      </c>
      <c r="I924" t="s">
        <v>19</v>
      </c>
      <c r="J924" t="s">
        <v>20</v>
      </c>
      <c r="K924" t="s">
        <v>21</v>
      </c>
      <c r="L924" t="s">
        <v>22</v>
      </c>
      <c r="M924" t="s">
        <v>23</v>
      </c>
    </row>
    <row r="925" spans="1:13" x14ac:dyDescent="0.2">
      <c r="B925" t="s">
        <v>24</v>
      </c>
      <c r="C925">
        <v>59</v>
      </c>
      <c r="E925" t="s">
        <v>25</v>
      </c>
      <c r="F925">
        <v>19913.25</v>
      </c>
      <c r="G925">
        <v>2.8</v>
      </c>
      <c r="H925">
        <v>8.9999999999999993E-3</v>
      </c>
      <c r="I925" t="s">
        <v>26</v>
      </c>
      <c r="J925">
        <v>2.8</v>
      </c>
      <c r="K925">
        <v>0.1</v>
      </c>
      <c r="L925">
        <v>7</v>
      </c>
    </row>
    <row r="926" spans="1:13" x14ac:dyDescent="0.2">
      <c r="C926" t="s">
        <v>27</v>
      </c>
    </row>
    <row r="927" spans="1:13" x14ac:dyDescent="0.2">
      <c r="C927" t="s">
        <v>28</v>
      </c>
      <c r="D927" t="s">
        <v>16</v>
      </c>
      <c r="E927" t="s">
        <v>29</v>
      </c>
      <c r="F927" t="s">
        <v>18</v>
      </c>
    </row>
    <row r="928" spans="1:13" x14ac:dyDescent="0.2">
      <c r="C928" t="b">
        <v>0</v>
      </c>
      <c r="D928">
        <v>20705.82</v>
      </c>
      <c r="E928" t="s">
        <v>30</v>
      </c>
      <c r="F928">
        <v>8.9999999999999993E-3</v>
      </c>
    </row>
    <row r="929" spans="2:13" x14ac:dyDescent="0.2">
      <c r="C929" t="b">
        <v>0</v>
      </c>
      <c r="D929">
        <v>18983.45</v>
      </c>
      <c r="E929" t="s">
        <v>30</v>
      </c>
      <c r="F929">
        <v>8.0000000000000002E-3</v>
      </c>
    </row>
    <row r="930" spans="2:13" x14ac:dyDescent="0.2">
      <c r="C930" t="b">
        <v>0</v>
      </c>
      <c r="D930">
        <v>20135.080000000002</v>
      </c>
      <c r="E930" t="s">
        <v>30</v>
      </c>
      <c r="F930">
        <v>8.9999999999999993E-3</v>
      </c>
    </row>
    <row r="931" spans="2:13" x14ac:dyDescent="0.2">
      <c r="C931" t="b">
        <v>0</v>
      </c>
      <c r="D931">
        <v>20074.97</v>
      </c>
      <c r="E931" t="s">
        <v>30</v>
      </c>
      <c r="F931">
        <v>8.9999999999999993E-3</v>
      </c>
    </row>
    <row r="932" spans="2:13" x14ac:dyDescent="0.2">
      <c r="C932" t="b">
        <v>0</v>
      </c>
      <c r="D932">
        <v>19954.48</v>
      </c>
      <c r="E932" t="s">
        <v>30</v>
      </c>
      <c r="F932">
        <v>8.9999999999999993E-3</v>
      </c>
    </row>
    <row r="933" spans="2:13" x14ac:dyDescent="0.2">
      <c r="C933" t="b">
        <v>0</v>
      </c>
      <c r="D933">
        <v>19413.900000000001</v>
      </c>
      <c r="E933" t="s">
        <v>30</v>
      </c>
      <c r="F933">
        <v>8.9999999999999993E-3</v>
      </c>
    </row>
    <row r="934" spans="2:13" x14ac:dyDescent="0.2">
      <c r="C934" t="b">
        <v>0</v>
      </c>
      <c r="D934">
        <v>20125.04</v>
      </c>
      <c r="E934" t="s">
        <v>30</v>
      </c>
      <c r="F934">
        <v>8.9999999999999993E-3</v>
      </c>
    </row>
    <row r="935" spans="2:13" x14ac:dyDescent="0.2">
      <c r="B935" t="s">
        <v>11</v>
      </c>
    </row>
    <row r="936" spans="2:13" x14ac:dyDescent="0.2">
      <c r="B936" t="s">
        <v>12</v>
      </c>
      <c r="C936" t="s">
        <v>13</v>
      </c>
      <c r="D936" t="s">
        <v>14</v>
      </c>
      <c r="E936" t="s">
        <v>15</v>
      </c>
      <c r="F936" t="s">
        <v>16</v>
      </c>
      <c r="G936" t="s">
        <v>17</v>
      </c>
      <c r="H936" t="s">
        <v>18</v>
      </c>
      <c r="I936" t="s">
        <v>19</v>
      </c>
      <c r="J936" t="s">
        <v>20</v>
      </c>
      <c r="K936" t="s">
        <v>21</v>
      </c>
      <c r="L936" t="s">
        <v>22</v>
      </c>
      <c r="M936" t="s">
        <v>23</v>
      </c>
    </row>
    <row r="937" spans="2:13" x14ac:dyDescent="0.2">
      <c r="B937" t="s">
        <v>31</v>
      </c>
      <c r="C937">
        <v>45</v>
      </c>
      <c r="E937" t="s">
        <v>25</v>
      </c>
      <c r="F937">
        <v>951.49</v>
      </c>
      <c r="G937">
        <v>14.3</v>
      </c>
      <c r="K937">
        <v>0.1</v>
      </c>
      <c r="L937">
        <v>7</v>
      </c>
      <c r="M937">
        <v>92.1</v>
      </c>
    </row>
    <row r="938" spans="2:13" x14ac:dyDescent="0.2">
      <c r="C938" t="s">
        <v>27</v>
      </c>
    </row>
    <row r="939" spans="2:13" x14ac:dyDescent="0.2">
      <c r="C939" t="s">
        <v>28</v>
      </c>
      <c r="D939" t="s">
        <v>16</v>
      </c>
      <c r="E939" t="s">
        <v>29</v>
      </c>
      <c r="F939" t="s">
        <v>18</v>
      </c>
    </row>
    <row r="940" spans="2:13" x14ac:dyDescent="0.2">
      <c r="C940" t="b">
        <v>0</v>
      </c>
      <c r="D940">
        <v>810.05</v>
      </c>
      <c r="E940" t="s">
        <v>30</v>
      </c>
    </row>
    <row r="941" spans="2:13" x14ac:dyDescent="0.2">
      <c r="C941" t="b">
        <v>0</v>
      </c>
      <c r="D941">
        <v>980.07</v>
      </c>
      <c r="E941" t="s">
        <v>30</v>
      </c>
    </row>
    <row r="942" spans="2:13" x14ac:dyDescent="0.2">
      <c r="C942" t="b">
        <v>0</v>
      </c>
      <c r="D942">
        <v>780.05</v>
      </c>
      <c r="E942" t="s">
        <v>30</v>
      </c>
    </row>
    <row r="943" spans="2:13" x14ac:dyDescent="0.2">
      <c r="C943" t="b">
        <v>0</v>
      </c>
      <c r="D943">
        <v>870.06</v>
      </c>
      <c r="E943" t="s">
        <v>30</v>
      </c>
    </row>
    <row r="944" spans="2:13" x14ac:dyDescent="0.2">
      <c r="C944" t="b">
        <v>0</v>
      </c>
      <c r="D944">
        <v>1150.08</v>
      </c>
      <c r="E944" t="s">
        <v>30</v>
      </c>
    </row>
    <row r="945" spans="2:13" x14ac:dyDescent="0.2">
      <c r="C945" t="b">
        <v>0</v>
      </c>
      <c r="D945">
        <v>1060.07</v>
      </c>
      <c r="E945" t="s">
        <v>30</v>
      </c>
    </row>
    <row r="946" spans="2:13" x14ac:dyDescent="0.2">
      <c r="C946" t="b">
        <v>0</v>
      </c>
      <c r="D946">
        <v>1010.07</v>
      </c>
      <c r="E946" t="s">
        <v>30</v>
      </c>
    </row>
    <row r="947" spans="2:13" x14ac:dyDescent="0.2">
      <c r="B947" t="s">
        <v>11</v>
      </c>
    </row>
    <row r="948" spans="2:13" x14ac:dyDescent="0.2">
      <c r="B948" t="s">
        <v>12</v>
      </c>
      <c r="C948" t="s">
        <v>13</v>
      </c>
      <c r="D948" t="s">
        <v>14</v>
      </c>
      <c r="E948" t="s">
        <v>15</v>
      </c>
      <c r="F948" t="s">
        <v>16</v>
      </c>
      <c r="G948" t="s">
        <v>17</v>
      </c>
      <c r="H948" t="s">
        <v>18</v>
      </c>
      <c r="I948" t="s">
        <v>19</v>
      </c>
      <c r="J948" t="s">
        <v>20</v>
      </c>
      <c r="K948" t="s">
        <v>21</v>
      </c>
      <c r="L948" t="s">
        <v>22</v>
      </c>
      <c r="M948" t="s">
        <v>23</v>
      </c>
    </row>
    <row r="949" spans="2:13" x14ac:dyDescent="0.2">
      <c r="B949" t="s">
        <v>32</v>
      </c>
      <c r="C949">
        <v>72</v>
      </c>
      <c r="E949" t="s">
        <v>25</v>
      </c>
      <c r="F949">
        <v>824.34</v>
      </c>
      <c r="G949">
        <v>13.5</v>
      </c>
      <c r="K949">
        <v>0.1</v>
      </c>
      <c r="L949">
        <v>7</v>
      </c>
      <c r="M949">
        <v>110.5</v>
      </c>
    </row>
    <row r="950" spans="2:13" x14ac:dyDescent="0.2">
      <c r="C950" t="s">
        <v>27</v>
      </c>
    </row>
    <row r="951" spans="2:13" x14ac:dyDescent="0.2">
      <c r="C951" t="s">
        <v>28</v>
      </c>
      <c r="D951" t="s">
        <v>16</v>
      </c>
      <c r="E951" t="s">
        <v>29</v>
      </c>
      <c r="F951" t="s">
        <v>18</v>
      </c>
    </row>
    <row r="952" spans="2:13" x14ac:dyDescent="0.2">
      <c r="C952" t="b">
        <v>0</v>
      </c>
      <c r="D952">
        <v>860.06</v>
      </c>
      <c r="E952" t="s">
        <v>30</v>
      </c>
    </row>
    <row r="953" spans="2:13" x14ac:dyDescent="0.2">
      <c r="C953" t="b">
        <v>0</v>
      </c>
      <c r="D953">
        <v>780.05</v>
      </c>
      <c r="E953" t="s">
        <v>30</v>
      </c>
    </row>
    <row r="954" spans="2:13" x14ac:dyDescent="0.2">
      <c r="C954" t="b">
        <v>0</v>
      </c>
      <c r="D954">
        <v>810.05</v>
      </c>
      <c r="E954" t="s">
        <v>30</v>
      </c>
    </row>
    <row r="955" spans="2:13" x14ac:dyDescent="0.2">
      <c r="C955" t="b">
        <v>0</v>
      </c>
      <c r="D955">
        <v>600.03</v>
      </c>
      <c r="E955" t="s">
        <v>30</v>
      </c>
    </row>
    <row r="956" spans="2:13" x14ac:dyDescent="0.2">
      <c r="C956" t="b">
        <v>0</v>
      </c>
      <c r="D956">
        <v>910.07</v>
      </c>
      <c r="E956" t="s">
        <v>30</v>
      </c>
    </row>
    <row r="957" spans="2:13" x14ac:dyDescent="0.2">
      <c r="C957" t="b">
        <v>0</v>
      </c>
      <c r="D957">
        <v>920.06</v>
      </c>
      <c r="E957" t="s">
        <v>30</v>
      </c>
    </row>
    <row r="958" spans="2:13" x14ac:dyDescent="0.2">
      <c r="C958" t="b">
        <v>0</v>
      </c>
      <c r="D958">
        <v>890.06</v>
      </c>
      <c r="E958" t="s">
        <v>30</v>
      </c>
    </row>
    <row r="959" spans="2:13" x14ac:dyDescent="0.2">
      <c r="B959" t="s">
        <v>11</v>
      </c>
    </row>
    <row r="960" spans="2:13" x14ac:dyDescent="0.2">
      <c r="B960" t="s">
        <v>12</v>
      </c>
      <c r="C960" t="s">
        <v>13</v>
      </c>
      <c r="D960" t="s">
        <v>14</v>
      </c>
      <c r="E960" t="s">
        <v>15</v>
      </c>
      <c r="F960" t="s">
        <v>16</v>
      </c>
      <c r="G960" t="s">
        <v>17</v>
      </c>
      <c r="H960" t="s">
        <v>18</v>
      </c>
      <c r="I960" t="s">
        <v>19</v>
      </c>
      <c r="J960" t="s">
        <v>20</v>
      </c>
      <c r="K960" t="s">
        <v>21</v>
      </c>
      <c r="L960" t="s">
        <v>22</v>
      </c>
      <c r="M960" t="s">
        <v>23</v>
      </c>
    </row>
    <row r="961" spans="1:13" x14ac:dyDescent="0.2">
      <c r="B961" t="s">
        <v>33</v>
      </c>
      <c r="C961">
        <v>89</v>
      </c>
      <c r="E961" t="s">
        <v>25</v>
      </c>
      <c r="F961">
        <v>4255.1099999999997</v>
      </c>
      <c r="G961">
        <v>3.6</v>
      </c>
      <c r="K961">
        <v>0.1</v>
      </c>
      <c r="L961">
        <v>7</v>
      </c>
      <c r="M961">
        <v>107.9</v>
      </c>
    </row>
    <row r="962" spans="1:13" x14ac:dyDescent="0.2">
      <c r="C962" t="s">
        <v>27</v>
      </c>
    </row>
    <row r="963" spans="1:13" x14ac:dyDescent="0.2">
      <c r="C963" t="s">
        <v>28</v>
      </c>
      <c r="D963" t="s">
        <v>16</v>
      </c>
      <c r="E963" t="s">
        <v>29</v>
      </c>
      <c r="F963" t="s">
        <v>18</v>
      </c>
    </row>
    <row r="964" spans="1:13" x14ac:dyDescent="0.2">
      <c r="C964" t="b">
        <v>0</v>
      </c>
      <c r="D964">
        <v>4110.78</v>
      </c>
      <c r="E964" t="s">
        <v>30</v>
      </c>
    </row>
    <row r="965" spans="1:13" x14ac:dyDescent="0.2">
      <c r="C965" t="b">
        <v>0</v>
      </c>
      <c r="D965">
        <v>4120.8</v>
      </c>
      <c r="E965" t="s">
        <v>30</v>
      </c>
    </row>
    <row r="966" spans="1:13" x14ac:dyDescent="0.2">
      <c r="C966" t="b">
        <v>0</v>
      </c>
      <c r="D966">
        <v>4450.93</v>
      </c>
      <c r="E966" t="s">
        <v>30</v>
      </c>
    </row>
    <row r="967" spans="1:13" x14ac:dyDescent="0.2">
      <c r="C967" t="b">
        <v>0</v>
      </c>
      <c r="D967">
        <v>4440.88</v>
      </c>
      <c r="E967" t="s">
        <v>30</v>
      </c>
    </row>
    <row r="968" spans="1:13" x14ac:dyDescent="0.2">
      <c r="C968" t="b">
        <v>0</v>
      </c>
      <c r="D968">
        <v>4310.82</v>
      </c>
      <c r="E968" t="s">
        <v>30</v>
      </c>
    </row>
    <row r="969" spans="1:13" x14ac:dyDescent="0.2">
      <c r="C969" t="b">
        <v>0</v>
      </c>
      <c r="D969">
        <v>4100.75</v>
      </c>
      <c r="E969" t="s">
        <v>30</v>
      </c>
    </row>
    <row r="970" spans="1:13" x14ac:dyDescent="0.2">
      <c r="C970" t="b">
        <v>0</v>
      </c>
      <c r="D970">
        <v>4250.8100000000004</v>
      </c>
      <c r="E970" t="s">
        <v>30</v>
      </c>
    </row>
    <row r="971" spans="1:13" x14ac:dyDescent="0.2">
      <c r="A971" t="s">
        <v>0</v>
      </c>
    </row>
    <row r="972" spans="1:13" x14ac:dyDescent="0.2"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</row>
    <row r="973" spans="1:13" x14ac:dyDescent="0.2">
      <c r="B973" t="b">
        <v>0</v>
      </c>
      <c r="C973" t="s">
        <v>88</v>
      </c>
      <c r="D973" t="s">
        <v>89</v>
      </c>
      <c r="E973" t="s">
        <v>0</v>
      </c>
      <c r="G973" t="s">
        <v>90</v>
      </c>
    </row>
    <row r="974" spans="1:13" x14ac:dyDescent="0.2">
      <c r="B974" t="s">
        <v>11</v>
      </c>
    </row>
    <row r="975" spans="1:13" x14ac:dyDescent="0.2">
      <c r="B975" t="s">
        <v>12</v>
      </c>
      <c r="C975" t="s">
        <v>13</v>
      </c>
      <c r="D975" t="s">
        <v>14</v>
      </c>
      <c r="E975" t="s">
        <v>15</v>
      </c>
      <c r="F975" t="s">
        <v>16</v>
      </c>
      <c r="G975" t="s">
        <v>17</v>
      </c>
      <c r="H975" t="s">
        <v>18</v>
      </c>
      <c r="I975" t="s">
        <v>19</v>
      </c>
      <c r="J975" t="s">
        <v>20</v>
      </c>
      <c r="K975" t="s">
        <v>21</v>
      </c>
      <c r="L975" t="s">
        <v>22</v>
      </c>
      <c r="M975" t="s">
        <v>23</v>
      </c>
    </row>
    <row r="976" spans="1:13" x14ac:dyDescent="0.2">
      <c r="B976" t="s">
        <v>24</v>
      </c>
      <c r="C976">
        <v>59</v>
      </c>
      <c r="E976" t="s">
        <v>25</v>
      </c>
      <c r="F976">
        <v>18575.59</v>
      </c>
      <c r="G976">
        <v>2</v>
      </c>
      <c r="H976">
        <v>8.0000000000000002E-3</v>
      </c>
      <c r="I976" t="s">
        <v>26</v>
      </c>
      <c r="J976">
        <v>2</v>
      </c>
      <c r="K976">
        <v>0.1</v>
      </c>
      <c r="L976">
        <v>7</v>
      </c>
    </row>
    <row r="977" spans="2:13" x14ac:dyDescent="0.2">
      <c r="C977" t="s">
        <v>27</v>
      </c>
    </row>
    <row r="978" spans="2:13" x14ac:dyDescent="0.2">
      <c r="C978" t="s">
        <v>28</v>
      </c>
      <c r="D978" t="s">
        <v>16</v>
      </c>
      <c r="E978" t="s">
        <v>29</v>
      </c>
      <c r="F978" t="s">
        <v>18</v>
      </c>
    </row>
    <row r="979" spans="2:13" x14ac:dyDescent="0.2">
      <c r="C979" t="b">
        <v>0</v>
      </c>
      <c r="D979">
        <v>18793.03</v>
      </c>
      <c r="E979" t="s">
        <v>30</v>
      </c>
      <c r="F979">
        <v>8.0000000000000002E-3</v>
      </c>
    </row>
    <row r="980" spans="2:13" x14ac:dyDescent="0.2">
      <c r="C980" t="b">
        <v>0</v>
      </c>
      <c r="D980">
        <v>18562.72</v>
      </c>
      <c r="E980" t="s">
        <v>30</v>
      </c>
      <c r="F980">
        <v>8.0000000000000002E-3</v>
      </c>
    </row>
    <row r="981" spans="2:13" x14ac:dyDescent="0.2">
      <c r="C981" t="b">
        <v>0</v>
      </c>
      <c r="D981">
        <v>18883.12</v>
      </c>
      <c r="E981" t="s">
        <v>30</v>
      </c>
      <c r="F981">
        <v>8.0000000000000002E-3</v>
      </c>
    </row>
    <row r="982" spans="2:13" x14ac:dyDescent="0.2">
      <c r="C982" t="b">
        <v>0</v>
      </c>
      <c r="D982">
        <v>19103.43</v>
      </c>
      <c r="E982" t="s">
        <v>30</v>
      </c>
      <c r="F982">
        <v>8.0000000000000002E-3</v>
      </c>
    </row>
    <row r="983" spans="2:13" x14ac:dyDescent="0.2">
      <c r="C983" t="b">
        <v>0</v>
      </c>
      <c r="D983">
        <v>18322.3</v>
      </c>
      <c r="E983" t="s">
        <v>30</v>
      </c>
      <c r="F983">
        <v>8.0000000000000002E-3</v>
      </c>
    </row>
    <row r="984" spans="2:13" x14ac:dyDescent="0.2">
      <c r="C984" t="b">
        <v>0</v>
      </c>
      <c r="D984">
        <v>18222.34</v>
      </c>
      <c r="E984" t="s">
        <v>30</v>
      </c>
      <c r="F984">
        <v>8.0000000000000002E-3</v>
      </c>
    </row>
    <row r="985" spans="2:13" x14ac:dyDescent="0.2">
      <c r="C985" t="b">
        <v>0</v>
      </c>
      <c r="D985">
        <v>18142.22</v>
      </c>
      <c r="E985" t="s">
        <v>30</v>
      </c>
      <c r="F985">
        <v>8.0000000000000002E-3</v>
      </c>
    </row>
    <row r="986" spans="2:13" x14ac:dyDescent="0.2">
      <c r="B986" t="s">
        <v>11</v>
      </c>
    </row>
    <row r="987" spans="2:13" x14ac:dyDescent="0.2">
      <c r="B987" t="s">
        <v>12</v>
      </c>
      <c r="C987" t="s">
        <v>13</v>
      </c>
      <c r="D987" t="s">
        <v>14</v>
      </c>
      <c r="E987" t="s">
        <v>15</v>
      </c>
      <c r="F987" t="s">
        <v>16</v>
      </c>
      <c r="G987" t="s">
        <v>17</v>
      </c>
      <c r="H987" t="s">
        <v>18</v>
      </c>
      <c r="I987" t="s">
        <v>19</v>
      </c>
      <c r="J987" t="s">
        <v>20</v>
      </c>
      <c r="K987" t="s">
        <v>21</v>
      </c>
      <c r="L987" t="s">
        <v>22</v>
      </c>
      <c r="M987" t="s">
        <v>23</v>
      </c>
    </row>
    <row r="988" spans="2:13" x14ac:dyDescent="0.2">
      <c r="B988" t="s">
        <v>31</v>
      </c>
      <c r="C988">
        <v>45</v>
      </c>
      <c r="E988" t="s">
        <v>25</v>
      </c>
      <c r="F988">
        <v>885.77</v>
      </c>
      <c r="G988">
        <v>9.1</v>
      </c>
      <c r="K988">
        <v>0.1</v>
      </c>
      <c r="L988">
        <v>7</v>
      </c>
      <c r="M988">
        <v>85.8</v>
      </c>
    </row>
    <row r="989" spans="2:13" x14ac:dyDescent="0.2">
      <c r="C989" t="s">
        <v>27</v>
      </c>
    </row>
    <row r="990" spans="2:13" x14ac:dyDescent="0.2">
      <c r="C990" t="s">
        <v>28</v>
      </c>
      <c r="D990" t="s">
        <v>16</v>
      </c>
      <c r="E990" t="s">
        <v>29</v>
      </c>
      <c r="F990" t="s">
        <v>18</v>
      </c>
    </row>
    <row r="991" spans="2:13" x14ac:dyDescent="0.2">
      <c r="C991" t="b">
        <v>0</v>
      </c>
      <c r="D991">
        <v>910.06</v>
      </c>
      <c r="E991" t="s">
        <v>30</v>
      </c>
    </row>
    <row r="992" spans="2:13" x14ac:dyDescent="0.2">
      <c r="C992" t="b">
        <v>0</v>
      </c>
      <c r="D992">
        <v>990.06</v>
      </c>
      <c r="E992" t="s">
        <v>30</v>
      </c>
    </row>
    <row r="993" spans="2:13" x14ac:dyDescent="0.2">
      <c r="C993" t="b">
        <v>0</v>
      </c>
      <c r="D993">
        <v>960.07</v>
      </c>
      <c r="E993" t="s">
        <v>30</v>
      </c>
    </row>
    <row r="994" spans="2:13" x14ac:dyDescent="0.2">
      <c r="C994" t="b">
        <v>0</v>
      </c>
      <c r="D994">
        <v>750.04</v>
      </c>
      <c r="E994" t="s">
        <v>30</v>
      </c>
    </row>
    <row r="995" spans="2:13" x14ac:dyDescent="0.2">
      <c r="C995" t="b">
        <v>0</v>
      </c>
      <c r="D995">
        <v>830.06</v>
      </c>
      <c r="E995" t="s">
        <v>30</v>
      </c>
    </row>
    <row r="996" spans="2:13" x14ac:dyDescent="0.2">
      <c r="C996" t="b">
        <v>0</v>
      </c>
      <c r="D996">
        <v>870.06</v>
      </c>
      <c r="E996" t="s">
        <v>30</v>
      </c>
    </row>
    <row r="997" spans="2:13" x14ac:dyDescent="0.2">
      <c r="C997" t="b">
        <v>0</v>
      </c>
      <c r="D997">
        <v>890.06</v>
      </c>
      <c r="E997" t="s">
        <v>30</v>
      </c>
    </row>
    <row r="998" spans="2:13" x14ac:dyDescent="0.2">
      <c r="B998" t="s">
        <v>11</v>
      </c>
    </row>
    <row r="999" spans="2:13" x14ac:dyDescent="0.2">
      <c r="B999" t="s">
        <v>12</v>
      </c>
      <c r="C999" t="s">
        <v>13</v>
      </c>
      <c r="D999" t="s">
        <v>14</v>
      </c>
      <c r="E999" t="s">
        <v>15</v>
      </c>
      <c r="F999" t="s">
        <v>16</v>
      </c>
      <c r="G999" t="s">
        <v>17</v>
      </c>
      <c r="H999" t="s">
        <v>18</v>
      </c>
      <c r="I999" t="s">
        <v>19</v>
      </c>
      <c r="J999" t="s">
        <v>20</v>
      </c>
      <c r="K999" t="s">
        <v>21</v>
      </c>
      <c r="L999" t="s">
        <v>22</v>
      </c>
      <c r="M999" t="s">
        <v>23</v>
      </c>
    </row>
    <row r="1000" spans="2:13" x14ac:dyDescent="0.2">
      <c r="B1000" t="s">
        <v>32</v>
      </c>
      <c r="C1000">
        <v>72</v>
      </c>
      <c r="E1000" t="s">
        <v>25</v>
      </c>
      <c r="F1000">
        <v>721.47</v>
      </c>
      <c r="G1000">
        <v>12.3</v>
      </c>
      <c r="K1000">
        <v>0.1</v>
      </c>
      <c r="L1000">
        <v>7</v>
      </c>
      <c r="M1000">
        <v>96.7</v>
      </c>
    </row>
    <row r="1001" spans="2:13" x14ac:dyDescent="0.2">
      <c r="C1001" t="s">
        <v>27</v>
      </c>
    </row>
    <row r="1002" spans="2:13" x14ac:dyDescent="0.2">
      <c r="C1002" t="s">
        <v>28</v>
      </c>
      <c r="D1002" t="s">
        <v>16</v>
      </c>
      <c r="E1002" t="s">
        <v>29</v>
      </c>
      <c r="F1002" t="s">
        <v>18</v>
      </c>
    </row>
    <row r="1003" spans="2:13" x14ac:dyDescent="0.2">
      <c r="C1003" t="b">
        <v>0</v>
      </c>
      <c r="D1003">
        <v>580.03</v>
      </c>
      <c r="E1003" t="s">
        <v>30</v>
      </c>
    </row>
    <row r="1004" spans="2:13" x14ac:dyDescent="0.2">
      <c r="C1004" t="b">
        <v>0</v>
      </c>
      <c r="D1004">
        <v>660.04</v>
      </c>
      <c r="E1004" t="s">
        <v>30</v>
      </c>
    </row>
    <row r="1005" spans="2:13" x14ac:dyDescent="0.2">
      <c r="C1005" t="b">
        <v>0</v>
      </c>
      <c r="D1005">
        <v>860.06</v>
      </c>
      <c r="E1005" t="s">
        <v>30</v>
      </c>
    </row>
    <row r="1006" spans="2:13" x14ac:dyDescent="0.2">
      <c r="C1006" t="b">
        <v>0</v>
      </c>
      <c r="D1006">
        <v>740.05</v>
      </c>
      <c r="E1006" t="s">
        <v>30</v>
      </c>
    </row>
    <row r="1007" spans="2:13" x14ac:dyDescent="0.2">
      <c r="C1007" t="b">
        <v>0</v>
      </c>
      <c r="D1007">
        <v>760.04</v>
      </c>
      <c r="E1007" t="s">
        <v>30</v>
      </c>
    </row>
    <row r="1008" spans="2:13" x14ac:dyDescent="0.2">
      <c r="C1008" t="b">
        <v>0</v>
      </c>
      <c r="D1008">
        <v>690.04</v>
      </c>
      <c r="E1008" t="s">
        <v>30</v>
      </c>
    </row>
    <row r="1009" spans="1:13" x14ac:dyDescent="0.2">
      <c r="C1009" t="b">
        <v>0</v>
      </c>
      <c r="D1009">
        <v>760.04</v>
      </c>
      <c r="E1009" t="s">
        <v>30</v>
      </c>
    </row>
    <row r="1010" spans="1:13" x14ac:dyDescent="0.2">
      <c r="B1010" t="s">
        <v>11</v>
      </c>
    </row>
    <row r="1011" spans="1:13" x14ac:dyDescent="0.2">
      <c r="B1011" t="s">
        <v>12</v>
      </c>
      <c r="C1011" t="s">
        <v>13</v>
      </c>
      <c r="D1011" t="s">
        <v>14</v>
      </c>
      <c r="E1011" t="s">
        <v>15</v>
      </c>
      <c r="F1011" t="s">
        <v>16</v>
      </c>
      <c r="G1011" t="s">
        <v>17</v>
      </c>
      <c r="H1011" t="s">
        <v>18</v>
      </c>
      <c r="I1011" t="s">
        <v>19</v>
      </c>
      <c r="J1011" t="s">
        <v>20</v>
      </c>
      <c r="K1011" t="s">
        <v>21</v>
      </c>
      <c r="L1011" t="s">
        <v>22</v>
      </c>
      <c r="M1011" t="s">
        <v>23</v>
      </c>
    </row>
    <row r="1012" spans="1:13" x14ac:dyDescent="0.2">
      <c r="B1012" t="s">
        <v>33</v>
      </c>
      <c r="C1012">
        <v>89</v>
      </c>
      <c r="E1012" t="s">
        <v>25</v>
      </c>
      <c r="F1012">
        <v>3660.63</v>
      </c>
      <c r="G1012">
        <v>7.8</v>
      </c>
      <c r="K1012">
        <v>0.1</v>
      </c>
      <c r="L1012">
        <v>7</v>
      </c>
      <c r="M1012">
        <v>92.8</v>
      </c>
    </row>
    <row r="1013" spans="1:13" x14ac:dyDescent="0.2">
      <c r="C1013" t="s">
        <v>27</v>
      </c>
    </row>
    <row r="1014" spans="1:13" x14ac:dyDescent="0.2">
      <c r="C1014" t="s">
        <v>28</v>
      </c>
      <c r="D1014" t="s">
        <v>16</v>
      </c>
      <c r="E1014" t="s">
        <v>29</v>
      </c>
      <c r="F1014" t="s">
        <v>18</v>
      </c>
    </row>
    <row r="1015" spans="1:13" x14ac:dyDescent="0.2">
      <c r="C1015" t="b">
        <v>0</v>
      </c>
      <c r="D1015">
        <v>3350.52</v>
      </c>
      <c r="E1015" t="s">
        <v>30</v>
      </c>
    </row>
    <row r="1016" spans="1:13" x14ac:dyDescent="0.2">
      <c r="C1016" t="b">
        <v>0</v>
      </c>
      <c r="D1016">
        <v>3780.64</v>
      </c>
      <c r="E1016" t="s">
        <v>30</v>
      </c>
    </row>
    <row r="1017" spans="1:13" x14ac:dyDescent="0.2">
      <c r="C1017" t="b">
        <v>0</v>
      </c>
      <c r="D1017">
        <v>3210.51</v>
      </c>
      <c r="E1017" t="s">
        <v>30</v>
      </c>
    </row>
    <row r="1018" spans="1:13" x14ac:dyDescent="0.2">
      <c r="C1018" t="b">
        <v>0</v>
      </c>
      <c r="D1018">
        <v>3620.6</v>
      </c>
      <c r="E1018" t="s">
        <v>30</v>
      </c>
    </row>
    <row r="1019" spans="1:13" x14ac:dyDescent="0.2">
      <c r="C1019" t="b">
        <v>0</v>
      </c>
      <c r="D1019">
        <v>4000.76</v>
      </c>
      <c r="E1019" t="s">
        <v>30</v>
      </c>
    </row>
    <row r="1020" spans="1:13" x14ac:dyDescent="0.2">
      <c r="C1020" t="b">
        <v>0</v>
      </c>
      <c r="D1020">
        <v>3800.67</v>
      </c>
      <c r="E1020" t="s">
        <v>30</v>
      </c>
    </row>
    <row r="1021" spans="1:13" x14ac:dyDescent="0.2">
      <c r="C1021" t="b">
        <v>0</v>
      </c>
      <c r="D1021">
        <v>3860.68</v>
      </c>
      <c r="E1021" t="s">
        <v>30</v>
      </c>
    </row>
    <row r="1022" spans="1:13" x14ac:dyDescent="0.2">
      <c r="A1022" t="s">
        <v>0</v>
      </c>
    </row>
    <row r="1023" spans="1:13" x14ac:dyDescent="0.2"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</row>
    <row r="1024" spans="1:13" x14ac:dyDescent="0.2">
      <c r="B1024" t="b">
        <v>0</v>
      </c>
      <c r="C1024" t="s">
        <v>91</v>
      </c>
      <c r="D1024" t="s">
        <v>92</v>
      </c>
      <c r="E1024" t="s">
        <v>0</v>
      </c>
      <c r="G1024" t="s">
        <v>93</v>
      </c>
    </row>
    <row r="1025" spans="2:13" x14ac:dyDescent="0.2">
      <c r="B1025" t="s">
        <v>11</v>
      </c>
    </row>
    <row r="1026" spans="2:13" x14ac:dyDescent="0.2">
      <c r="B1026" t="s">
        <v>12</v>
      </c>
      <c r="C1026" t="s">
        <v>13</v>
      </c>
      <c r="D1026" t="s">
        <v>14</v>
      </c>
      <c r="E1026" t="s">
        <v>15</v>
      </c>
      <c r="F1026" t="s">
        <v>16</v>
      </c>
      <c r="G1026" t="s">
        <v>17</v>
      </c>
      <c r="H1026" t="s">
        <v>18</v>
      </c>
      <c r="I1026" t="s">
        <v>19</v>
      </c>
      <c r="J1026" t="s">
        <v>20</v>
      </c>
      <c r="K1026" t="s">
        <v>21</v>
      </c>
      <c r="L1026" t="s">
        <v>22</v>
      </c>
      <c r="M1026" t="s">
        <v>23</v>
      </c>
    </row>
    <row r="1027" spans="2:13" x14ac:dyDescent="0.2">
      <c r="B1027" t="s">
        <v>24</v>
      </c>
      <c r="C1027">
        <v>59</v>
      </c>
      <c r="E1027" t="s">
        <v>25</v>
      </c>
      <c r="F1027">
        <v>18087.84</v>
      </c>
      <c r="G1027">
        <v>4.5999999999999996</v>
      </c>
      <c r="H1027">
        <v>8.0000000000000002E-3</v>
      </c>
      <c r="I1027" t="s">
        <v>26</v>
      </c>
      <c r="J1027">
        <v>4.7</v>
      </c>
      <c r="K1027">
        <v>0.1</v>
      </c>
      <c r="L1027">
        <v>7</v>
      </c>
    </row>
    <row r="1028" spans="2:13" x14ac:dyDescent="0.2">
      <c r="C1028" t="s">
        <v>27</v>
      </c>
    </row>
    <row r="1029" spans="2:13" x14ac:dyDescent="0.2">
      <c r="C1029" t="s">
        <v>28</v>
      </c>
      <c r="D1029" t="s">
        <v>16</v>
      </c>
      <c r="E1029" t="s">
        <v>29</v>
      </c>
      <c r="F1029" t="s">
        <v>18</v>
      </c>
    </row>
    <row r="1030" spans="2:13" x14ac:dyDescent="0.2">
      <c r="C1030" t="b">
        <v>0</v>
      </c>
      <c r="D1030">
        <v>17781.62</v>
      </c>
      <c r="E1030" t="s">
        <v>30</v>
      </c>
      <c r="F1030">
        <v>8.0000000000000002E-3</v>
      </c>
    </row>
    <row r="1031" spans="2:13" x14ac:dyDescent="0.2">
      <c r="C1031" t="b">
        <v>0</v>
      </c>
      <c r="D1031">
        <v>17961.86</v>
      </c>
      <c r="E1031" t="s">
        <v>30</v>
      </c>
      <c r="F1031">
        <v>8.0000000000000002E-3</v>
      </c>
    </row>
    <row r="1032" spans="2:13" x14ac:dyDescent="0.2">
      <c r="C1032" t="b">
        <v>0</v>
      </c>
      <c r="D1032">
        <v>17491.490000000002</v>
      </c>
      <c r="E1032" t="s">
        <v>30</v>
      </c>
      <c r="F1032">
        <v>8.0000000000000002E-3</v>
      </c>
    </row>
    <row r="1033" spans="2:13" x14ac:dyDescent="0.2">
      <c r="C1033" t="b">
        <v>0</v>
      </c>
      <c r="D1033">
        <v>19814.5</v>
      </c>
      <c r="E1033" t="s">
        <v>30</v>
      </c>
      <c r="F1033">
        <v>8.9999999999999993E-3</v>
      </c>
    </row>
    <row r="1034" spans="2:13" x14ac:dyDescent="0.2">
      <c r="C1034" t="b">
        <v>0</v>
      </c>
      <c r="D1034">
        <v>18412.669999999998</v>
      </c>
      <c r="E1034" t="s">
        <v>30</v>
      </c>
      <c r="F1034">
        <v>8.0000000000000002E-3</v>
      </c>
    </row>
    <row r="1035" spans="2:13" x14ac:dyDescent="0.2">
      <c r="C1035" t="b">
        <v>0</v>
      </c>
      <c r="D1035">
        <v>17851.68</v>
      </c>
      <c r="E1035" t="s">
        <v>30</v>
      </c>
      <c r="F1035">
        <v>8.0000000000000002E-3</v>
      </c>
    </row>
    <row r="1036" spans="2:13" x14ac:dyDescent="0.2">
      <c r="C1036" t="b">
        <v>0</v>
      </c>
      <c r="D1036">
        <v>17301.04</v>
      </c>
      <c r="E1036" t="s">
        <v>30</v>
      </c>
      <c r="F1036">
        <v>8.0000000000000002E-3</v>
      </c>
    </row>
    <row r="1037" spans="2:13" x14ac:dyDescent="0.2">
      <c r="B1037" t="s">
        <v>11</v>
      </c>
    </row>
    <row r="1038" spans="2:13" x14ac:dyDescent="0.2">
      <c r="B1038" t="s">
        <v>12</v>
      </c>
      <c r="C1038" t="s">
        <v>13</v>
      </c>
      <c r="D1038" t="s">
        <v>14</v>
      </c>
      <c r="E1038" t="s">
        <v>15</v>
      </c>
      <c r="F1038" t="s">
        <v>16</v>
      </c>
      <c r="G1038" t="s">
        <v>17</v>
      </c>
      <c r="H1038" t="s">
        <v>18</v>
      </c>
      <c r="I1038" t="s">
        <v>19</v>
      </c>
      <c r="J1038" t="s">
        <v>20</v>
      </c>
      <c r="K1038" t="s">
        <v>21</v>
      </c>
      <c r="L1038" t="s">
        <v>22</v>
      </c>
      <c r="M1038" t="s">
        <v>23</v>
      </c>
    </row>
    <row r="1039" spans="2:13" x14ac:dyDescent="0.2">
      <c r="B1039" t="s">
        <v>31</v>
      </c>
      <c r="C1039">
        <v>45</v>
      </c>
      <c r="E1039" t="s">
        <v>25</v>
      </c>
      <c r="F1039">
        <v>987.21</v>
      </c>
      <c r="G1039">
        <v>9.6999999999999993</v>
      </c>
      <c r="K1039">
        <v>0.1</v>
      </c>
      <c r="L1039">
        <v>7</v>
      </c>
      <c r="M1039">
        <v>95.6</v>
      </c>
    </row>
    <row r="1040" spans="2:13" x14ac:dyDescent="0.2">
      <c r="C1040" t="s">
        <v>27</v>
      </c>
    </row>
    <row r="1041" spans="2:13" x14ac:dyDescent="0.2">
      <c r="C1041" t="s">
        <v>28</v>
      </c>
      <c r="D1041" t="s">
        <v>16</v>
      </c>
      <c r="E1041" t="s">
        <v>29</v>
      </c>
      <c r="F1041" t="s">
        <v>18</v>
      </c>
    </row>
    <row r="1042" spans="2:13" x14ac:dyDescent="0.2">
      <c r="C1042" t="b">
        <v>0</v>
      </c>
      <c r="D1042">
        <v>1100.08</v>
      </c>
      <c r="E1042" t="s">
        <v>30</v>
      </c>
    </row>
    <row r="1043" spans="2:13" x14ac:dyDescent="0.2">
      <c r="C1043" t="b">
        <v>0</v>
      </c>
      <c r="D1043">
        <v>870.06</v>
      </c>
      <c r="E1043" t="s">
        <v>30</v>
      </c>
    </row>
    <row r="1044" spans="2:13" x14ac:dyDescent="0.2">
      <c r="C1044" t="b">
        <v>0</v>
      </c>
      <c r="D1044">
        <v>1040.0899999999999</v>
      </c>
      <c r="E1044" t="s">
        <v>30</v>
      </c>
    </row>
    <row r="1045" spans="2:13" x14ac:dyDescent="0.2">
      <c r="C1045" t="b">
        <v>0</v>
      </c>
      <c r="D1045">
        <v>1110.08</v>
      </c>
      <c r="E1045" t="s">
        <v>30</v>
      </c>
    </row>
    <row r="1046" spans="2:13" x14ac:dyDescent="0.2">
      <c r="C1046" t="b">
        <v>0</v>
      </c>
      <c r="D1046">
        <v>940.06</v>
      </c>
      <c r="E1046" t="s">
        <v>30</v>
      </c>
    </row>
    <row r="1047" spans="2:13" x14ac:dyDescent="0.2">
      <c r="C1047" t="b">
        <v>0</v>
      </c>
      <c r="D1047">
        <v>910.06</v>
      </c>
      <c r="E1047" t="s">
        <v>30</v>
      </c>
    </row>
    <row r="1048" spans="2:13" x14ac:dyDescent="0.2">
      <c r="C1048" t="b">
        <v>0</v>
      </c>
      <c r="D1048">
        <v>940.06</v>
      </c>
      <c r="E1048" t="s">
        <v>30</v>
      </c>
    </row>
    <row r="1049" spans="2:13" x14ac:dyDescent="0.2">
      <c r="B1049" t="s">
        <v>11</v>
      </c>
    </row>
    <row r="1050" spans="2:13" x14ac:dyDescent="0.2">
      <c r="B1050" t="s">
        <v>12</v>
      </c>
      <c r="C1050" t="s">
        <v>13</v>
      </c>
      <c r="D1050" t="s">
        <v>14</v>
      </c>
      <c r="E1050" t="s">
        <v>15</v>
      </c>
      <c r="F1050" t="s">
        <v>16</v>
      </c>
      <c r="G1050" t="s">
        <v>17</v>
      </c>
      <c r="H1050" t="s">
        <v>18</v>
      </c>
      <c r="I1050" t="s">
        <v>19</v>
      </c>
      <c r="J1050" t="s">
        <v>20</v>
      </c>
      <c r="K1050" t="s">
        <v>21</v>
      </c>
      <c r="L1050" t="s">
        <v>22</v>
      </c>
      <c r="M1050" t="s">
        <v>23</v>
      </c>
    </row>
    <row r="1051" spans="2:13" x14ac:dyDescent="0.2">
      <c r="B1051" t="s">
        <v>32</v>
      </c>
      <c r="C1051">
        <v>72</v>
      </c>
      <c r="E1051" t="s">
        <v>25</v>
      </c>
      <c r="F1051">
        <v>772.91</v>
      </c>
      <c r="G1051">
        <v>10.7</v>
      </c>
      <c r="K1051">
        <v>0.1</v>
      </c>
      <c r="L1051">
        <v>7</v>
      </c>
      <c r="M1051">
        <v>103.6</v>
      </c>
    </row>
    <row r="1052" spans="2:13" x14ac:dyDescent="0.2">
      <c r="C1052" t="s">
        <v>27</v>
      </c>
    </row>
    <row r="1053" spans="2:13" x14ac:dyDescent="0.2">
      <c r="C1053" t="s">
        <v>28</v>
      </c>
      <c r="D1053" t="s">
        <v>16</v>
      </c>
      <c r="E1053" t="s">
        <v>29</v>
      </c>
      <c r="F1053" t="s">
        <v>18</v>
      </c>
    </row>
    <row r="1054" spans="2:13" x14ac:dyDescent="0.2">
      <c r="C1054" t="b">
        <v>0</v>
      </c>
      <c r="D1054">
        <v>880.06</v>
      </c>
      <c r="E1054" t="s">
        <v>30</v>
      </c>
    </row>
    <row r="1055" spans="2:13" x14ac:dyDescent="0.2">
      <c r="C1055" t="b">
        <v>0</v>
      </c>
      <c r="D1055">
        <v>890.06</v>
      </c>
      <c r="E1055" t="s">
        <v>30</v>
      </c>
    </row>
    <row r="1056" spans="2:13" x14ac:dyDescent="0.2">
      <c r="C1056" t="b">
        <v>0</v>
      </c>
      <c r="D1056">
        <v>760.05</v>
      </c>
      <c r="E1056" t="s">
        <v>30</v>
      </c>
    </row>
    <row r="1057" spans="2:13" x14ac:dyDescent="0.2">
      <c r="C1057" t="b">
        <v>0</v>
      </c>
      <c r="D1057">
        <v>670.04</v>
      </c>
      <c r="E1057" t="s">
        <v>30</v>
      </c>
    </row>
    <row r="1058" spans="2:13" x14ac:dyDescent="0.2">
      <c r="C1058" t="b">
        <v>0</v>
      </c>
      <c r="D1058">
        <v>730.05</v>
      </c>
      <c r="E1058" t="s">
        <v>30</v>
      </c>
    </row>
    <row r="1059" spans="2:13" x14ac:dyDescent="0.2">
      <c r="C1059" t="b">
        <v>0</v>
      </c>
      <c r="D1059">
        <v>720.05</v>
      </c>
      <c r="E1059" t="s">
        <v>30</v>
      </c>
    </row>
    <row r="1060" spans="2:13" x14ac:dyDescent="0.2">
      <c r="C1060" t="b">
        <v>0</v>
      </c>
      <c r="D1060">
        <v>760.05</v>
      </c>
      <c r="E1060" t="s">
        <v>30</v>
      </c>
    </row>
    <row r="1061" spans="2:13" x14ac:dyDescent="0.2">
      <c r="B1061" t="s">
        <v>11</v>
      </c>
    </row>
    <row r="1062" spans="2:13" x14ac:dyDescent="0.2">
      <c r="B1062" t="s">
        <v>12</v>
      </c>
      <c r="C1062" t="s">
        <v>13</v>
      </c>
      <c r="D1062" t="s">
        <v>14</v>
      </c>
      <c r="E1062" t="s">
        <v>15</v>
      </c>
      <c r="F1062" t="s">
        <v>16</v>
      </c>
      <c r="G1062" t="s">
        <v>17</v>
      </c>
      <c r="H1062" t="s">
        <v>18</v>
      </c>
      <c r="I1062" t="s">
        <v>19</v>
      </c>
      <c r="J1062" t="s">
        <v>20</v>
      </c>
      <c r="K1062" t="s">
        <v>21</v>
      </c>
      <c r="L1062" t="s">
        <v>22</v>
      </c>
      <c r="M1062" t="s">
        <v>23</v>
      </c>
    </row>
    <row r="1063" spans="2:13" x14ac:dyDescent="0.2">
      <c r="B1063" t="s">
        <v>33</v>
      </c>
      <c r="C1063">
        <v>89</v>
      </c>
      <c r="E1063" t="s">
        <v>25</v>
      </c>
      <c r="F1063">
        <v>4135.0600000000004</v>
      </c>
      <c r="G1063">
        <v>3.6</v>
      </c>
      <c r="K1063">
        <v>0.1</v>
      </c>
      <c r="L1063">
        <v>7</v>
      </c>
      <c r="M1063">
        <v>104.8</v>
      </c>
    </row>
    <row r="1064" spans="2:13" x14ac:dyDescent="0.2">
      <c r="C1064" t="s">
        <v>27</v>
      </c>
    </row>
    <row r="1065" spans="2:13" x14ac:dyDescent="0.2">
      <c r="C1065" t="s">
        <v>28</v>
      </c>
      <c r="D1065" t="s">
        <v>16</v>
      </c>
      <c r="E1065" t="s">
        <v>29</v>
      </c>
      <c r="F1065" t="s">
        <v>18</v>
      </c>
    </row>
    <row r="1066" spans="2:13" x14ac:dyDescent="0.2">
      <c r="C1066" t="b">
        <v>0</v>
      </c>
      <c r="D1066">
        <v>4090.75</v>
      </c>
      <c r="E1066" t="s">
        <v>30</v>
      </c>
    </row>
    <row r="1067" spans="2:13" x14ac:dyDescent="0.2">
      <c r="C1067" t="b">
        <v>0</v>
      </c>
      <c r="D1067">
        <v>3890.7</v>
      </c>
      <c r="E1067" t="s">
        <v>30</v>
      </c>
    </row>
    <row r="1068" spans="2:13" x14ac:dyDescent="0.2">
      <c r="C1068" t="b">
        <v>0</v>
      </c>
      <c r="D1068">
        <v>4290.82</v>
      </c>
      <c r="E1068" t="s">
        <v>30</v>
      </c>
    </row>
    <row r="1069" spans="2:13" x14ac:dyDescent="0.2">
      <c r="C1069" t="b">
        <v>0</v>
      </c>
      <c r="D1069">
        <v>4160.7700000000004</v>
      </c>
      <c r="E1069" t="s">
        <v>30</v>
      </c>
    </row>
    <row r="1070" spans="2:13" x14ac:dyDescent="0.2">
      <c r="C1070" t="b">
        <v>0</v>
      </c>
      <c r="D1070">
        <v>4060.74</v>
      </c>
      <c r="E1070" t="s">
        <v>30</v>
      </c>
    </row>
    <row r="1071" spans="2:13" x14ac:dyDescent="0.2">
      <c r="C1071" t="b">
        <v>0</v>
      </c>
      <c r="D1071">
        <v>4110.76</v>
      </c>
      <c r="E1071" t="s">
        <v>30</v>
      </c>
    </row>
    <row r="1072" spans="2:13" x14ac:dyDescent="0.2">
      <c r="C1072" t="b">
        <v>0</v>
      </c>
      <c r="D1072">
        <v>4340.8500000000004</v>
      </c>
      <c r="E1072" t="s">
        <v>30</v>
      </c>
    </row>
    <row r="1073" spans="1:13" x14ac:dyDescent="0.2">
      <c r="A1073" t="s">
        <v>0</v>
      </c>
    </row>
    <row r="1074" spans="1:13" x14ac:dyDescent="0.2"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</row>
    <row r="1075" spans="1:13" x14ac:dyDescent="0.2">
      <c r="B1075" t="b">
        <v>0</v>
      </c>
      <c r="C1075" t="s">
        <v>94</v>
      </c>
      <c r="D1075" t="s">
        <v>95</v>
      </c>
      <c r="E1075" t="s">
        <v>0</v>
      </c>
      <c r="G1075" t="s">
        <v>96</v>
      </c>
    </row>
    <row r="1076" spans="1:13" x14ac:dyDescent="0.2">
      <c r="B1076" t="s">
        <v>11</v>
      </c>
    </row>
    <row r="1077" spans="1:13" x14ac:dyDescent="0.2">
      <c r="B1077" t="s">
        <v>12</v>
      </c>
      <c r="C1077" t="s">
        <v>13</v>
      </c>
      <c r="D1077" t="s">
        <v>14</v>
      </c>
      <c r="E1077" t="s">
        <v>15</v>
      </c>
      <c r="F1077" t="s">
        <v>16</v>
      </c>
      <c r="G1077" t="s">
        <v>17</v>
      </c>
      <c r="H1077" t="s">
        <v>18</v>
      </c>
      <c r="I1077" t="s">
        <v>19</v>
      </c>
      <c r="J1077" t="s">
        <v>20</v>
      </c>
      <c r="K1077" t="s">
        <v>21</v>
      </c>
      <c r="L1077" t="s">
        <v>22</v>
      </c>
      <c r="M1077" t="s">
        <v>23</v>
      </c>
    </row>
    <row r="1078" spans="1:13" x14ac:dyDescent="0.2">
      <c r="B1078" t="s">
        <v>24</v>
      </c>
      <c r="C1078">
        <v>59</v>
      </c>
      <c r="E1078" t="s">
        <v>25</v>
      </c>
      <c r="F1078">
        <v>18519.830000000002</v>
      </c>
      <c r="G1078">
        <v>2.2999999999999998</v>
      </c>
      <c r="H1078">
        <v>8.0000000000000002E-3</v>
      </c>
      <c r="I1078" t="s">
        <v>26</v>
      </c>
      <c r="J1078">
        <v>2.2999999999999998</v>
      </c>
      <c r="K1078">
        <v>0.1</v>
      </c>
      <c r="L1078">
        <v>7</v>
      </c>
    </row>
    <row r="1079" spans="1:13" x14ac:dyDescent="0.2">
      <c r="C1079" t="s">
        <v>27</v>
      </c>
    </row>
    <row r="1080" spans="1:13" x14ac:dyDescent="0.2">
      <c r="C1080" t="s">
        <v>28</v>
      </c>
      <c r="D1080" t="s">
        <v>16</v>
      </c>
      <c r="E1080" t="s">
        <v>29</v>
      </c>
      <c r="F1080" t="s">
        <v>18</v>
      </c>
    </row>
    <row r="1081" spans="1:13" x14ac:dyDescent="0.2">
      <c r="C1081" t="b">
        <v>0</v>
      </c>
      <c r="D1081">
        <v>18172.14</v>
      </c>
      <c r="E1081" t="s">
        <v>30</v>
      </c>
      <c r="F1081">
        <v>8.0000000000000002E-3</v>
      </c>
    </row>
    <row r="1082" spans="1:13" x14ac:dyDescent="0.2">
      <c r="C1082" t="b">
        <v>0</v>
      </c>
      <c r="D1082">
        <v>18342.490000000002</v>
      </c>
      <c r="E1082" t="s">
        <v>30</v>
      </c>
      <c r="F1082">
        <v>8.0000000000000002E-3</v>
      </c>
    </row>
    <row r="1083" spans="1:13" x14ac:dyDescent="0.2">
      <c r="C1083" t="b">
        <v>0</v>
      </c>
      <c r="D1083">
        <v>18662.89</v>
      </c>
      <c r="E1083" t="s">
        <v>30</v>
      </c>
      <c r="F1083">
        <v>8.0000000000000002E-3</v>
      </c>
    </row>
    <row r="1084" spans="1:13" x14ac:dyDescent="0.2">
      <c r="C1084" t="b">
        <v>0</v>
      </c>
      <c r="D1084">
        <v>18592.86</v>
      </c>
      <c r="E1084" t="s">
        <v>30</v>
      </c>
      <c r="F1084">
        <v>8.0000000000000002E-3</v>
      </c>
    </row>
    <row r="1085" spans="1:13" x14ac:dyDescent="0.2">
      <c r="C1085" t="b">
        <v>0</v>
      </c>
      <c r="D1085">
        <v>19013.3</v>
      </c>
      <c r="E1085" t="s">
        <v>30</v>
      </c>
      <c r="F1085">
        <v>8.0000000000000002E-3</v>
      </c>
    </row>
    <row r="1086" spans="1:13" x14ac:dyDescent="0.2">
      <c r="C1086" t="b">
        <v>0</v>
      </c>
      <c r="D1086">
        <v>17841.759999999998</v>
      </c>
      <c r="E1086" t="s">
        <v>30</v>
      </c>
      <c r="F1086">
        <v>8.0000000000000002E-3</v>
      </c>
    </row>
    <row r="1087" spans="1:13" x14ac:dyDescent="0.2">
      <c r="C1087" t="b">
        <v>0</v>
      </c>
      <c r="D1087">
        <v>19013.349999999999</v>
      </c>
      <c r="E1087" t="s">
        <v>30</v>
      </c>
      <c r="F1087">
        <v>8.0000000000000002E-3</v>
      </c>
    </row>
    <row r="1088" spans="1:13" x14ac:dyDescent="0.2">
      <c r="B1088" t="s">
        <v>11</v>
      </c>
    </row>
    <row r="1089" spans="2:13" x14ac:dyDescent="0.2">
      <c r="B1089" t="s">
        <v>12</v>
      </c>
      <c r="C1089" t="s">
        <v>13</v>
      </c>
      <c r="D1089" t="s">
        <v>14</v>
      </c>
      <c r="E1089" t="s">
        <v>15</v>
      </c>
      <c r="F1089" t="s">
        <v>16</v>
      </c>
      <c r="G1089" t="s">
        <v>17</v>
      </c>
      <c r="H1089" t="s">
        <v>18</v>
      </c>
      <c r="I1089" t="s">
        <v>19</v>
      </c>
      <c r="J1089" t="s">
        <v>20</v>
      </c>
      <c r="K1089" t="s">
        <v>21</v>
      </c>
      <c r="L1089" t="s">
        <v>22</v>
      </c>
      <c r="M1089" t="s">
        <v>23</v>
      </c>
    </row>
    <row r="1090" spans="2:13" x14ac:dyDescent="0.2">
      <c r="B1090" t="s">
        <v>31</v>
      </c>
      <c r="C1090">
        <v>45</v>
      </c>
      <c r="E1090" t="s">
        <v>25</v>
      </c>
      <c r="F1090">
        <v>1034.3599999999999</v>
      </c>
      <c r="G1090">
        <v>11.1</v>
      </c>
      <c r="K1090">
        <v>0.1</v>
      </c>
      <c r="L1090">
        <v>7</v>
      </c>
      <c r="M1090">
        <v>100.1</v>
      </c>
    </row>
    <row r="1091" spans="2:13" x14ac:dyDescent="0.2">
      <c r="C1091" t="s">
        <v>27</v>
      </c>
    </row>
    <row r="1092" spans="2:13" x14ac:dyDescent="0.2">
      <c r="C1092" t="s">
        <v>28</v>
      </c>
      <c r="D1092" t="s">
        <v>16</v>
      </c>
      <c r="E1092" t="s">
        <v>29</v>
      </c>
      <c r="F1092" t="s">
        <v>18</v>
      </c>
    </row>
    <row r="1093" spans="2:13" x14ac:dyDescent="0.2">
      <c r="C1093" t="b">
        <v>0</v>
      </c>
      <c r="D1093">
        <v>990.07</v>
      </c>
      <c r="E1093" t="s">
        <v>30</v>
      </c>
    </row>
    <row r="1094" spans="2:13" x14ac:dyDescent="0.2">
      <c r="C1094" t="b">
        <v>0</v>
      </c>
      <c r="D1094">
        <v>950.07</v>
      </c>
      <c r="E1094" t="s">
        <v>30</v>
      </c>
    </row>
    <row r="1095" spans="2:13" x14ac:dyDescent="0.2">
      <c r="C1095" t="b">
        <v>0</v>
      </c>
      <c r="D1095">
        <v>1050.07</v>
      </c>
      <c r="E1095" t="s">
        <v>30</v>
      </c>
    </row>
    <row r="1096" spans="2:13" x14ac:dyDescent="0.2">
      <c r="C1096" t="b">
        <v>0</v>
      </c>
      <c r="D1096">
        <v>870.05</v>
      </c>
      <c r="E1096" t="s">
        <v>30</v>
      </c>
    </row>
    <row r="1097" spans="2:13" x14ac:dyDescent="0.2">
      <c r="C1097" t="b">
        <v>0</v>
      </c>
      <c r="D1097">
        <v>1020.07</v>
      </c>
      <c r="E1097" t="s">
        <v>30</v>
      </c>
    </row>
    <row r="1098" spans="2:13" x14ac:dyDescent="0.2">
      <c r="C1098" t="b">
        <v>0</v>
      </c>
      <c r="D1098">
        <v>1190.1099999999999</v>
      </c>
      <c r="E1098" t="s">
        <v>30</v>
      </c>
    </row>
    <row r="1099" spans="2:13" x14ac:dyDescent="0.2">
      <c r="C1099" t="b">
        <v>0</v>
      </c>
      <c r="D1099">
        <v>1170.0899999999999</v>
      </c>
      <c r="E1099" t="s">
        <v>30</v>
      </c>
    </row>
    <row r="1100" spans="2:13" x14ac:dyDescent="0.2">
      <c r="B1100" t="s">
        <v>11</v>
      </c>
    </row>
    <row r="1101" spans="2:13" x14ac:dyDescent="0.2">
      <c r="B1101" t="s">
        <v>12</v>
      </c>
      <c r="C1101" t="s">
        <v>13</v>
      </c>
      <c r="D1101" t="s">
        <v>14</v>
      </c>
      <c r="E1101" t="s">
        <v>15</v>
      </c>
      <c r="F1101" t="s">
        <v>16</v>
      </c>
      <c r="G1101" t="s">
        <v>17</v>
      </c>
      <c r="H1101" t="s">
        <v>18</v>
      </c>
      <c r="I1101" t="s">
        <v>19</v>
      </c>
      <c r="J1101" t="s">
        <v>20</v>
      </c>
      <c r="K1101" t="s">
        <v>21</v>
      </c>
      <c r="L1101" t="s">
        <v>22</v>
      </c>
      <c r="M1101" t="s">
        <v>23</v>
      </c>
    </row>
    <row r="1102" spans="2:13" x14ac:dyDescent="0.2">
      <c r="B1102" t="s">
        <v>32</v>
      </c>
      <c r="C1102">
        <v>72</v>
      </c>
      <c r="E1102" t="s">
        <v>25</v>
      </c>
      <c r="F1102">
        <v>782.91</v>
      </c>
      <c r="G1102">
        <v>14.8</v>
      </c>
      <c r="K1102">
        <v>0.1</v>
      </c>
      <c r="L1102">
        <v>7</v>
      </c>
      <c r="M1102">
        <v>105</v>
      </c>
    </row>
    <row r="1103" spans="2:13" x14ac:dyDescent="0.2">
      <c r="C1103" t="s">
        <v>27</v>
      </c>
    </row>
    <row r="1104" spans="2:13" x14ac:dyDescent="0.2">
      <c r="C1104" t="s">
        <v>28</v>
      </c>
      <c r="D1104" t="s">
        <v>16</v>
      </c>
      <c r="E1104" t="s">
        <v>29</v>
      </c>
      <c r="F1104" t="s">
        <v>18</v>
      </c>
    </row>
    <row r="1105" spans="2:13" x14ac:dyDescent="0.2">
      <c r="C1105" t="b">
        <v>0</v>
      </c>
      <c r="D1105">
        <v>740.04</v>
      </c>
      <c r="E1105" t="s">
        <v>30</v>
      </c>
    </row>
    <row r="1106" spans="2:13" x14ac:dyDescent="0.2">
      <c r="C1106" t="b">
        <v>0</v>
      </c>
      <c r="D1106">
        <v>600.04</v>
      </c>
      <c r="E1106" t="s">
        <v>30</v>
      </c>
    </row>
    <row r="1107" spans="2:13" x14ac:dyDescent="0.2">
      <c r="C1107" t="b">
        <v>0</v>
      </c>
      <c r="D1107">
        <v>950.06</v>
      </c>
      <c r="E1107" t="s">
        <v>30</v>
      </c>
    </row>
    <row r="1108" spans="2:13" x14ac:dyDescent="0.2">
      <c r="C1108" t="b">
        <v>0</v>
      </c>
      <c r="D1108">
        <v>730.04</v>
      </c>
      <c r="E1108" t="s">
        <v>30</v>
      </c>
    </row>
    <row r="1109" spans="2:13" x14ac:dyDescent="0.2">
      <c r="C1109" t="b">
        <v>0</v>
      </c>
      <c r="D1109">
        <v>880.06</v>
      </c>
      <c r="E1109" t="s">
        <v>30</v>
      </c>
    </row>
    <row r="1110" spans="2:13" x14ac:dyDescent="0.2">
      <c r="C1110" t="b">
        <v>0</v>
      </c>
      <c r="D1110">
        <v>740.05</v>
      </c>
      <c r="E1110" t="s">
        <v>30</v>
      </c>
    </row>
    <row r="1111" spans="2:13" x14ac:dyDescent="0.2">
      <c r="C1111" t="b">
        <v>0</v>
      </c>
      <c r="D1111">
        <v>840.06</v>
      </c>
      <c r="E1111" t="s">
        <v>30</v>
      </c>
    </row>
    <row r="1112" spans="2:13" x14ac:dyDescent="0.2">
      <c r="B1112" t="s">
        <v>11</v>
      </c>
    </row>
    <row r="1113" spans="2:13" x14ac:dyDescent="0.2">
      <c r="B1113" t="s">
        <v>12</v>
      </c>
      <c r="C1113" t="s">
        <v>13</v>
      </c>
      <c r="D1113" t="s">
        <v>14</v>
      </c>
      <c r="E1113" t="s">
        <v>15</v>
      </c>
      <c r="F1113" t="s">
        <v>16</v>
      </c>
      <c r="G1113" t="s">
        <v>17</v>
      </c>
      <c r="H1113" t="s">
        <v>18</v>
      </c>
      <c r="I1113" t="s">
        <v>19</v>
      </c>
      <c r="J1113" t="s">
        <v>20</v>
      </c>
      <c r="K1113" t="s">
        <v>21</v>
      </c>
      <c r="L1113" t="s">
        <v>22</v>
      </c>
      <c r="M1113" t="s">
        <v>23</v>
      </c>
    </row>
    <row r="1114" spans="2:13" x14ac:dyDescent="0.2">
      <c r="B1114" t="s">
        <v>33</v>
      </c>
      <c r="C1114">
        <v>89</v>
      </c>
      <c r="E1114" t="s">
        <v>25</v>
      </c>
      <c r="F1114">
        <v>3907.84</v>
      </c>
      <c r="G1114">
        <v>6.7</v>
      </c>
      <c r="K1114">
        <v>0.1</v>
      </c>
      <c r="L1114">
        <v>7</v>
      </c>
      <c r="M1114">
        <v>99.1</v>
      </c>
    </row>
    <row r="1115" spans="2:13" x14ac:dyDescent="0.2">
      <c r="C1115" t="s">
        <v>27</v>
      </c>
    </row>
    <row r="1116" spans="2:13" x14ac:dyDescent="0.2">
      <c r="C1116" t="s">
        <v>28</v>
      </c>
      <c r="D1116" t="s">
        <v>16</v>
      </c>
      <c r="E1116" t="s">
        <v>29</v>
      </c>
      <c r="F1116" t="s">
        <v>18</v>
      </c>
    </row>
    <row r="1117" spans="2:13" x14ac:dyDescent="0.2">
      <c r="C1117" t="b">
        <v>0</v>
      </c>
      <c r="D1117">
        <v>3540.58</v>
      </c>
      <c r="E1117" t="s">
        <v>30</v>
      </c>
    </row>
    <row r="1118" spans="2:13" x14ac:dyDescent="0.2">
      <c r="C1118" t="b">
        <v>0</v>
      </c>
      <c r="D1118">
        <v>3590.63</v>
      </c>
      <c r="E1118" t="s">
        <v>30</v>
      </c>
    </row>
    <row r="1119" spans="2:13" x14ac:dyDescent="0.2">
      <c r="C1119" t="b">
        <v>0</v>
      </c>
      <c r="D1119">
        <v>3830.66</v>
      </c>
      <c r="E1119" t="s">
        <v>30</v>
      </c>
    </row>
    <row r="1120" spans="2:13" x14ac:dyDescent="0.2">
      <c r="C1120" t="b">
        <v>0</v>
      </c>
      <c r="D1120">
        <v>4010.71</v>
      </c>
      <c r="E1120" t="s">
        <v>30</v>
      </c>
    </row>
    <row r="1121" spans="1:13" x14ac:dyDescent="0.2">
      <c r="C1121" t="b">
        <v>0</v>
      </c>
      <c r="D1121">
        <v>4060.77</v>
      </c>
      <c r="E1121" t="s">
        <v>30</v>
      </c>
    </row>
    <row r="1122" spans="1:13" x14ac:dyDescent="0.2">
      <c r="C1122" t="b">
        <v>0</v>
      </c>
      <c r="D1122">
        <v>4110.76</v>
      </c>
      <c r="E1122" t="s">
        <v>30</v>
      </c>
    </row>
    <row r="1123" spans="1:13" x14ac:dyDescent="0.2">
      <c r="C1123" t="b">
        <v>0</v>
      </c>
      <c r="D1123">
        <v>4210.79</v>
      </c>
      <c r="E1123" t="s">
        <v>30</v>
      </c>
    </row>
    <row r="1124" spans="1:13" x14ac:dyDescent="0.2">
      <c r="A1124" t="s">
        <v>0</v>
      </c>
    </row>
    <row r="1125" spans="1:13" x14ac:dyDescent="0.2"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</row>
    <row r="1126" spans="1:13" x14ac:dyDescent="0.2">
      <c r="B1126" t="b">
        <v>0</v>
      </c>
      <c r="C1126" t="s">
        <v>97</v>
      </c>
      <c r="D1126" t="s">
        <v>98</v>
      </c>
      <c r="E1126" t="s">
        <v>0</v>
      </c>
      <c r="G1126" t="s">
        <v>99</v>
      </c>
    </row>
    <row r="1127" spans="1:13" x14ac:dyDescent="0.2">
      <c r="B1127" t="s">
        <v>11</v>
      </c>
    </row>
    <row r="1128" spans="1:13" x14ac:dyDescent="0.2">
      <c r="B1128" t="s">
        <v>12</v>
      </c>
      <c r="C1128" t="s">
        <v>13</v>
      </c>
      <c r="D1128" t="s">
        <v>14</v>
      </c>
      <c r="E1128" t="s">
        <v>15</v>
      </c>
      <c r="F1128" t="s">
        <v>16</v>
      </c>
      <c r="G1128" t="s">
        <v>17</v>
      </c>
      <c r="H1128" t="s">
        <v>18</v>
      </c>
      <c r="I1128" t="s">
        <v>19</v>
      </c>
      <c r="J1128" t="s">
        <v>20</v>
      </c>
      <c r="K1128" t="s">
        <v>21</v>
      </c>
      <c r="L1128" t="s">
        <v>22</v>
      </c>
      <c r="M1128" t="s">
        <v>23</v>
      </c>
    </row>
    <row r="1129" spans="1:13" x14ac:dyDescent="0.2">
      <c r="B1129" t="s">
        <v>24</v>
      </c>
      <c r="C1129">
        <v>59</v>
      </c>
      <c r="E1129" t="s">
        <v>25</v>
      </c>
      <c r="F1129">
        <v>18538.43</v>
      </c>
      <c r="G1129">
        <v>4.0999999999999996</v>
      </c>
      <c r="H1129">
        <v>8.0000000000000002E-3</v>
      </c>
      <c r="I1129" t="s">
        <v>26</v>
      </c>
      <c r="J1129">
        <v>4.0999999999999996</v>
      </c>
      <c r="K1129">
        <v>0.1</v>
      </c>
      <c r="L1129">
        <v>7</v>
      </c>
    </row>
    <row r="1130" spans="1:13" x14ac:dyDescent="0.2">
      <c r="C1130" t="s">
        <v>27</v>
      </c>
    </row>
    <row r="1131" spans="1:13" x14ac:dyDescent="0.2">
      <c r="C1131" t="s">
        <v>28</v>
      </c>
      <c r="D1131" t="s">
        <v>16</v>
      </c>
      <c r="E1131" t="s">
        <v>29</v>
      </c>
      <c r="F1131" t="s">
        <v>18</v>
      </c>
    </row>
    <row r="1132" spans="1:13" x14ac:dyDescent="0.2">
      <c r="C1132" t="b">
        <v>0</v>
      </c>
      <c r="D1132">
        <v>18893.14</v>
      </c>
      <c r="E1132" t="s">
        <v>30</v>
      </c>
      <c r="F1132">
        <v>8.0000000000000002E-3</v>
      </c>
    </row>
    <row r="1133" spans="1:13" x14ac:dyDescent="0.2">
      <c r="C1133" t="b">
        <v>0</v>
      </c>
      <c r="D1133">
        <v>19213.55</v>
      </c>
      <c r="E1133" t="s">
        <v>30</v>
      </c>
      <c r="F1133">
        <v>8.9999999999999993E-3</v>
      </c>
    </row>
    <row r="1134" spans="1:13" x14ac:dyDescent="0.2">
      <c r="C1134" t="b">
        <v>0</v>
      </c>
      <c r="D1134">
        <v>18142.11</v>
      </c>
      <c r="E1134" t="s">
        <v>30</v>
      </c>
      <c r="F1134">
        <v>8.0000000000000002E-3</v>
      </c>
    </row>
    <row r="1135" spans="1:13" x14ac:dyDescent="0.2">
      <c r="C1135" t="b">
        <v>0</v>
      </c>
      <c r="D1135">
        <v>19403.87</v>
      </c>
      <c r="E1135" t="s">
        <v>30</v>
      </c>
      <c r="F1135">
        <v>8.9999999999999993E-3</v>
      </c>
    </row>
    <row r="1136" spans="1:13" x14ac:dyDescent="0.2">
      <c r="C1136" t="b">
        <v>0</v>
      </c>
      <c r="D1136">
        <v>18783.150000000001</v>
      </c>
      <c r="E1136" t="s">
        <v>30</v>
      </c>
      <c r="F1136">
        <v>8.0000000000000002E-3</v>
      </c>
    </row>
    <row r="1137" spans="2:13" x14ac:dyDescent="0.2">
      <c r="C1137" t="b">
        <v>0</v>
      </c>
      <c r="D1137">
        <v>18142.18</v>
      </c>
      <c r="E1137" t="s">
        <v>30</v>
      </c>
      <c r="F1137">
        <v>8.0000000000000002E-3</v>
      </c>
    </row>
    <row r="1138" spans="2:13" x14ac:dyDescent="0.2">
      <c r="C1138" t="b">
        <v>0</v>
      </c>
      <c r="D1138">
        <v>17191.009999999998</v>
      </c>
      <c r="E1138" t="s">
        <v>30</v>
      </c>
      <c r="F1138">
        <v>8.0000000000000002E-3</v>
      </c>
    </row>
    <row r="1139" spans="2:13" x14ac:dyDescent="0.2">
      <c r="B1139" t="s">
        <v>11</v>
      </c>
    </row>
    <row r="1140" spans="2:13" x14ac:dyDescent="0.2">
      <c r="B1140" t="s">
        <v>12</v>
      </c>
      <c r="C1140" t="s">
        <v>13</v>
      </c>
      <c r="D1140" t="s">
        <v>14</v>
      </c>
      <c r="E1140" t="s">
        <v>15</v>
      </c>
      <c r="F1140" t="s">
        <v>16</v>
      </c>
      <c r="G1140" t="s">
        <v>17</v>
      </c>
      <c r="H1140" t="s">
        <v>18</v>
      </c>
      <c r="I1140" t="s">
        <v>19</v>
      </c>
      <c r="J1140" t="s">
        <v>20</v>
      </c>
      <c r="K1140" t="s">
        <v>21</v>
      </c>
      <c r="L1140" t="s">
        <v>22</v>
      </c>
      <c r="M1140" t="s">
        <v>23</v>
      </c>
    </row>
    <row r="1141" spans="2:13" x14ac:dyDescent="0.2">
      <c r="B1141" t="s">
        <v>31</v>
      </c>
      <c r="C1141">
        <v>45</v>
      </c>
      <c r="E1141" t="s">
        <v>25</v>
      </c>
      <c r="F1141">
        <v>988.64</v>
      </c>
      <c r="G1141">
        <v>4.7</v>
      </c>
      <c r="K1141">
        <v>0.1</v>
      </c>
      <c r="L1141">
        <v>7</v>
      </c>
      <c r="M1141">
        <v>95.7</v>
      </c>
    </row>
    <row r="1142" spans="2:13" x14ac:dyDescent="0.2">
      <c r="C1142" t="s">
        <v>27</v>
      </c>
    </row>
    <row r="1143" spans="2:13" x14ac:dyDescent="0.2">
      <c r="C1143" t="s">
        <v>28</v>
      </c>
      <c r="D1143" t="s">
        <v>16</v>
      </c>
      <c r="E1143" t="s">
        <v>29</v>
      </c>
      <c r="F1143" t="s">
        <v>18</v>
      </c>
    </row>
    <row r="1144" spans="2:13" x14ac:dyDescent="0.2">
      <c r="C1144" t="b">
        <v>0</v>
      </c>
      <c r="D1144">
        <v>1020.07</v>
      </c>
      <c r="E1144" t="s">
        <v>30</v>
      </c>
    </row>
    <row r="1145" spans="2:13" x14ac:dyDescent="0.2">
      <c r="C1145" t="b">
        <v>0</v>
      </c>
      <c r="D1145">
        <v>970.07</v>
      </c>
      <c r="E1145" t="s">
        <v>30</v>
      </c>
    </row>
    <row r="1146" spans="2:13" x14ac:dyDescent="0.2">
      <c r="C1146" t="b">
        <v>0</v>
      </c>
      <c r="D1146">
        <v>940.06</v>
      </c>
      <c r="E1146" t="s">
        <v>30</v>
      </c>
    </row>
    <row r="1147" spans="2:13" x14ac:dyDescent="0.2">
      <c r="C1147" t="b">
        <v>0</v>
      </c>
      <c r="D1147">
        <v>1050.07</v>
      </c>
      <c r="E1147" t="s">
        <v>30</v>
      </c>
    </row>
    <row r="1148" spans="2:13" x14ac:dyDescent="0.2">
      <c r="C1148" t="b">
        <v>0</v>
      </c>
      <c r="D1148">
        <v>1030.07</v>
      </c>
      <c r="E1148" t="s">
        <v>30</v>
      </c>
    </row>
    <row r="1149" spans="2:13" x14ac:dyDescent="0.2">
      <c r="C1149" t="b">
        <v>0</v>
      </c>
      <c r="D1149">
        <v>980.08</v>
      </c>
      <c r="E1149" t="s">
        <v>30</v>
      </c>
    </row>
    <row r="1150" spans="2:13" x14ac:dyDescent="0.2">
      <c r="C1150" t="b">
        <v>0</v>
      </c>
      <c r="D1150">
        <v>930.06</v>
      </c>
      <c r="E1150" t="s">
        <v>30</v>
      </c>
    </row>
    <row r="1151" spans="2:13" x14ac:dyDescent="0.2">
      <c r="B1151" t="s">
        <v>11</v>
      </c>
    </row>
    <row r="1152" spans="2:13" x14ac:dyDescent="0.2">
      <c r="B1152" t="s">
        <v>12</v>
      </c>
      <c r="C1152" t="s">
        <v>13</v>
      </c>
      <c r="D1152" t="s">
        <v>14</v>
      </c>
      <c r="E1152" t="s">
        <v>15</v>
      </c>
      <c r="F1152" t="s">
        <v>16</v>
      </c>
      <c r="G1152" t="s">
        <v>17</v>
      </c>
      <c r="H1152" t="s">
        <v>18</v>
      </c>
      <c r="I1152" t="s">
        <v>19</v>
      </c>
      <c r="J1152" t="s">
        <v>20</v>
      </c>
      <c r="K1152" t="s">
        <v>21</v>
      </c>
      <c r="L1152" t="s">
        <v>22</v>
      </c>
      <c r="M1152" t="s">
        <v>23</v>
      </c>
    </row>
    <row r="1153" spans="2:13" x14ac:dyDescent="0.2">
      <c r="B1153" t="s">
        <v>32</v>
      </c>
      <c r="C1153">
        <v>72</v>
      </c>
      <c r="E1153" t="s">
        <v>25</v>
      </c>
      <c r="F1153">
        <v>700.04</v>
      </c>
      <c r="G1153">
        <v>7.6</v>
      </c>
      <c r="K1153">
        <v>0.1</v>
      </c>
      <c r="L1153">
        <v>7</v>
      </c>
      <c r="M1153">
        <v>93.9</v>
      </c>
    </row>
    <row r="1154" spans="2:13" x14ac:dyDescent="0.2">
      <c r="C1154" t="s">
        <v>27</v>
      </c>
    </row>
    <row r="1155" spans="2:13" x14ac:dyDescent="0.2">
      <c r="C1155" t="s">
        <v>28</v>
      </c>
      <c r="D1155" t="s">
        <v>16</v>
      </c>
      <c r="E1155" t="s">
        <v>29</v>
      </c>
      <c r="F1155" t="s">
        <v>18</v>
      </c>
    </row>
    <row r="1156" spans="2:13" x14ac:dyDescent="0.2">
      <c r="C1156" t="b">
        <v>0</v>
      </c>
      <c r="D1156">
        <v>660.03</v>
      </c>
      <c r="E1156" t="s">
        <v>30</v>
      </c>
    </row>
    <row r="1157" spans="2:13" x14ac:dyDescent="0.2">
      <c r="C1157" t="b">
        <v>0</v>
      </c>
      <c r="D1157">
        <v>750.05</v>
      </c>
      <c r="E1157" t="s">
        <v>30</v>
      </c>
    </row>
    <row r="1158" spans="2:13" x14ac:dyDescent="0.2">
      <c r="C1158" t="b">
        <v>0</v>
      </c>
      <c r="D1158">
        <v>770.05</v>
      </c>
      <c r="E1158" t="s">
        <v>30</v>
      </c>
    </row>
    <row r="1159" spans="2:13" x14ac:dyDescent="0.2">
      <c r="C1159" t="b">
        <v>0</v>
      </c>
      <c r="D1159">
        <v>740.04</v>
      </c>
      <c r="E1159" t="s">
        <v>30</v>
      </c>
    </row>
    <row r="1160" spans="2:13" x14ac:dyDescent="0.2">
      <c r="C1160" t="b">
        <v>0</v>
      </c>
      <c r="D1160">
        <v>690.04</v>
      </c>
      <c r="E1160" t="s">
        <v>30</v>
      </c>
    </row>
    <row r="1161" spans="2:13" x14ac:dyDescent="0.2">
      <c r="C1161" t="b">
        <v>0</v>
      </c>
      <c r="D1161">
        <v>650.04</v>
      </c>
      <c r="E1161" t="s">
        <v>30</v>
      </c>
    </row>
    <row r="1162" spans="2:13" x14ac:dyDescent="0.2">
      <c r="C1162" t="b">
        <v>0</v>
      </c>
      <c r="D1162">
        <v>640.04</v>
      </c>
      <c r="E1162" t="s">
        <v>30</v>
      </c>
    </row>
    <row r="1163" spans="2:13" x14ac:dyDescent="0.2">
      <c r="B1163" t="s">
        <v>11</v>
      </c>
    </row>
    <row r="1164" spans="2:13" x14ac:dyDescent="0.2">
      <c r="B1164" t="s">
        <v>12</v>
      </c>
      <c r="C1164" t="s">
        <v>13</v>
      </c>
      <c r="D1164" t="s">
        <v>14</v>
      </c>
      <c r="E1164" t="s">
        <v>15</v>
      </c>
      <c r="F1164" t="s">
        <v>16</v>
      </c>
      <c r="G1164" t="s">
        <v>17</v>
      </c>
      <c r="H1164" t="s">
        <v>18</v>
      </c>
      <c r="I1164" t="s">
        <v>19</v>
      </c>
      <c r="J1164" t="s">
        <v>20</v>
      </c>
      <c r="K1164" t="s">
        <v>21</v>
      </c>
      <c r="L1164" t="s">
        <v>22</v>
      </c>
      <c r="M1164" t="s">
        <v>23</v>
      </c>
    </row>
    <row r="1165" spans="2:13" x14ac:dyDescent="0.2">
      <c r="B1165" t="s">
        <v>33</v>
      </c>
      <c r="C1165">
        <v>89</v>
      </c>
      <c r="E1165" t="s">
        <v>25</v>
      </c>
      <c r="F1165">
        <v>3804.96</v>
      </c>
      <c r="G1165">
        <v>6</v>
      </c>
      <c r="K1165">
        <v>0.1</v>
      </c>
      <c r="L1165">
        <v>7</v>
      </c>
      <c r="M1165">
        <v>96.5</v>
      </c>
    </row>
    <row r="1166" spans="2:13" x14ac:dyDescent="0.2">
      <c r="C1166" t="s">
        <v>27</v>
      </c>
    </row>
    <row r="1167" spans="2:13" x14ac:dyDescent="0.2">
      <c r="C1167" t="s">
        <v>28</v>
      </c>
      <c r="D1167" t="s">
        <v>16</v>
      </c>
      <c r="E1167" t="s">
        <v>29</v>
      </c>
      <c r="F1167" t="s">
        <v>18</v>
      </c>
    </row>
    <row r="1168" spans="2:13" x14ac:dyDescent="0.2">
      <c r="C1168" t="b">
        <v>0</v>
      </c>
      <c r="D1168">
        <v>4010.71</v>
      </c>
      <c r="E1168" t="s">
        <v>30</v>
      </c>
    </row>
    <row r="1169" spans="1:13" x14ac:dyDescent="0.2">
      <c r="C1169" t="b">
        <v>0</v>
      </c>
      <c r="D1169">
        <v>3630.61</v>
      </c>
      <c r="E1169" t="s">
        <v>30</v>
      </c>
    </row>
    <row r="1170" spans="1:13" x14ac:dyDescent="0.2">
      <c r="C1170" t="b">
        <v>0</v>
      </c>
      <c r="D1170">
        <v>3600.6</v>
      </c>
      <c r="E1170" t="s">
        <v>30</v>
      </c>
    </row>
    <row r="1171" spans="1:13" x14ac:dyDescent="0.2">
      <c r="C1171" t="b">
        <v>0</v>
      </c>
      <c r="D1171">
        <v>3570.59</v>
      </c>
      <c r="E1171" t="s">
        <v>30</v>
      </c>
    </row>
    <row r="1172" spans="1:13" x14ac:dyDescent="0.2">
      <c r="C1172" t="b">
        <v>0</v>
      </c>
      <c r="D1172">
        <v>3980.71</v>
      </c>
      <c r="E1172" t="s">
        <v>30</v>
      </c>
    </row>
    <row r="1173" spans="1:13" x14ac:dyDescent="0.2">
      <c r="C1173" t="b">
        <v>0</v>
      </c>
      <c r="D1173">
        <v>3710.67</v>
      </c>
      <c r="E1173" t="s">
        <v>30</v>
      </c>
    </row>
    <row r="1174" spans="1:13" x14ac:dyDescent="0.2">
      <c r="C1174" t="b">
        <v>0</v>
      </c>
      <c r="D1174">
        <v>4130.82</v>
      </c>
      <c r="E1174" t="s">
        <v>30</v>
      </c>
    </row>
    <row r="1175" spans="1:13" x14ac:dyDescent="0.2">
      <c r="A1175" t="s">
        <v>0</v>
      </c>
    </row>
    <row r="1176" spans="1:13" x14ac:dyDescent="0.2"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</row>
    <row r="1177" spans="1:13" x14ac:dyDescent="0.2">
      <c r="B1177" t="b">
        <v>0</v>
      </c>
      <c r="C1177" t="s">
        <v>100</v>
      </c>
      <c r="D1177" t="s">
        <v>101</v>
      </c>
      <c r="E1177" t="s">
        <v>0</v>
      </c>
      <c r="G1177" t="s">
        <v>102</v>
      </c>
    </row>
    <row r="1178" spans="1:13" x14ac:dyDescent="0.2">
      <c r="B1178" t="s">
        <v>11</v>
      </c>
    </row>
    <row r="1179" spans="1:13" x14ac:dyDescent="0.2">
      <c r="B1179" t="s">
        <v>12</v>
      </c>
      <c r="C1179" t="s">
        <v>13</v>
      </c>
      <c r="D1179" t="s">
        <v>14</v>
      </c>
      <c r="E1179" t="s">
        <v>15</v>
      </c>
      <c r="F1179" t="s">
        <v>16</v>
      </c>
      <c r="G1179" t="s">
        <v>17</v>
      </c>
      <c r="H1179" t="s">
        <v>18</v>
      </c>
      <c r="I1179" t="s">
        <v>19</v>
      </c>
      <c r="J1179" t="s">
        <v>20</v>
      </c>
      <c r="K1179" t="s">
        <v>21</v>
      </c>
      <c r="L1179" t="s">
        <v>22</v>
      </c>
      <c r="M1179" t="s">
        <v>23</v>
      </c>
    </row>
    <row r="1180" spans="1:13" x14ac:dyDescent="0.2">
      <c r="B1180" t="s">
        <v>24</v>
      </c>
      <c r="C1180">
        <v>59</v>
      </c>
      <c r="E1180" t="s">
        <v>25</v>
      </c>
      <c r="F1180">
        <v>18492.66</v>
      </c>
      <c r="G1180">
        <v>3.8</v>
      </c>
      <c r="H1180">
        <v>8.0000000000000002E-3</v>
      </c>
      <c r="I1180" t="s">
        <v>26</v>
      </c>
      <c r="J1180">
        <v>3.8</v>
      </c>
      <c r="K1180">
        <v>0.1</v>
      </c>
      <c r="L1180">
        <v>7</v>
      </c>
    </row>
    <row r="1181" spans="1:13" x14ac:dyDescent="0.2">
      <c r="C1181" t="s">
        <v>27</v>
      </c>
    </row>
    <row r="1182" spans="1:13" x14ac:dyDescent="0.2">
      <c r="C1182" t="s">
        <v>28</v>
      </c>
      <c r="D1182" t="s">
        <v>16</v>
      </c>
      <c r="E1182" t="s">
        <v>29</v>
      </c>
      <c r="F1182" t="s">
        <v>18</v>
      </c>
    </row>
    <row r="1183" spans="1:13" x14ac:dyDescent="0.2">
      <c r="C1183" t="b">
        <v>0</v>
      </c>
      <c r="D1183">
        <v>18512.7</v>
      </c>
      <c r="E1183" t="s">
        <v>30</v>
      </c>
      <c r="F1183">
        <v>8.0000000000000002E-3</v>
      </c>
    </row>
    <row r="1184" spans="1:13" x14ac:dyDescent="0.2">
      <c r="C1184" t="b">
        <v>0</v>
      </c>
      <c r="D1184">
        <v>18362.32</v>
      </c>
      <c r="E1184" t="s">
        <v>30</v>
      </c>
      <c r="F1184">
        <v>8.0000000000000002E-3</v>
      </c>
    </row>
    <row r="1185" spans="2:13" x14ac:dyDescent="0.2">
      <c r="C1185" t="b">
        <v>0</v>
      </c>
      <c r="D1185">
        <v>18753.07</v>
      </c>
      <c r="E1185" t="s">
        <v>30</v>
      </c>
      <c r="F1185">
        <v>8.0000000000000002E-3</v>
      </c>
    </row>
    <row r="1186" spans="2:13" x14ac:dyDescent="0.2">
      <c r="C1186" t="b">
        <v>0</v>
      </c>
      <c r="D1186">
        <v>17130.93</v>
      </c>
      <c r="E1186" t="s">
        <v>30</v>
      </c>
      <c r="F1186">
        <v>8.0000000000000002E-3</v>
      </c>
    </row>
    <row r="1187" spans="2:13" x14ac:dyDescent="0.2">
      <c r="C1187" t="b">
        <v>0</v>
      </c>
      <c r="D1187">
        <v>18713.060000000001</v>
      </c>
      <c r="E1187" t="s">
        <v>30</v>
      </c>
      <c r="F1187">
        <v>8.0000000000000002E-3</v>
      </c>
    </row>
    <row r="1188" spans="2:13" x14ac:dyDescent="0.2">
      <c r="C1188" t="b">
        <v>0</v>
      </c>
      <c r="D1188">
        <v>19493.86</v>
      </c>
      <c r="E1188" t="s">
        <v>30</v>
      </c>
      <c r="F1188">
        <v>8.9999999999999993E-3</v>
      </c>
    </row>
    <row r="1189" spans="2:13" x14ac:dyDescent="0.2">
      <c r="C1189" t="b">
        <v>0</v>
      </c>
      <c r="D1189">
        <v>18482.7</v>
      </c>
      <c r="E1189" t="s">
        <v>30</v>
      </c>
      <c r="F1189">
        <v>8.0000000000000002E-3</v>
      </c>
    </row>
    <row r="1190" spans="2:13" x14ac:dyDescent="0.2">
      <c r="B1190" t="s">
        <v>11</v>
      </c>
    </row>
    <row r="1191" spans="2:13" x14ac:dyDescent="0.2">
      <c r="B1191" t="s">
        <v>12</v>
      </c>
      <c r="C1191" t="s">
        <v>13</v>
      </c>
      <c r="D1191" t="s">
        <v>14</v>
      </c>
      <c r="E1191" t="s">
        <v>15</v>
      </c>
      <c r="F1191" t="s">
        <v>16</v>
      </c>
      <c r="G1191" t="s">
        <v>17</v>
      </c>
      <c r="H1191" t="s">
        <v>18</v>
      </c>
      <c r="I1191" t="s">
        <v>19</v>
      </c>
      <c r="J1191" t="s">
        <v>20</v>
      </c>
      <c r="K1191" t="s">
        <v>21</v>
      </c>
      <c r="L1191" t="s">
        <v>22</v>
      </c>
      <c r="M1191" t="s">
        <v>23</v>
      </c>
    </row>
    <row r="1192" spans="2:13" x14ac:dyDescent="0.2">
      <c r="B1192" t="s">
        <v>31</v>
      </c>
      <c r="C1192">
        <v>45</v>
      </c>
      <c r="E1192" t="s">
        <v>25</v>
      </c>
      <c r="F1192">
        <v>1221.52</v>
      </c>
      <c r="G1192">
        <v>11.8</v>
      </c>
      <c r="K1192">
        <v>0.1</v>
      </c>
      <c r="L1192">
        <v>7</v>
      </c>
      <c r="M1192">
        <v>118.3</v>
      </c>
    </row>
    <row r="1193" spans="2:13" x14ac:dyDescent="0.2">
      <c r="C1193" t="s">
        <v>27</v>
      </c>
    </row>
    <row r="1194" spans="2:13" x14ac:dyDescent="0.2">
      <c r="C1194" t="s">
        <v>28</v>
      </c>
      <c r="D1194" t="s">
        <v>16</v>
      </c>
      <c r="E1194" t="s">
        <v>29</v>
      </c>
      <c r="F1194" t="s">
        <v>18</v>
      </c>
    </row>
    <row r="1195" spans="2:13" x14ac:dyDescent="0.2">
      <c r="C1195" t="b">
        <v>0</v>
      </c>
      <c r="D1195">
        <v>1310.1099999999999</v>
      </c>
      <c r="E1195" t="s">
        <v>30</v>
      </c>
    </row>
    <row r="1196" spans="2:13" x14ac:dyDescent="0.2">
      <c r="C1196" t="b">
        <v>0</v>
      </c>
      <c r="D1196">
        <v>1140.0899999999999</v>
      </c>
      <c r="E1196" t="s">
        <v>30</v>
      </c>
    </row>
    <row r="1197" spans="2:13" x14ac:dyDescent="0.2">
      <c r="C1197" t="b">
        <v>0</v>
      </c>
      <c r="D1197">
        <v>1450.12</v>
      </c>
      <c r="E1197" t="s">
        <v>30</v>
      </c>
    </row>
    <row r="1198" spans="2:13" x14ac:dyDescent="0.2">
      <c r="C1198" t="b">
        <v>0</v>
      </c>
      <c r="D1198">
        <v>1050.08</v>
      </c>
      <c r="E1198" t="s">
        <v>30</v>
      </c>
    </row>
    <row r="1199" spans="2:13" x14ac:dyDescent="0.2">
      <c r="C1199" t="b">
        <v>0</v>
      </c>
      <c r="D1199">
        <v>1330.09</v>
      </c>
      <c r="E1199" t="s">
        <v>30</v>
      </c>
    </row>
    <row r="1200" spans="2:13" x14ac:dyDescent="0.2">
      <c r="C1200" t="b">
        <v>0</v>
      </c>
      <c r="D1200">
        <v>1170.0899999999999</v>
      </c>
      <c r="E1200" t="s">
        <v>30</v>
      </c>
    </row>
    <row r="1201" spans="2:13" x14ac:dyDescent="0.2">
      <c r="C1201" t="b">
        <v>0</v>
      </c>
      <c r="D1201">
        <v>1100.08</v>
      </c>
      <c r="E1201" t="s">
        <v>30</v>
      </c>
    </row>
    <row r="1202" spans="2:13" x14ac:dyDescent="0.2">
      <c r="B1202" t="s">
        <v>11</v>
      </c>
    </row>
    <row r="1203" spans="2:13" x14ac:dyDescent="0.2">
      <c r="B1203" t="s">
        <v>12</v>
      </c>
      <c r="C1203" t="s">
        <v>13</v>
      </c>
      <c r="D1203" t="s">
        <v>14</v>
      </c>
      <c r="E1203" t="s">
        <v>15</v>
      </c>
      <c r="F1203" t="s">
        <v>16</v>
      </c>
      <c r="G1203" t="s">
        <v>17</v>
      </c>
      <c r="H1203" t="s">
        <v>18</v>
      </c>
      <c r="I1203" t="s">
        <v>19</v>
      </c>
      <c r="J1203" t="s">
        <v>20</v>
      </c>
      <c r="K1203" t="s">
        <v>21</v>
      </c>
      <c r="L1203" t="s">
        <v>22</v>
      </c>
      <c r="M1203" t="s">
        <v>23</v>
      </c>
    </row>
    <row r="1204" spans="2:13" x14ac:dyDescent="0.2">
      <c r="B1204" t="s">
        <v>32</v>
      </c>
      <c r="C1204">
        <v>72</v>
      </c>
      <c r="E1204" t="s">
        <v>25</v>
      </c>
      <c r="F1204">
        <v>872.92</v>
      </c>
      <c r="G1204">
        <v>16.5</v>
      </c>
      <c r="K1204">
        <v>0.1</v>
      </c>
      <c r="L1204">
        <v>7</v>
      </c>
      <c r="M1204">
        <v>117.1</v>
      </c>
    </row>
    <row r="1205" spans="2:13" x14ac:dyDescent="0.2">
      <c r="C1205" t="s">
        <v>27</v>
      </c>
    </row>
    <row r="1206" spans="2:13" x14ac:dyDescent="0.2">
      <c r="C1206" t="s">
        <v>28</v>
      </c>
      <c r="D1206" t="s">
        <v>16</v>
      </c>
      <c r="E1206" t="s">
        <v>29</v>
      </c>
      <c r="F1206" t="s">
        <v>18</v>
      </c>
    </row>
    <row r="1207" spans="2:13" x14ac:dyDescent="0.2">
      <c r="C1207" t="b">
        <v>0</v>
      </c>
      <c r="D1207">
        <v>810.06</v>
      </c>
      <c r="E1207" t="s">
        <v>30</v>
      </c>
    </row>
    <row r="1208" spans="2:13" x14ac:dyDescent="0.2">
      <c r="C1208" t="b">
        <v>0</v>
      </c>
      <c r="D1208">
        <v>910.06</v>
      </c>
      <c r="E1208" t="s">
        <v>30</v>
      </c>
    </row>
    <row r="1209" spans="2:13" x14ac:dyDescent="0.2">
      <c r="C1209" t="b">
        <v>0</v>
      </c>
      <c r="D1209">
        <v>820.05</v>
      </c>
      <c r="E1209" t="s">
        <v>30</v>
      </c>
    </row>
    <row r="1210" spans="2:13" x14ac:dyDescent="0.2">
      <c r="C1210" t="b">
        <v>0</v>
      </c>
      <c r="D1210">
        <v>760.04</v>
      </c>
      <c r="E1210" t="s">
        <v>30</v>
      </c>
    </row>
    <row r="1211" spans="2:13" x14ac:dyDescent="0.2">
      <c r="C1211" t="b">
        <v>0</v>
      </c>
      <c r="D1211">
        <v>1170.0899999999999</v>
      </c>
      <c r="E1211" t="s">
        <v>30</v>
      </c>
    </row>
    <row r="1212" spans="2:13" x14ac:dyDescent="0.2">
      <c r="C1212" t="b">
        <v>0</v>
      </c>
      <c r="D1212">
        <v>890.07</v>
      </c>
      <c r="E1212" t="s">
        <v>30</v>
      </c>
    </row>
    <row r="1213" spans="2:13" x14ac:dyDescent="0.2">
      <c r="C1213" t="b">
        <v>0</v>
      </c>
      <c r="D1213">
        <v>750.05</v>
      </c>
      <c r="E1213" t="s">
        <v>30</v>
      </c>
    </row>
    <row r="1214" spans="2:13" x14ac:dyDescent="0.2">
      <c r="B1214" t="s">
        <v>11</v>
      </c>
    </row>
    <row r="1215" spans="2:13" x14ac:dyDescent="0.2">
      <c r="B1215" t="s">
        <v>12</v>
      </c>
      <c r="C1215" t="s">
        <v>13</v>
      </c>
      <c r="D1215" t="s">
        <v>14</v>
      </c>
      <c r="E1215" t="s">
        <v>15</v>
      </c>
      <c r="F1215" t="s">
        <v>16</v>
      </c>
      <c r="G1215" t="s">
        <v>17</v>
      </c>
      <c r="H1215" t="s">
        <v>18</v>
      </c>
      <c r="I1215" t="s">
        <v>19</v>
      </c>
      <c r="J1215" t="s">
        <v>20</v>
      </c>
      <c r="K1215" t="s">
        <v>21</v>
      </c>
      <c r="L1215" t="s">
        <v>22</v>
      </c>
      <c r="M1215" t="s">
        <v>23</v>
      </c>
    </row>
    <row r="1216" spans="2:13" x14ac:dyDescent="0.2">
      <c r="B1216" t="s">
        <v>33</v>
      </c>
      <c r="C1216">
        <v>89</v>
      </c>
      <c r="E1216" t="s">
        <v>25</v>
      </c>
      <c r="F1216">
        <v>4612.3599999999997</v>
      </c>
      <c r="G1216">
        <v>5.5</v>
      </c>
      <c r="K1216">
        <v>0.1</v>
      </c>
      <c r="L1216">
        <v>7</v>
      </c>
      <c r="M1216">
        <v>116.9</v>
      </c>
    </row>
    <row r="1217" spans="1:13" x14ac:dyDescent="0.2">
      <c r="C1217" t="s">
        <v>27</v>
      </c>
    </row>
    <row r="1218" spans="1:13" x14ac:dyDescent="0.2">
      <c r="C1218" t="s">
        <v>28</v>
      </c>
      <c r="D1218" t="s">
        <v>16</v>
      </c>
      <c r="E1218" t="s">
        <v>29</v>
      </c>
      <c r="F1218" t="s">
        <v>18</v>
      </c>
    </row>
    <row r="1219" spans="1:13" x14ac:dyDescent="0.2">
      <c r="C1219" t="b">
        <v>0</v>
      </c>
      <c r="D1219">
        <v>4831</v>
      </c>
      <c r="E1219" t="s">
        <v>30</v>
      </c>
    </row>
    <row r="1220" spans="1:13" x14ac:dyDescent="0.2">
      <c r="C1220" t="b">
        <v>0</v>
      </c>
      <c r="D1220">
        <v>4470.88</v>
      </c>
      <c r="E1220" t="s">
        <v>30</v>
      </c>
    </row>
    <row r="1221" spans="1:13" x14ac:dyDescent="0.2">
      <c r="C1221" t="b">
        <v>0</v>
      </c>
      <c r="D1221">
        <v>4350.8900000000003</v>
      </c>
      <c r="E1221" t="s">
        <v>30</v>
      </c>
    </row>
    <row r="1222" spans="1:13" x14ac:dyDescent="0.2">
      <c r="C1222" t="b">
        <v>0</v>
      </c>
      <c r="D1222">
        <v>4600.93</v>
      </c>
      <c r="E1222" t="s">
        <v>30</v>
      </c>
    </row>
    <row r="1223" spans="1:13" x14ac:dyDescent="0.2">
      <c r="C1223" t="b">
        <v>0</v>
      </c>
      <c r="D1223">
        <v>4811</v>
      </c>
      <c r="E1223" t="s">
        <v>30</v>
      </c>
    </row>
    <row r="1224" spans="1:13" x14ac:dyDescent="0.2">
      <c r="C1224" t="b">
        <v>0</v>
      </c>
      <c r="D1224">
        <v>4931.04</v>
      </c>
      <c r="E1224" t="s">
        <v>30</v>
      </c>
    </row>
    <row r="1225" spans="1:13" x14ac:dyDescent="0.2">
      <c r="C1225" t="b">
        <v>0</v>
      </c>
      <c r="D1225">
        <v>4290.8100000000004</v>
      </c>
      <c r="E1225" t="s">
        <v>30</v>
      </c>
    </row>
    <row r="1226" spans="1:13" x14ac:dyDescent="0.2">
      <c r="A1226" t="s">
        <v>0</v>
      </c>
    </row>
    <row r="1227" spans="1:13" x14ac:dyDescent="0.2"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</row>
    <row r="1228" spans="1:13" x14ac:dyDescent="0.2">
      <c r="B1228" t="b">
        <v>0</v>
      </c>
      <c r="C1228" t="s">
        <v>103</v>
      </c>
      <c r="D1228" t="s">
        <v>104</v>
      </c>
      <c r="E1228" t="s">
        <v>0</v>
      </c>
      <c r="G1228" t="s">
        <v>105</v>
      </c>
    </row>
    <row r="1229" spans="1:13" x14ac:dyDescent="0.2">
      <c r="B1229" t="s">
        <v>11</v>
      </c>
    </row>
    <row r="1230" spans="1:13" x14ac:dyDescent="0.2">
      <c r="B1230" t="s">
        <v>12</v>
      </c>
      <c r="C1230" t="s">
        <v>13</v>
      </c>
      <c r="D1230" t="s">
        <v>14</v>
      </c>
      <c r="E1230" t="s">
        <v>15</v>
      </c>
      <c r="F1230" t="s">
        <v>16</v>
      </c>
      <c r="G1230" t="s">
        <v>17</v>
      </c>
      <c r="H1230" t="s">
        <v>18</v>
      </c>
      <c r="I1230" t="s">
        <v>19</v>
      </c>
      <c r="J1230" t="s">
        <v>20</v>
      </c>
      <c r="K1230" t="s">
        <v>21</v>
      </c>
      <c r="L1230" t="s">
        <v>22</v>
      </c>
      <c r="M1230" t="s">
        <v>23</v>
      </c>
    </row>
    <row r="1231" spans="1:13" x14ac:dyDescent="0.2">
      <c r="B1231" t="s">
        <v>24</v>
      </c>
      <c r="C1231">
        <v>59</v>
      </c>
      <c r="E1231" t="s">
        <v>25</v>
      </c>
      <c r="F1231">
        <v>38642.49</v>
      </c>
      <c r="G1231">
        <v>1.9</v>
      </c>
      <c r="H1231">
        <v>1.7000000000000001E-2</v>
      </c>
      <c r="I1231" t="s">
        <v>26</v>
      </c>
      <c r="J1231">
        <v>1.9</v>
      </c>
      <c r="K1231">
        <v>0.1</v>
      </c>
      <c r="L1231">
        <v>7</v>
      </c>
    </row>
    <row r="1232" spans="1:13" x14ac:dyDescent="0.2">
      <c r="C1232" t="s">
        <v>27</v>
      </c>
    </row>
    <row r="1233" spans="2:13" x14ac:dyDescent="0.2">
      <c r="C1233" t="s">
        <v>28</v>
      </c>
      <c r="D1233" t="s">
        <v>16</v>
      </c>
      <c r="E1233" t="s">
        <v>29</v>
      </c>
      <c r="F1233" t="s">
        <v>18</v>
      </c>
    </row>
    <row r="1234" spans="2:13" x14ac:dyDescent="0.2">
      <c r="C1234" t="b">
        <v>0</v>
      </c>
      <c r="D1234">
        <v>38413.660000000003</v>
      </c>
      <c r="E1234" t="s">
        <v>30</v>
      </c>
      <c r="F1234">
        <v>1.7000000000000001E-2</v>
      </c>
    </row>
    <row r="1235" spans="2:13" x14ac:dyDescent="0.2">
      <c r="C1235" t="b">
        <v>0</v>
      </c>
      <c r="D1235">
        <v>38854.639999999999</v>
      </c>
      <c r="E1235" t="s">
        <v>30</v>
      </c>
      <c r="F1235">
        <v>1.7000000000000001E-2</v>
      </c>
    </row>
    <row r="1236" spans="2:13" x14ac:dyDescent="0.2">
      <c r="C1236" t="b">
        <v>0</v>
      </c>
      <c r="D1236">
        <v>38092.19</v>
      </c>
      <c r="E1236" t="s">
        <v>30</v>
      </c>
      <c r="F1236">
        <v>1.7000000000000001E-2</v>
      </c>
    </row>
    <row r="1237" spans="2:13" x14ac:dyDescent="0.2">
      <c r="C1237" t="b">
        <v>0</v>
      </c>
      <c r="D1237">
        <v>38974.54</v>
      </c>
      <c r="E1237" t="s">
        <v>30</v>
      </c>
      <c r="F1237">
        <v>1.7000000000000001E-2</v>
      </c>
    </row>
    <row r="1238" spans="2:13" x14ac:dyDescent="0.2">
      <c r="C1238" t="b">
        <v>0</v>
      </c>
      <c r="D1238">
        <v>39837.08</v>
      </c>
      <c r="E1238" t="s">
        <v>30</v>
      </c>
      <c r="F1238">
        <v>1.7999999999999999E-2</v>
      </c>
    </row>
    <row r="1239" spans="2:13" x14ac:dyDescent="0.2">
      <c r="C1239" t="b">
        <v>0</v>
      </c>
      <c r="D1239">
        <v>37551.29</v>
      </c>
      <c r="E1239" t="s">
        <v>30</v>
      </c>
      <c r="F1239">
        <v>1.7000000000000001E-2</v>
      </c>
    </row>
    <row r="1240" spans="2:13" x14ac:dyDescent="0.2">
      <c r="C1240" t="b">
        <v>0</v>
      </c>
      <c r="D1240">
        <v>38774.050000000003</v>
      </c>
      <c r="E1240" t="s">
        <v>30</v>
      </c>
      <c r="F1240">
        <v>1.7000000000000001E-2</v>
      </c>
    </row>
    <row r="1241" spans="2:13" x14ac:dyDescent="0.2">
      <c r="B1241" t="s">
        <v>11</v>
      </c>
    </row>
    <row r="1242" spans="2:13" x14ac:dyDescent="0.2">
      <c r="B1242" t="s">
        <v>12</v>
      </c>
      <c r="C1242" t="s">
        <v>13</v>
      </c>
      <c r="D1242" t="s">
        <v>14</v>
      </c>
      <c r="E1242" t="s">
        <v>15</v>
      </c>
      <c r="F1242" t="s">
        <v>16</v>
      </c>
      <c r="G1242" t="s">
        <v>17</v>
      </c>
      <c r="H1242" t="s">
        <v>18</v>
      </c>
      <c r="I1242" t="s">
        <v>19</v>
      </c>
      <c r="J1242" t="s">
        <v>20</v>
      </c>
      <c r="K1242" t="s">
        <v>21</v>
      </c>
      <c r="L1242" t="s">
        <v>22</v>
      </c>
      <c r="M1242" t="s">
        <v>23</v>
      </c>
    </row>
    <row r="1243" spans="2:13" x14ac:dyDescent="0.2">
      <c r="B1243" t="s">
        <v>31</v>
      </c>
      <c r="C1243">
        <v>45</v>
      </c>
      <c r="E1243" t="s">
        <v>25</v>
      </c>
      <c r="F1243">
        <v>1091.51</v>
      </c>
      <c r="G1243">
        <v>13.3</v>
      </c>
      <c r="K1243">
        <v>0.1</v>
      </c>
      <c r="L1243">
        <v>7</v>
      </c>
      <c r="M1243">
        <v>105.7</v>
      </c>
    </row>
    <row r="1244" spans="2:13" x14ac:dyDescent="0.2">
      <c r="C1244" t="s">
        <v>27</v>
      </c>
    </row>
    <row r="1245" spans="2:13" x14ac:dyDescent="0.2">
      <c r="C1245" t="s">
        <v>28</v>
      </c>
      <c r="D1245" t="s">
        <v>16</v>
      </c>
      <c r="E1245" t="s">
        <v>29</v>
      </c>
      <c r="F1245" t="s">
        <v>18</v>
      </c>
    </row>
    <row r="1246" spans="2:13" x14ac:dyDescent="0.2">
      <c r="C1246" t="b">
        <v>0</v>
      </c>
      <c r="D1246">
        <v>1090.08</v>
      </c>
      <c r="E1246" t="s">
        <v>30</v>
      </c>
    </row>
    <row r="1247" spans="2:13" x14ac:dyDescent="0.2">
      <c r="C1247" t="b">
        <v>0</v>
      </c>
      <c r="D1247">
        <v>970.08</v>
      </c>
      <c r="E1247" t="s">
        <v>30</v>
      </c>
    </row>
    <row r="1248" spans="2:13" x14ac:dyDescent="0.2">
      <c r="C1248" t="b">
        <v>0</v>
      </c>
      <c r="D1248">
        <v>890.06</v>
      </c>
      <c r="E1248" t="s">
        <v>30</v>
      </c>
    </row>
    <row r="1249" spans="2:13" x14ac:dyDescent="0.2">
      <c r="C1249" t="b">
        <v>0</v>
      </c>
      <c r="D1249">
        <v>1180.0899999999999</v>
      </c>
      <c r="E1249" t="s">
        <v>30</v>
      </c>
    </row>
    <row r="1250" spans="2:13" x14ac:dyDescent="0.2">
      <c r="C1250" t="b">
        <v>0</v>
      </c>
      <c r="D1250">
        <v>1110.0899999999999</v>
      </c>
      <c r="E1250" t="s">
        <v>30</v>
      </c>
    </row>
    <row r="1251" spans="2:13" x14ac:dyDescent="0.2">
      <c r="C1251" t="b">
        <v>0</v>
      </c>
      <c r="D1251">
        <v>1060.08</v>
      </c>
      <c r="E1251" t="s">
        <v>30</v>
      </c>
    </row>
    <row r="1252" spans="2:13" x14ac:dyDescent="0.2">
      <c r="C1252" t="b">
        <v>0</v>
      </c>
      <c r="D1252">
        <v>1340.11</v>
      </c>
      <c r="E1252" t="s">
        <v>30</v>
      </c>
    </row>
    <row r="1253" spans="2:13" x14ac:dyDescent="0.2">
      <c r="B1253" t="s">
        <v>11</v>
      </c>
    </row>
    <row r="1254" spans="2:13" x14ac:dyDescent="0.2">
      <c r="B1254" t="s">
        <v>12</v>
      </c>
      <c r="C1254" t="s">
        <v>13</v>
      </c>
      <c r="D1254" t="s">
        <v>14</v>
      </c>
      <c r="E1254" t="s">
        <v>15</v>
      </c>
      <c r="F1254" t="s">
        <v>16</v>
      </c>
      <c r="G1254" t="s">
        <v>17</v>
      </c>
      <c r="H1254" t="s">
        <v>18</v>
      </c>
      <c r="I1254" t="s">
        <v>19</v>
      </c>
      <c r="J1254" t="s">
        <v>20</v>
      </c>
      <c r="K1254" t="s">
        <v>21</v>
      </c>
      <c r="L1254" t="s">
        <v>22</v>
      </c>
      <c r="M1254" t="s">
        <v>23</v>
      </c>
    </row>
    <row r="1255" spans="2:13" x14ac:dyDescent="0.2">
      <c r="B1255" t="s">
        <v>32</v>
      </c>
      <c r="C1255">
        <v>72</v>
      </c>
      <c r="E1255" t="s">
        <v>25</v>
      </c>
      <c r="F1255">
        <v>680.04</v>
      </c>
      <c r="G1255">
        <v>14</v>
      </c>
      <c r="K1255">
        <v>0.1</v>
      </c>
      <c r="L1255">
        <v>7</v>
      </c>
      <c r="M1255">
        <v>91.2</v>
      </c>
    </row>
    <row r="1256" spans="2:13" x14ac:dyDescent="0.2">
      <c r="C1256" t="s">
        <v>27</v>
      </c>
    </row>
    <row r="1257" spans="2:13" x14ac:dyDescent="0.2">
      <c r="C1257" t="s">
        <v>28</v>
      </c>
      <c r="D1257" t="s">
        <v>16</v>
      </c>
      <c r="E1257" t="s">
        <v>29</v>
      </c>
      <c r="F1257" t="s">
        <v>18</v>
      </c>
    </row>
    <row r="1258" spans="2:13" x14ac:dyDescent="0.2">
      <c r="C1258" t="b">
        <v>0</v>
      </c>
      <c r="D1258">
        <v>560.04</v>
      </c>
      <c r="E1258" t="s">
        <v>30</v>
      </c>
    </row>
    <row r="1259" spans="2:13" x14ac:dyDescent="0.2">
      <c r="C1259" t="b">
        <v>0</v>
      </c>
      <c r="D1259">
        <v>720.05</v>
      </c>
      <c r="E1259" t="s">
        <v>30</v>
      </c>
    </row>
    <row r="1260" spans="2:13" x14ac:dyDescent="0.2">
      <c r="C1260" t="b">
        <v>0</v>
      </c>
      <c r="D1260">
        <v>590.04</v>
      </c>
      <c r="E1260" t="s">
        <v>30</v>
      </c>
    </row>
    <row r="1261" spans="2:13" x14ac:dyDescent="0.2">
      <c r="C1261" t="b">
        <v>0</v>
      </c>
      <c r="D1261">
        <v>670.04</v>
      </c>
      <c r="E1261" t="s">
        <v>30</v>
      </c>
    </row>
    <row r="1262" spans="2:13" x14ac:dyDescent="0.2">
      <c r="C1262" t="b">
        <v>0</v>
      </c>
      <c r="D1262">
        <v>630.04</v>
      </c>
      <c r="E1262" t="s">
        <v>30</v>
      </c>
    </row>
    <row r="1263" spans="2:13" x14ac:dyDescent="0.2">
      <c r="C1263" t="b">
        <v>0</v>
      </c>
      <c r="D1263">
        <v>770.05</v>
      </c>
      <c r="E1263" t="s">
        <v>30</v>
      </c>
    </row>
    <row r="1264" spans="2:13" x14ac:dyDescent="0.2">
      <c r="C1264" t="b">
        <v>0</v>
      </c>
      <c r="D1264">
        <v>820.05</v>
      </c>
      <c r="E1264" t="s">
        <v>30</v>
      </c>
    </row>
    <row r="1265" spans="1:13" x14ac:dyDescent="0.2">
      <c r="B1265" t="s">
        <v>11</v>
      </c>
    </row>
    <row r="1266" spans="1:13" x14ac:dyDescent="0.2">
      <c r="B1266" t="s">
        <v>12</v>
      </c>
      <c r="C1266" t="s">
        <v>13</v>
      </c>
      <c r="D1266" t="s">
        <v>14</v>
      </c>
      <c r="E1266" t="s">
        <v>15</v>
      </c>
      <c r="F1266" t="s">
        <v>16</v>
      </c>
      <c r="G1266" t="s">
        <v>17</v>
      </c>
      <c r="H1266" t="s">
        <v>18</v>
      </c>
      <c r="I1266" t="s">
        <v>19</v>
      </c>
      <c r="J1266" t="s">
        <v>20</v>
      </c>
      <c r="K1266" t="s">
        <v>21</v>
      </c>
      <c r="L1266" t="s">
        <v>22</v>
      </c>
      <c r="M1266" t="s">
        <v>23</v>
      </c>
    </row>
    <row r="1267" spans="1:13" x14ac:dyDescent="0.2">
      <c r="B1267" t="s">
        <v>33</v>
      </c>
      <c r="C1267">
        <v>89</v>
      </c>
      <c r="E1267" t="s">
        <v>25</v>
      </c>
      <c r="F1267">
        <v>3434.83</v>
      </c>
      <c r="G1267">
        <v>8.4</v>
      </c>
      <c r="K1267">
        <v>0.1</v>
      </c>
      <c r="L1267">
        <v>7</v>
      </c>
      <c r="M1267">
        <v>87.1</v>
      </c>
    </row>
    <row r="1268" spans="1:13" x14ac:dyDescent="0.2">
      <c r="C1268" t="s">
        <v>27</v>
      </c>
    </row>
    <row r="1269" spans="1:13" x14ac:dyDescent="0.2">
      <c r="C1269" t="s">
        <v>28</v>
      </c>
      <c r="D1269" t="s">
        <v>16</v>
      </c>
      <c r="E1269" t="s">
        <v>29</v>
      </c>
      <c r="F1269" t="s">
        <v>18</v>
      </c>
    </row>
    <row r="1270" spans="1:13" x14ac:dyDescent="0.2">
      <c r="C1270" t="b">
        <v>0</v>
      </c>
      <c r="D1270">
        <v>3320.52</v>
      </c>
      <c r="E1270" t="s">
        <v>30</v>
      </c>
    </row>
    <row r="1271" spans="1:13" x14ac:dyDescent="0.2">
      <c r="C1271" t="b">
        <v>0</v>
      </c>
      <c r="D1271">
        <v>3070.45</v>
      </c>
      <c r="E1271" t="s">
        <v>30</v>
      </c>
    </row>
    <row r="1272" spans="1:13" x14ac:dyDescent="0.2">
      <c r="C1272" t="b">
        <v>0</v>
      </c>
      <c r="D1272">
        <v>3430.55</v>
      </c>
      <c r="E1272" t="s">
        <v>30</v>
      </c>
    </row>
    <row r="1273" spans="1:13" x14ac:dyDescent="0.2">
      <c r="C1273" t="b">
        <v>0</v>
      </c>
      <c r="D1273">
        <v>3100.46</v>
      </c>
      <c r="E1273" t="s">
        <v>30</v>
      </c>
    </row>
    <row r="1274" spans="1:13" x14ac:dyDescent="0.2">
      <c r="C1274" t="b">
        <v>0</v>
      </c>
      <c r="D1274">
        <v>3810.67</v>
      </c>
      <c r="E1274" t="s">
        <v>30</v>
      </c>
    </row>
    <row r="1275" spans="1:13" x14ac:dyDescent="0.2">
      <c r="C1275" t="b">
        <v>0</v>
      </c>
      <c r="D1275">
        <v>3660.59</v>
      </c>
      <c r="E1275" t="s">
        <v>30</v>
      </c>
    </row>
    <row r="1276" spans="1:13" x14ac:dyDescent="0.2">
      <c r="C1276" t="b">
        <v>0</v>
      </c>
      <c r="D1276">
        <v>3650.6</v>
      </c>
      <c r="E1276" t="s">
        <v>30</v>
      </c>
    </row>
    <row r="1277" spans="1:13" x14ac:dyDescent="0.2">
      <c r="A1277" t="s">
        <v>0</v>
      </c>
    </row>
    <row r="1278" spans="1:13" x14ac:dyDescent="0.2"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</row>
    <row r="1279" spans="1:13" x14ac:dyDescent="0.2">
      <c r="A1279" t="s">
        <v>106</v>
      </c>
      <c r="B1279" t="b">
        <v>0</v>
      </c>
      <c r="C1279" t="s">
        <v>107</v>
      </c>
      <c r="D1279" t="s">
        <v>108</v>
      </c>
      <c r="E1279" t="s">
        <v>0</v>
      </c>
      <c r="G1279" t="s">
        <v>109</v>
      </c>
    </row>
    <row r="1280" spans="1:13" x14ac:dyDescent="0.2">
      <c r="B1280" t="s">
        <v>11</v>
      </c>
    </row>
    <row r="1281" spans="2:13" x14ac:dyDescent="0.2">
      <c r="B1281" t="s">
        <v>12</v>
      </c>
      <c r="C1281" t="s">
        <v>13</v>
      </c>
      <c r="D1281" t="s">
        <v>14</v>
      </c>
      <c r="E1281" t="s">
        <v>15</v>
      </c>
      <c r="F1281" t="s">
        <v>16</v>
      </c>
      <c r="G1281" t="s">
        <v>17</v>
      </c>
      <c r="H1281" t="s">
        <v>18</v>
      </c>
      <c r="I1281" t="s">
        <v>19</v>
      </c>
      <c r="J1281" t="s">
        <v>20</v>
      </c>
      <c r="K1281" t="s">
        <v>21</v>
      </c>
      <c r="L1281" t="s">
        <v>22</v>
      </c>
      <c r="M1281" t="s">
        <v>23</v>
      </c>
    </row>
    <row r="1282" spans="2:13" x14ac:dyDescent="0.2">
      <c r="B1282" t="s">
        <v>24</v>
      </c>
      <c r="C1282">
        <v>59</v>
      </c>
      <c r="E1282" t="s">
        <v>25</v>
      </c>
      <c r="F1282">
        <v>37745.620000000003</v>
      </c>
      <c r="G1282">
        <v>1.1000000000000001</v>
      </c>
      <c r="H1282">
        <v>1.7000000000000001E-2</v>
      </c>
      <c r="I1282" t="s">
        <v>26</v>
      </c>
      <c r="J1282">
        <v>1.1000000000000001</v>
      </c>
      <c r="K1282">
        <v>0.1</v>
      </c>
      <c r="L1282">
        <v>7</v>
      </c>
    </row>
    <row r="1283" spans="2:13" x14ac:dyDescent="0.2">
      <c r="C1283" t="s">
        <v>27</v>
      </c>
    </row>
    <row r="1284" spans="2:13" x14ac:dyDescent="0.2">
      <c r="C1284" t="s">
        <v>28</v>
      </c>
      <c r="D1284" t="s">
        <v>16</v>
      </c>
      <c r="E1284" t="s">
        <v>29</v>
      </c>
      <c r="F1284" t="s">
        <v>18</v>
      </c>
    </row>
    <row r="1285" spans="2:13" x14ac:dyDescent="0.2">
      <c r="C1285" t="b">
        <v>0</v>
      </c>
      <c r="D1285">
        <v>37250.14</v>
      </c>
      <c r="E1285" t="s">
        <v>30</v>
      </c>
      <c r="F1285">
        <v>1.7000000000000001E-2</v>
      </c>
    </row>
    <row r="1286" spans="2:13" x14ac:dyDescent="0.2">
      <c r="C1286" t="b">
        <v>0</v>
      </c>
      <c r="D1286">
        <v>37891.81</v>
      </c>
      <c r="E1286" t="s">
        <v>30</v>
      </c>
      <c r="F1286">
        <v>1.7000000000000001E-2</v>
      </c>
    </row>
    <row r="1287" spans="2:13" x14ac:dyDescent="0.2">
      <c r="C1287" t="b">
        <v>0</v>
      </c>
      <c r="D1287">
        <v>37310.21</v>
      </c>
      <c r="E1287" t="s">
        <v>30</v>
      </c>
      <c r="F1287">
        <v>1.7000000000000001E-2</v>
      </c>
    </row>
    <row r="1288" spans="2:13" x14ac:dyDescent="0.2">
      <c r="C1288" t="b">
        <v>0</v>
      </c>
      <c r="D1288">
        <v>38212.699999999997</v>
      </c>
      <c r="E1288" t="s">
        <v>30</v>
      </c>
      <c r="F1288">
        <v>1.7000000000000001E-2</v>
      </c>
    </row>
    <row r="1289" spans="2:13" x14ac:dyDescent="0.2">
      <c r="C1289" t="b">
        <v>0</v>
      </c>
      <c r="D1289">
        <v>37520.660000000003</v>
      </c>
      <c r="E1289" t="s">
        <v>30</v>
      </c>
      <c r="F1289">
        <v>1.7000000000000001E-2</v>
      </c>
    </row>
    <row r="1290" spans="2:13" x14ac:dyDescent="0.2">
      <c r="C1290" t="b">
        <v>0</v>
      </c>
      <c r="D1290">
        <v>38262.6</v>
      </c>
      <c r="E1290" t="s">
        <v>30</v>
      </c>
      <c r="F1290">
        <v>1.7000000000000001E-2</v>
      </c>
    </row>
    <row r="1291" spans="2:13" x14ac:dyDescent="0.2">
      <c r="C1291" t="b">
        <v>0</v>
      </c>
      <c r="D1291">
        <v>37771.25</v>
      </c>
      <c r="E1291" t="s">
        <v>30</v>
      </c>
      <c r="F1291">
        <v>1.7000000000000001E-2</v>
      </c>
    </row>
    <row r="1292" spans="2:13" x14ac:dyDescent="0.2">
      <c r="B1292" t="s">
        <v>11</v>
      </c>
    </row>
    <row r="1293" spans="2:13" x14ac:dyDescent="0.2">
      <c r="B1293" t="s">
        <v>12</v>
      </c>
      <c r="C1293" t="s">
        <v>13</v>
      </c>
      <c r="D1293" t="s">
        <v>14</v>
      </c>
      <c r="E1293" t="s">
        <v>15</v>
      </c>
      <c r="F1293" t="s">
        <v>16</v>
      </c>
      <c r="G1293" t="s">
        <v>17</v>
      </c>
      <c r="H1293" t="s">
        <v>18</v>
      </c>
      <c r="I1293" t="s">
        <v>19</v>
      </c>
      <c r="J1293" t="s">
        <v>20</v>
      </c>
      <c r="K1293" t="s">
        <v>21</v>
      </c>
      <c r="L1293" t="s">
        <v>22</v>
      </c>
      <c r="M1293" t="s">
        <v>23</v>
      </c>
    </row>
    <row r="1294" spans="2:13" x14ac:dyDescent="0.2">
      <c r="B1294" t="s">
        <v>31</v>
      </c>
      <c r="C1294">
        <v>45</v>
      </c>
      <c r="E1294" t="s">
        <v>25</v>
      </c>
      <c r="F1294">
        <v>1322.96</v>
      </c>
      <c r="G1294">
        <v>8.4</v>
      </c>
      <c r="K1294">
        <v>0.1</v>
      </c>
      <c r="L1294">
        <v>7</v>
      </c>
      <c r="M1294">
        <v>128.1</v>
      </c>
    </row>
    <row r="1295" spans="2:13" x14ac:dyDescent="0.2">
      <c r="C1295" t="s">
        <v>27</v>
      </c>
    </row>
    <row r="1296" spans="2:13" x14ac:dyDescent="0.2">
      <c r="C1296" t="s">
        <v>28</v>
      </c>
      <c r="D1296" t="s">
        <v>16</v>
      </c>
      <c r="E1296" t="s">
        <v>29</v>
      </c>
      <c r="F1296" t="s">
        <v>18</v>
      </c>
    </row>
    <row r="1297" spans="2:13" x14ac:dyDescent="0.2">
      <c r="C1297" t="b">
        <v>0</v>
      </c>
      <c r="D1297">
        <v>1220.0899999999999</v>
      </c>
      <c r="E1297" t="s">
        <v>30</v>
      </c>
    </row>
    <row r="1298" spans="2:13" x14ac:dyDescent="0.2">
      <c r="C1298" t="b">
        <v>0</v>
      </c>
      <c r="D1298">
        <v>1280.0999999999999</v>
      </c>
      <c r="E1298" t="s">
        <v>30</v>
      </c>
    </row>
    <row r="1299" spans="2:13" x14ac:dyDescent="0.2">
      <c r="C1299" t="b">
        <v>0</v>
      </c>
      <c r="D1299">
        <v>1230.0899999999999</v>
      </c>
      <c r="E1299" t="s">
        <v>30</v>
      </c>
    </row>
    <row r="1300" spans="2:13" x14ac:dyDescent="0.2">
      <c r="C1300" t="b">
        <v>0</v>
      </c>
      <c r="D1300">
        <v>1410.12</v>
      </c>
      <c r="E1300" t="s">
        <v>30</v>
      </c>
    </row>
    <row r="1301" spans="2:13" x14ac:dyDescent="0.2">
      <c r="C1301" t="b">
        <v>0</v>
      </c>
      <c r="D1301">
        <v>1220.0899999999999</v>
      </c>
      <c r="E1301" t="s">
        <v>30</v>
      </c>
    </row>
    <row r="1302" spans="2:13" x14ac:dyDescent="0.2">
      <c r="C1302" t="b">
        <v>0</v>
      </c>
      <c r="D1302">
        <v>1420.12</v>
      </c>
      <c r="E1302" t="s">
        <v>30</v>
      </c>
    </row>
    <row r="1303" spans="2:13" x14ac:dyDescent="0.2">
      <c r="C1303" t="b">
        <v>0</v>
      </c>
      <c r="D1303">
        <v>1480.13</v>
      </c>
      <c r="E1303" t="s">
        <v>30</v>
      </c>
    </row>
    <row r="1304" spans="2:13" x14ac:dyDescent="0.2">
      <c r="B1304" t="s">
        <v>11</v>
      </c>
    </row>
    <row r="1305" spans="2:13" x14ac:dyDescent="0.2">
      <c r="B1305" t="s">
        <v>12</v>
      </c>
      <c r="C1305" t="s">
        <v>13</v>
      </c>
      <c r="D1305" t="s">
        <v>14</v>
      </c>
      <c r="E1305" t="s">
        <v>15</v>
      </c>
      <c r="F1305" t="s">
        <v>16</v>
      </c>
      <c r="G1305" t="s">
        <v>17</v>
      </c>
      <c r="H1305" t="s">
        <v>18</v>
      </c>
      <c r="I1305" t="s">
        <v>19</v>
      </c>
      <c r="J1305" t="s">
        <v>20</v>
      </c>
      <c r="K1305" t="s">
        <v>21</v>
      </c>
      <c r="L1305" t="s">
        <v>22</v>
      </c>
      <c r="M1305" t="s">
        <v>23</v>
      </c>
    </row>
    <row r="1306" spans="2:13" x14ac:dyDescent="0.2">
      <c r="B1306" t="s">
        <v>32</v>
      </c>
      <c r="C1306">
        <v>72</v>
      </c>
      <c r="E1306" t="s">
        <v>25</v>
      </c>
      <c r="F1306">
        <v>861.49</v>
      </c>
      <c r="G1306">
        <v>5.6</v>
      </c>
      <c r="K1306">
        <v>0.1</v>
      </c>
      <c r="L1306">
        <v>7</v>
      </c>
      <c r="M1306">
        <v>115.5</v>
      </c>
    </row>
    <row r="1307" spans="2:13" x14ac:dyDescent="0.2">
      <c r="C1307" t="s">
        <v>27</v>
      </c>
    </row>
    <row r="1308" spans="2:13" x14ac:dyDescent="0.2">
      <c r="C1308" t="s">
        <v>28</v>
      </c>
      <c r="D1308" t="s">
        <v>16</v>
      </c>
      <c r="E1308" t="s">
        <v>29</v>
      </c>
      <c r="F1308" t="s">
        <v>18</v>
      </c>
    </row>
    <row r="1309" spans="2:13" x14ac:dyDescent="0.2">
      <c r="C1309" t="b">
        <v>0</v>
      </c>
      <c r="D1309">
        <v>890.06</v>
      </c>
      <c r="E1309" t="s">
        <v>30</v>
      </c>
    </row>
    <row r="1310" spans="2:13" x14ac:dyDescent="0.2">
      <c r="C1310" t="b">
        <v>0</v>
      </c>
      <c r="D1310">
        <v>870.06</v>
      </c>
      <c r="E1310" t="s">
        <v>30</v>
      </c>
    </row>
    <row r="1311" spans="2:13" x14ac:dyDescent="0.2">
      <c r="C1311" t="b">
        <v>0</v>
      </c>
      <c r="D1311">
        <v>920.07</v>
      </c>
      <c r="E1311" t="s">
        <v>30</v>
      </c>
    </row>
    <row r="1312" spans="2:13" x14ac:dyDescent="0.2">
      <c r="C1312" t="b">
        <v>0</v>
      </c>
      <c r="D1312">
        <v>820.05</v>
      </c>
      <c r="E1312" t="s">
        <v>30</v>
      </c>
    </row>
    <row r="1313" spans="1:13" x14ac:dyDescent="0.2">
      <c r="C1313" t="b">
        <v>0</v>
      </c>
      <c r="D1313">
        <v>820.06</v>
      </c>
      <c r="E1313" t="s">
        <v>30</v>
      </c>
    </row>
    <row r="1314" spans="1:13" x14ac:dyDescent="0.2">
      <c r="C1314" t="b">
        <v>0</v>
      </c>
      <c r="D1314">
        <v>910.06</v>
      </c>
      <c r="E1314" t="s">
        <v>30</v>
      </c>
    </row>
    <row r="1315" spans="1:13" x14ac:dyDescent="0.2">
      <c r="C1315" t="b">
        <v>0</v>
      </c>
      <c r="D1315">
        <v>800.05</v>
      </c>
      <c r="E1315" t="s">
        <v>30</v>
      </c>
    </row>
    <row r="1316" spans="1:13" x14ac:dyDescent="0.2">
      <c r="B1316" t="s">
        <v>11</v>
      </c>
    </row>
    <row r="1317" spans="1:13" x14ac:dyDescent="0.2">
      <c r="B1317" t="s">
        <v>12</v>
      </c>
      <c r="C1317" t="s">
        <v>13</v>
      </c>
      <c r="D1317" t="s">
        <v>14</v>
      </c>
      <c r="E1317" t="s">
        <v>15</v>
      </c>
      <c r="F1317" t="s">
        <v>16</v>
      </c>
      <c r="G1317" t="s">
        <v>17</v>
      </c>
      <c r="H1317" t="s">
        <v>18</v>
      </c>
      <c r="I1317" t="s">
        <v>19</v>
      </c>
      <c r="J1317" t="s">
        <v>20</v>
      </c>
      <c r="K1317" t="s">
        <v>21</v>
      </c>
      <c r="L1317" t="s">
        <v>22</v>
      </c>
      <c r="M1317" t="s">
        <v>23</v>
      </c>
    </row>
    <row r="1318" spans="1:13" x14ac:dyDescent="0.2">
      <c r="B1318" t="s">
        <v>33</v>
      </c>
      <c r="C1318">
        <v>89</v>
      </c>
      <c r="E1318" t="s">
        <v>25</v>
      </c>
      <c r="F1318">
        <v>4436.58</v>
      </c>
      <c r="G1318">
        <v>5.5</v>
      </c>
      <c r="K1318">
        <v>0.1</v>
      </c>
      <c r="L1318">
        <v>7</v>
      </c>
      <c r="M1318">
        <v>112.5</v>
      </c>
    </row>
    <row r="1319" spans="1:13" x14ac:dyDescent="0.2">
      <c r="C1319" t="s">
        <v>27</v>
      </c>
    </row>
    <row r="1320" spans="1:13" x14ac:dyDescent="0.2">
      <c r="C1320" t="s">
        <v>28</v>
      </c>
      <c r="D1320" t="s">
        <v>16</v>
      </c>
      <c r="E1320" t="s">
        <v>29</v>
      </c>
      <c r="F1320" t="s">
        <v>18</v>
      </c>
    </row>
    <row r="1321" spans="1:13" x14ac:dyDescent="0.2">
      <c r="C1321" t="b">
        <v>0</v>
      </c>
      <c r="D1321">
        <v>4370.8100000000004</v>
      </c>
      <c r="E1321" t="s">
        <v>30</v>
      </c>
    </row>
    <row r="1322" spans="1:13" x14ac:dyDescent="0.2">
      <c r="C1322" t="b">
        <v>0</v>
      </c>
      <c r="D1322">
        <v>4320.84</v>
      </c>
      <c r="E1322" t="s">
        <v>30</v>
      </c>
    </row>
    <row r="1323" spans="1:13" x14ac:dyDescent="0.2">
      <c r="C1323" t="b">
        <v>0</v>
      </c>
      <c r="D1323">
        <v>4400.8500000000004</v>
      </c>
      <c r="E1323" t="s">
        <v>30</v>
      </c>
    </row>
    <row r="1324" spans="1:13" x14ac:dyDescent="0.2">
      <c r="C1324" t="b">
        <v>0</v>
      </c>
      <c r="D1324">
        <v>4090.7</v>
      </c>
      <c r="E1324" t="s">
        <v>30</v>
      </c>
    </row>
    <row r="1325" spans="1:13" x14ac:dyDescent="0.2">
      <c r="C1325" t="b">
        <v>0</v>
      </c>
      <c r="D1325">
        <v>4370.8599999999997</v>
      </c>
      <c r="E1325" t="s">
        <v>30</v>
      </c>
    </row>
    <row r="1326" spans="1:13" x14ac:dyDescent="0.2">
      <c r="C1326" t="b">
        <v>0</v>
      </c>
      <c r="D1326">
        <v>4670.95</v>
      </c>
      <c r="E1326" t="s">
        <v>30</v>
      </c>
    </row>
    <row r="1327" spans="1:13" x14ac:dyDescent="0.2">
      <c r="C1327" t="b">
        <v>0</v>
      </c>
      <c r="D1327">
        <v>4831.03</v>
      </c>
      <c r="E1327" t="s">
        <v>30</v>
      </c>
    </row>
    <row r="1328" spans="1:13" x14ac:dyDescent="0.2">
      <c r="A1328" t="s">
        <v>0</v>
      </c>
    </row>
    <row r="1329" spans="2:13" x14ac:dyDescent="0.2"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</row>
    <row r="1330" spans="2:13" x14ac:dyDescent="0.2">
      <c r="B1330" t="b">
        <v>0</v>
      </c>
      <c r="C1330" t="s">
        <v>110</v>
      </c>
      <c r="D1330" t="s">
        <v>111</v>
      </c>
      <c r="E1330" t="s">
        <v>0</v>
      </c>
      <c r="G1330" t="s">
        <v>112</v>
      </c>
    </row>
    <row r="1331" spans="2:13" x14ac:dyDescent="0.2">
      <c r="B1331" t="s">
        <v>11</v>
      </c>
    </row>
    <row r="1332" spans="2:13" x14ac:dyDescent="0.2">
      <c r="B1332" t="s">
        <v>12</v>
      </c>
      <c r="C1332" t="s">
        <v>13</v>
      </c>
      <c r="D1332" t="s">
        <v>14</v>
      </c>
      <c r="E1332" t="s">
        <v>15</v>
      </c>
      <c r="F1332" t="s">
        <v>16</v>
      </c>
      <c r="G1332" t="s">
        <v>17</v>
      </c>
      <c r="H1332" t="s">
        <v>18</v>
      </c>
      <c r="I1332" t="s">
        <v>19</v>
      </c>
      <c r="J1332" t="s">
        <v>20</v>
      </c>
      <c r="K1332" t="s">
        <v>21</v>
      </c>
      <c r="L1332" t="s">
        <v>22</v>
      </c>
      <c r="M1332" t="s">
        <v>23</v>
      </c>
    </row>
    <row r="1333" spans="2:13" x14ac:dyDescent="0.2">
      <c r="B1333" t="s">
        <v>24</v>
      </c>
      <c r="C1333">
        <v>59</v>
      </c>
      <c r="E1333" t="s">
        <v>25</v>
      </c>
      <c r="F1333">
        <v>38662.410000000003</v>
      </c>
      <c r="G1333">
        <v>1.4</v>
      </c>
      <c r="H1333">
        <v>1.7000000000000001E-2</v>
      </c>
      <c r="I1333" t="s">
        <v>26</v>
      </c>
      <c r="J1333">
        <v>1.4</v>
      </c>
      <c r="K1333">
        <v>0.1</v>
      </c>
      <c r="L1333">
        <v>7</v>
      </c>
    </row>
    <row r="1334" spans="2:13" x14ac:dyDescent="0.2">
      <c r="C1334" t="s">
        <v>27</v>
      </c>
    </row>
    <row r="1335" spans="2:13" x14ac:dyDescent="0.2">
      <c r="C1335" t="s">
        <v>28</v>
      </c>
      <c r="D1335" t="s">
        <v>16</v>
      </c>
      <c r="E1335" t="s">
        <v>29</v>
      </c>
      <c r="F1335" t="s">
        <v>18</v>
      </c>
    </row>
    <row r="1336" spans="2:13" x14ac:dyDescent="0.2">
      <c r="C1336" t="b">
        <v>0</v>
      </c>
      <c r="D1336">
        <v>39757.47</v>
      </c>
      <c r="E1336" t="s">
        <v>30</v>
      </c>
      <c r="F1336">
        <v>1.7999999999999999E-2</v>
      </c>
    </row>
    <row r="1337" spans="2:13" x14ac:dyDescent="0.2">
      <c r="C1337" t="b">
        <v>0</v>
      </c>
      <c r="D1337">
        <v>38202.33</v>
      </c>
      <c r="E1337" t="s">
        <v>30</v>
      </c>
      <c r="F1337">
        <v>1.7000000000000001E-2</v>
      </c>
    </row>
    <row r="1338" spans="2:13" x14ac:dyDescent="0.2">
      <c r="C1338" t="b">
        <v>0</v>
      </c>
      <c r="D1338">
        <v>38372.949999999997</v>
      </c>
      <c r="E1338" t="s">
        <v>30</v>
      </c>
      <c r="F1338">
        <v>1.7000000000000001E-2</v>
      </c>
    </row>
    <row r="1339" spans="2:13" x14ac:dyDescent="0.2">
      <c r="C1339" t="b">
        <v>0</v>
      </c>
      <c r="D1339">
        <v>38984.49</v>
      </c>
      <c r="E1339" t="s">
        <v>30</v>
      </c>
      <c r="F1339">
        <v>1.7000000000000001E-2</v>
      </c>
    </row>
    <row r="1340" spans="2:13" x14ac:dyDescent="0.2">
      <c r="C1340" t="b">
        <v>0</v>
      </c>
      <c r="D1340">
        <v>38272.83</v>
      </c>
      <c r="E1340" t="s">
        <v>30</v>
      </c>
      <c r="F1340">
        <v>1.7000000000000001E-2</v>
      </c>
    </row>
    <row r="1341" spans="2:13" x14ac:dyDescent="0.2">
      <c r="C1341" t="b">
        <v>0</v>
      </c>
      <c r="D1341">
        <v>38483.19</v>
      </c>
      <c r="E1341" t="s">
        <v>30</v>
      </c>
      <c r="F1341">
        <v>1.7000000000000001E-2</v>
      </c>
    </row>
    <row r="1342" spans="2:13" x14ac:dyDescent="0.2">
      <c r="C1342" t="b">
        <v>0</v>
      </c>
      <c r="D1342">
        <v>38563.620000000003</v>
      </c>
      <c r="E1342" t="s">
        <v>30</v>
      </c>
      <c r="F1342">
        <v>1.7000000000000001E-2</v>
      </c>
    </row>
    <row r="1343" spans="2:13" x14ac:dyDescent="0.2">
      <c r="B1343" t="s">
        <v>11</v>
      </c>
    </row>
    <row r="1344" spans="2:13" x14ac:dyDescent="0.2">
      <c r="B1344" t="s">
        <v>12</v>
      </c>
      <c r="C1344" t="s">
        <v>13</v>
      </c>
      <c r="D1344" t="s">
        <v>14</v>
      </c>
      <c r="E1344" t="s">
        <v>15</v>
      </c>
      <c r="F1344" t="s">
        <v>16</v>
      </c>
      <c r="G1344" t="s">
        <v>17</v>
      </c>
      <c r="H1344" t="s">
        <v>18</v>
      </c>
      <c r="I1344" t="s">
        <v>19</v>
      </c>
      <c r="J1344" t="s">
        <v>20</v>
      </c>
      <c r="K1344" t="s">
        <v>21</v>
      </c>
      <c r="L1344" t="s">
        <v>22</v>
      </c>
      <c r="M1344" t="s">
        <v>23</v>
      </c>
    </row>
    <row r="1345" spans="2:13" x14ac:dyDescent="0.2">
      <c r="B1345" t="s">
        <v>31</v>
      </c>
      <c r="C1345">
        <v>45</v>
      </c>
      <c r="E1345" t="s">
        <v>25</v>
      </c>
      <c r="F1345">
        <v>1022.93</v>
      </c>
      <c r="G1345">
        <v>13.5</v>
      </c>
      <c r="K1345">
        <v>0.1</v>
      </c>
      <c r="L1345">
        <v>7</v>
      </c>
      <c r="M1345">
        <v>99</v>
      </c>
    </row>
    <row r="1346" spans="2:13" x14ac:dyDescent="0.2">
      <c r="C1346" t="s">
        <v>27</v>
      </c>
    </row>
    <row r="1347" spans="2:13" x14ac:dyDescent="0.2">
      <c r="C1347" t="s">
        <v>28</v>
      </c>
      <c r="D1347" t="s">
        <v>16</v>
      </c>
      <c r="E1347" t="s">
        <v>29</v>
      </c>
      <c r="F1347" t="s">
        <v>18</v>
      </c>
    </row>
    <row r="1348" spans="2:13" x14ac:dyDescent="0.2">
      <c r="C1348" t="b">
        <v>0</v>
      </c>
      <c r="D1348">
        <v>840.05</v>
      </c>
      <c r="E1348" t="s">
        <v>30</v>
      </c>
    </row>
    <row r="1349" spans="2:13" x14ac:dyDescent="0.2">
      <c r="C1349" t="b">
        <v>0</v>
      </c>
      <c r="D1349">
        <v>1130.0899999999999</v>
      </c>
      <c r="E1349" t="s">
        <v>30</v>
      </c>
    </row>
    <row r="1350" spans="2:13" x14ac:dyDescent="0.2">
      <c r="C1350" t="b">
        <v>0</v>
      </c>
      <c r="D1350">
        <v>1000.07</v>
      </c>
      <c r="E1350" t="s">
        <v>30</v>
      </c>
    </row>
    <row r="1351" spans="2:13" x14ac:dyDescent="0.2">
      <c r="C1351" t="b">
        <v>0</v>
      </c>
      <c r="D1351">
        <v>930.06</v>
      </c>
      <c r="E1351" t="s">
        <v>30</v>
      </c>
    </row>
    <row r="1352" spans="2:13" x14ac:dyDescent="0.2">
      <c r="C1352" t="b">
        <v>0</v>
      </c>
      <c r="D1352">
        <v>1230.0899999999999</v>
      </c>
      <c r="E1352" t="s">
        <v>30</v>
      </c>
    </row>
    <row r="1353" spans="2:13" x14ac:dyDescent="0.2">
      <c r="C1353" t="b">
        <v>0</v>
      </c>
      <c r="D1353">
        <v>1110.08</v>
      </c>
      <c r="E1353" t="s">
        <v>30</v>
      </c>
    </row>
    <row r="1354" spans="2:13" x14ac:dyDescent="0.2">
      <c r="C1354" t="b">
        <v>0</v>
      </c>
      <c r="D1354">
        <v>920.07</v>
      </c>
      <c r="E1354" t="s">
        <v>30</v>
      </c>
    </row>
    <row r="1355" spans="2:13" x14ac:dyDescent="0.2">
      <c r="B1355" t="s">
        <v>11</v>
      </c>
    </row>
    <row r="1356" spans="2:13" x14ac:dyDescent="0.2">
      <c r="B1356" t="s">
        <v>12</v>
      </c>
      <c r="C1356" t="s">
        <v>13</v>
      </c>
      <c r="D1356" t="s">
        <v>14</v>
      </c>
      <c r="E1356" t="s">
        <v>15</v>
      </c>
      <c r="F1356" t="s">
        <v>16</v>
      </c>
      <c r="G1356" t="s">
        <v>17</v>
      </c>
      <c r="H1356" t="s">
        <v>18</v>
      </c>
      <c r="I1356" t="s">
        <v>19</v>
      </c>
      <c r="J1356" t="s">
        <v>20</v>
      </c>
      <c r="K1356" t="s">
        <v>21</v>
      </c>
      <c r="L1356" t="s">
        <v>22</v>
      </c>
      <c r="M1356" t="s">
        <v>23</v>
      </c>
    </row>
    <row r="1357" spans="2:13" x14ac:dyDescent="0.2">
      <c r="B1357" t="s">
        <v>32</v>
      </c>
      <c r="C1357">
        <v>72</v>
      </c>
      <c r="E1357" t="s">
        <v>25</v>
      </c>
      <c r="F1357">
        <v>778.62</v>
      </c>
      <c r="G1357">
        <v>14.1</v>
      </c>
      <c r="K1357">
        <v>0.1</v>
      </c>
      <c r="L1357">
        <v>7</v>
      </c>
      <c r="M1357">
        <v>104.4</v>
      </c>
    </row>
    <row r="1358" spans="2:13" x14ac:dyDescent="0.2">
      <c r="C1358" t="s">
        <v>27</v>
      </c>
    </row>
    <row r="1359" spans="2:13" x14ac:dyDescent="0.2">
      <c r="C1359" t="s">
        <v>28</v>
      </c>
      <c r="D1359" t="s">
        <v>16</v>
      </c>
      <c r="E1359" t="s">
        <v>29</v>
      </c>
      <c r="F1359" t="s">
        <v>18</v>
      </c>
    </row>
    <row r="1360" spans="2:13" x14ac:dyDescent="0.2">
      <c r="C1360" t="b">
        <v>0</v>
      </c>
      <c r="D1360">
        <v>820.06</v>
      </c>
      <c r="E1360" t="s">
        <v>30</v>
      </c>
    </row>
    <row r="1361" spans="2:13" x14ac:dyDescent="0.2">
      <c r="C1361" t="b">
        <v>0</v>
      </c>
      <c r="D1361">
        <v>830.06</v>
      </c>
      <c r="E1361" t="s">
        <v>30</v>
      </c>
    </row>
    <row r="1362" spans="2:13" x14ac:dyDescent="0.2">
      <c r="C1362" t="b">
        <v>0</v>
      </c>
      <c r="D1362">
        <v>810.05</v>
      </c>
      <c r="E1362" t="s">
        <v>30</v>
      </c>
    </row>
    <row r="1363" spans="2:13" x14ac:dyDescent="0.2">
      <c r="C1363" t="b">
        <v>0</v>
      </c>
      <c r="D1363">
        <v>690.04</v>
      </c>
      <c r="E1363" t="s">
        <v>30</v>
      </c>
    </row>
    <row r="1364" spans="2:13" x14ac:dyDescent="0.2">
      <c r="C1364" t="b">
        <v>0</v>
      </c>
      <c r="D1364">
        <v>850.06</v>
      </c>
      <c r="E1364" t="s">
        <v>30</v>
      </c>
    </row>
    <row r="1365" spans="2:13" x14ac:dyDescent="0.2">
      <c r="C1365" t="b">
        <v>0</v>
      </c>
      <c r="D1365">
        <v>880.05</v>
      </c>
      <c r="E1365" t="s">
        <v>30</v>
      </c>
    </row>
    <row r="1366" spans="2:13" x14ac:dyDescent="0.2">
      <c r="C1366" t="b">
        <v>0</v>
      </c>
      <c r="D1366">
        <v>570.03</v>
      </c>
      <c r="E1366" t="s">
        <v>30</v>
      </c>
    </row>
    <row r="1367" spans="2:13" x14ac:dyDescent="0.2">
      <c r="B1367" t="s">
        <v>11</v>
      </c>
    </row>
    <row r="1368" spans="2:13" x14ac:dyDescent="0.2">
      <c r="B1368" t="s">
        <v>12</v>
      </c>
      <c r="C1368" t="s">
        <v>13</v>
      </c>
      <c r="D1368" t="s">
        <v>14</v>
      </c>
      <c r="E1368" t="s">
        <v>15</v>
      </c>
      <c r="F1368" t="s">
        <v>16</v>
      </c>
      <c r="G1368" t="s">
        <v>17</v>
      </c>
      <c r="H1368" t="s">
        <v>18</v>
      </c>
      <c r="I1368" t="s">
        <v>19</v>
      </c>
      <c r="J1368" t="s">
        <v>20</v>
      </c>
      <c r="K1368" t="s">
        <v>21</v>
      </c>
      <c r="L1368" t="s">
        <v>22</v>
      </c>
      <c r="M1368" t="s">
        <v>23</v>
      </c>
    </row>
    <row r="1369" spans="2:13" x14ac:dyDescent="0.2">
      <c r="B1369" t="s">
        <v>33</v>
      </c>
      <c r="C1369">
        <v>89</v>
      </c>
      <c r="E1369" t="s">
        <v>25</v>
      </c>
      <c r="F1369">
        <v>4185.07</v>
      </c>
      <c r="G1369">
        <v>8.4</v>
      </c>
      <c r="K1369">
        <v>0.1</v>
      </c>
      <c r="L1369">
        <v>7</v>
      </c>
      <c r="M1369">
        <v>106.1</v>
      </c>
    </row>
    <row r="1370" spans="2:13" x14ac:dyDescent="0.2">
      <c r="C1370" t="s">
        <v>27</v>
      </c>
    </row>
    <row r="1371" spans="2:13" x14ac:dyDescent="0.2">
      <c r="C1371" t="s">
        <v>28</v>
      </c>
      <c r="D1371" t="s">
        <v>16</v>
      </c>
      <c r="E1371" t="s">
        <v>29</v>
      </c>
      <c r="F1371" t="s">
        <v>18</v>
      </c>
    </row>
    <row r="1372" spans="2:13" x14ac:dyDescent="0.2">
      <c r="C1372" t="b">
        <v>0</v>
      </c>
      <c r="D1372">
        <v>3660.6</v>
      </c>
      <c r="E1372" t="s">
        <v>30</v>
      </c>
    </row>
    <row r="1373" spans="2:13" x14ac:dyDescent="0.2">
      <c r="C1373" t="b">
        <v>0</v>
      </c>
      <c r="D1373">
        <v>4400.8500000000004</v>
      </c>
      <c r="E1373" t="s">
        <v>30</v>
      </c>
    </row>
    <row r="1374" spans="2:13" x14ac:dyDescent="0.2">
      <c r="C1374" t="b">
        <v>0</v>
      </c>
      <c r="D1374">
        <v>4140.7700000000004</v>
      </c>
      <c r="E1374" t="s">
        <v>30</v>
      </c>
    </row>
    <row r="1375" spans="2:13" x14ac:dyDescent="0.2">
      <c r="C1375" t="b">
        <v>0</v>
      </c>
      <c r="D1375">
        <v>3940.72</v>
      </c>
      <c r="E1375" t="s">
        <v>30</v>
      </c>
    </row>
    <row r="1376" spans="2:13" x14ac:dyDescent="0.2">
      <c r="C1376" t="b">
        <v>0</v>
      </c>
      <c r="D1376">
        <v>4740.97</v>
      </c>
      <c r="E1376" t="s">
        <v>30</v>
      </c>
    </row>
    <row r="1377" spans="1:13" x14ac:dyDescent="0.2">
      <c r="C1377" t="b">
        <v>0</v>
      </c>
      <c r="D1377">
        <v>4370.83</v>
      </c>
      <c r="E1377" t="s">
        <v>30</v>
      </c>
    </row>
    <row r="1378" spans="1:13" x14ac:dyDescent="0.2">
      <c r="C1378" t="b">
        <v>0</v>
      </c>
      <c r="D1378">
        <v>4040.75</v>
      </c>
      <c r="E1378" t="s">
        <v>30</v>
      </c>
    </row>
    <row r="1379" spans="1:13" x14ac:dyDescent="0.2">
      <c r="A1379" t="s">
        <v>0</v>
      </c>
    </row>
    <row r="1380" spans="1:13" x14ac:dyDescent="0.2"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</row>
    <row r="1381" spans="1:13" x14ac:dyDescent="0.2">
      <c r="B1381" t="b">
        <v>0</v>
      </c>
      <c r="C1381" t="s">
        <v>113</v>
      </c>
      <c r="D1381" t="s">
        <v>114</v>
      </c>
      <c r="E1381" t="s">
        <v>0</v>
      </c>
      <c r="G1381" t="s">
        <v>115</v>
      </c>
    </row>
    <row r="1382" spans="1:13" x14ac:dyDescent="0.2">
      <c r="B1382" t="s">
        <v>11</v>
      </c>
    </row>
    <row r="1383" spans="1:13" x14ac:dyDescent="0.2">
      <c r="B1383" t="s">
        <v>12</v>
      </c>
      <c r="C1383" t="s">
        <v>13</v>
      </c>
      <c r="D1383" t="s">
        <v>14</v>
      </c>
      <c r="E1383" t="s">
        <v>15</v>
      </c>
      <c r="F1383" t="s">
        <v>16</v>
      </c>
      <c r="G1383" t="s">
        <v>17</v>
      </c>
      <c r="H1383" t="s">
        <v>18</v>
      </c>
      <c r="I1383" t="s">
        <v>19</v>
      </c>
      <c r="J1383" t="s">
        <v>20</v>
      </c>
      <c r="K1383" t="s">
        <v>21</v>
      </c>
      <c r="L1383" t="s">
        <v>22</v>
      </c>
      <c r="M1383" t="s">
        <v>23</v>
      </c>
    </row>
    <row r="1384" spans="1:13" x14ac:dyDescent="0.2">
      <c r="B1384" t="s">
        <v>24</v>
      </c>
      <c r="C1384">
        <v>59</v>
      </c>
      <c r="E1384" t="s">
        <v>25</v>
      </c>
      <c r="F1384">
        <v>37495.01</v>
      </c>
      <c r="G1384">
        <v>2.2999999999999998</v>
      </c>
      <c r="H1384">
        <v>1.7000000000000001E-2</v>
      </c>
      <c r="I1384" t="s">
        <v>26</v>
      </c>
      <c r="J1384">
        <v>2.2999999999999998</v>
      </c>
      <c r="K1384">
        <v>0.1</v>
      </c>
      <c r="L1384">
        <v>7</v>
      </c>
    </row>
    <row r="1385" spans="1:13" x14ac:dyDescent="0.2">
      <c r="C1385" t="s">
        <v>27</v>
      </c>
    </row>
    <row r="1386" spans="1:13" x14ac:dyDescent="0.2">
      <c r="C1386" t="s">
        <v>28</v>
      </c>
      <c r="D1386" t="s">
        <v>16</v>
      </c>
      <c r="E1386" t="s">
        <v>29</v>
      </c>
      <c r="F1386" t="s">
        <v>18</v>
      </c>
    </row>
    <row r="1387" spans="1:13" x14ac:dyDescent="0.2">
      <c r="C1387" t="b">
        <v>0</v>
      </c>
      <c r="D1387">
        <v>37601.129999999997</v>
      </c>
      <c r="E1387" t="s">
        <v>30</v>
      </c>
      <c r="F1387">
        <v>1.7000000000000001E-2</v>
      </c>
    </row>
    <row r="1388" spans="1:13" x14ac:dyDescent="0.2">
      <c r="C1388" t="b">
        <v>0</v>
      </c>
      <c r="D1388">
        <v>39034.959999999999</v>
      </c>
      <c r="E1388" t="s">
        <v>30</v>
      </c>
      <c r="F1388">
        <v>1.7000000000000001E-2</v>
      </c>
    </row>
    <row r="1389" spans="1:13" x14ac:dyDescent="0.2">
      <c r="C1389" t="b">
        <v>0</v>
      </c>
      <c r="D1389">
        <v>38222.49</v>
      </c>
      <c r="E1389" t="s">
        <v>30</v>
      </c>
      <c r="F1389">
        <v>1.7000000000000001E-2</v>
      </c>
    </row>
    <row r="1390" spans="1:13" x14ac:dyDescent="0.2">
      <c r="C1390" t="b">
        <v>0</v>
      </c>
      <c r="D1390">
        <v>36819.120000000003</v>
      </c>
      <c r="E1390" t="s">
        <v>30</v>
      </c>
      <c r="F1390">
        <v>1.6E-2</v>
      </c>
    </row>
    <row r="1391" spans="1:13" x14ac:dyDescent="0.2">
      <c r="C1391" t="b">
        <v>0</v>
      </c>
      <c r="D1391">
        <v>37189.769999999997</v>
      </c>
      <c r="E1391" t="s">
        <v>30</v>
      </c>
      <c r="F1391">
        <v>1.7000000000000001E-2</v>
      </c>
    </row>
    <row r="1392" spans="1:13" x14ac:dyDescent="0.2">
      <c r="C1392" t="b">
        <v>0</v>
      </c>
      <c r="D1392">
        <v>36598.18</v>
      </c>
      <c r="E1392" t="s">
        <v>30</v>
      </c>
      <c r="F1392">
        <v>1.6E-2</v>
      </c>
    </row>
    <row r="1393" spans="2:13" x14ac:dyDescent="0.2">
      <c r="C1393" t="b">
        <v>0</v>
      </c>
      <c r="D1393">
        <v>36999.39</v>
      </c>
      <c r="E1393" t="s">
        <v>30</v>
      </c>
      <c r="F1393">
        <v>1.6E-2</v>
      </c>
    </row>
    <row r="1394" spans="2:13" x14ac:dyDescent="0.2">
      <c r="B1394" t="s">
        <v>11</v>
      </c>
    </row>
    <row r="1395" spans="2:13" x14ac:dyDescent="0.2">
      <c r="B1395" t="s">
        <v>12</v>
      </c>
      <c r="C1395" t="s">
        <v>13</v>
      </c>
      <c r="D1395" t="s">
        <v>14</v>
      </c>
      <c r="E1395" t="s">
        <v>15</v>
      </c>
      <c r="F1395" t="s">
        <v>16</v>
      </c>
      <c r="G1395" t="s">
        <v>17</v>
      </c>
      <c r="H1395" t="s">
        <v>18</v>
      </c>
      <c r="I1395" t="s">
        <v>19</v>
      </c>
      <c r="J1395" t="s">
        <v>20</v>
      </c>
      <c r="K1395" t="s">
        <v>21</v>
      </c>
      <c r="L1395" t="s">
        <v>22</v>
      </c>
      <c r="M1395" t="s">
        <v>23</v>
      </c>
    </row>
    <row r="1396" spans="2:13" x14ac:dyDescent="0.2">
      <c r="B1396" t="s">
        <v>31</v>
      </c>
      <c r="C1396">
        <v>45</v>
      </c>
      <c r="E1396" t="s">
        <v>25</v>
      </c>
      <c r="F1396">
        <v>988.64</v>
      </c>
      <c r="G1396">
        <v>10.5</v>
      </c>
      <c r="K1396">
        <v>0.1</v>
      </c>
      <c r="L1396">
        <v>7</v>
      </c>
      <c r="M1396">
        <v>95.7</v>
      </c>
    </row>
    <row r="1397" spans="2:13" x14ac:dyDescent="0.2">
      <c r="C1397" t="s">
        <v>27</v>
      </c>
    </row>
    <row r="1398" spans="2:13" x14ac:dyDescent="0.2">
      <c r="C1398" t="s">
        <v>28</v>
      </c>
      <c r="D1398" t="s">
        <v>16</v>
      </c>
      <c r="E1398" t="s">
        <v>29</v>
      </c>
      <c r="F1398" t="s">
        <v>18</v>
      </c>
    </row>
    <row r="1399" spans="2:13" x14ac:dyDescent="0.2">
      <c r="C1399" t="b">
        <v>0</v>
      </c>
      <c r="D1399">
        <v>860.06</v>
      </c>
      <c r="E1399" t="s">
        <v>30</v>
      </c>
    </row>
    <row r="1400" spans="2:13" x14ac:dyDescent="0.2">
      <c r="C1400" t="b">
        <v>0</v>
      </c>
      <c r="D1400">
        <v>1020.08</v>
      </c>
      <c r="E1400" t="s">
        <v>30</v>
      </c>
    </row>
    <row r="1401" spans="2:13" x14ac:dyDescent="0.2">
      <c r="C1401" t="b">
        <v>0</v>
      </c>
      <c r="D1401">
        <v>1140.0899999999999</v>
      </c>
      <c r="E1401" t="s">
        <v>30</v>
      </c>
    </row>
    <row r="1402" spans="2:13" x14ac:dyDescent="0.2">
      <c r="C1402" t="b">
        <v>0</v>
      </c>
      <c r="D1402">
        <v>1050.07</v>
      </c>
      <c r="E1402" t="s">
        <v>30</v>
      </c>
    </row>
    <row r="1403" spans="2:13" x14ac:dyDescent="0.2">
      <c r="C1403" t="b">
        <v>0</v>
      </c>
      <c r="D1403">
        <v>1020.08</v>
      </c>
      <c r="E1403" t="s">
        <v>30</v>
      </c>
    </row>
    <row r="1404" spans="2:13" x14ac:dyDescent="0.2">
      <c r="C1404" t="b">
        <v>0</v>
      </c>
      <c r="D1404">
        <v>850.06</v>
      </c>
      <c r="E1404" t="s">
        <v>30</v>
      </c>
    </row>
    <row r="1405" spans="2:13" x14ac:dyDescent="0.2">
      <c r="C1405" t="b">
        <v>0</v>
      </c>
      <c r="D1405">
        <v>980.07</v>
      </c>
      <c r="E1405" t="s">
        <v>30</v>
      </c>
    </row>
    <row r="1406" spans="2:13" x14ac:dyDescent="0.2">
      <c r="B1406" t="s">
        <v>11</v>
      </c>
    </row>
    <row r="1407" spans="2:13" x14ac:dyDescent="0.2">
      <c r="B1407" t="s">
        <v>12</v>
      </c>
      <c r="C1407" t="s">
        <v>13</v>
      </c>
      <c r="D1407" t="s">
        <v>14</v>
      </c>
      <c r="E1407" t="s">
        <v>15</v>
      </c>
      <c r="F1407" t="s">
        <v>16</v>
      </c>
      <c r="G1407" t="s">
        <v>17</v>
      </c>
      <c r="H1407" t="s">
        <v>18</v>
      </c>
      <c r="I1407" t="s">
        <v>19</v>
      </c>
      <c r="J1407" t="s">
        <v>20</v>
      </c>
      <c r="K1407" t="s">
        <v>21</v>
      </c>
      <c r="L1407" t="s">
        <v>22</v>
      </c>
      <c r="M1407" t="s">
        <v>23</v>
      </c>
    </row>
    <row r="1408" spans="2:13" x14ac:dyDescent="0.2">
      <c r="B1408" t="s">
        <v>32</v>
      </c>
      <c r="C1408">
        <v>72</v>
      </c>
      <c r="E1408" t="s">
        <v>25</v>
      </c>
      <c r="F1408">
        <v>812.91</v>
      </c>
      <c r="G1408">
        <v>7.6</v>
      </c>
      <c r="K1408">
        <v>0.1</v>
      </c>
      <c r="L1408">
        <v>7</v>
      </c>
      <c r="M1408">
        <v>109</v>
      </c>
    </row>
    <row r="1409" spans="2:13" x14ac:dyDescent="0.2">
      <c r="C1409" t="s">
        <v>27</v>
      </c>
    </row>
    <row r="1410" spans="2:13" x14ac:dyDescent="0.2">
      <c r="C1410" t="s">
        <v>28</v>
      </c>
      <c r="D1410" t="s">
        <v>16</v>
      </c>
      <c r="E1410" t="s">
        <v>29</v>
      </c>
      <c r="F1410" t="s">
        <v>18</v>
      </c>
    </row>
    <row r="1411" spans="2:13" x14ac:dyDescent="0.2">
      <c r="C1411" t="b">
        <v>0</v>
      </c>
      <c r="D1411">
        <v>760.06</v>
      </c>
      <c r="E1411" t="s">
        <v>30</v>
      </c>
    </row>
    <row r="1412" spans="2:13" x14ac:dyDescent="0.2">
      <c r="C1412" t="b">
        <v>0</v>
      </c>
      <c r="D1412">
        <v>740.04</v>
      </c>
      <c r="E1412" t="s">
        <v>30</v>
      </c>
    </row>
    <row r="1413" spans="2:13" x14ac:dyDescent="0.2">
      <c r="C1413" t="b">
        <v>0</v>
      </c>
      <c r="D1413">
        <v>860.06</v>
      </c>
      <c r="E1413" t="s">
        <v>30</v>
      </c>
    </row>
    <row r="1414" spans="2:13" x14ac:dyDescent="0.2">
      <c r="C1414" t="b">
        <v>0</v>
      </c>
      <c r="D1414">
        <v>820.06</v>
      </c>
      <c r="E1414" t="s">
        <v>30</v>
      </c>
    </row>
    <row r="1415" spans="2:13" x14ac:dyDescent="0.2">
      <c r="C1415" t="b">
        <v>0</v>
      </c>
      <c r="D1415">
        <v>810.05</v>
      </c>
      <c r="E1415" t="s">
        <v>30</v>
      </c>
    </row>
    <row r="1416" spans="2:13" x14ac:dyDescent="0.2">
      <c r="C1416" t="b">
        <v>0</v>
      </c>
      <c r="D1416">
        <v>920.06</v>
      </c>
      <c r="E1416" t="s">
        <v>30</v>
      </c>
    </row>
    <row r="1417" spans="2:13" x14ac:dyDescent="0.2">
      <c r="C1417" t="b">
        <v>0</v>
      </c>
      <c r="D1417">
        <v>780.05</v>
      </c>
      <c r="E1417" t="s">
        <v>30</v>
      </c>
    </row>
    <row r="1418" spans="2:13" x14ac:dyDescent="0.2">
      <c r="B1418" t="s">
        <v>11</v>
      </c>
    </row>
    <row r="1419" spans="2:13" x14ac:dyDescent="0.2">
      <c r="B1419" t="s">
        <v>12</v>
      </c>
      <c r="C1419" t="s">
        <v>13</v>
      </c>
      <c r="D1419" t="s">
        <v>14</v>
      </c>
      <c r="E1419" t="s">
        <v>15</v>
      </c>
      <c r="F1419" t="s">
        <v>16</v>
      </c>
      <c r="G1419" t="s">
        <v>17</v>
      </c>
      <c r="H1419" t="s">
        <v>18</v>
      </c>
      <c r="I1419" t="s">
        <v>19</v>
      </c>
      <c r="J1419" t="s">
        <v>20</v>
      </c>
      <c r="K1419" t="s">
        <v>21</v>
      </c>
      <c r="L1419" t="s">
        <v>22</v>
      </c>
      <c r="M1419" t="s">
        <v>23</v>
      </c>
    </row>
    <row r="1420" spans="2:13" x14ac:dyDescent="0.2">
      <c r="B1420" t="s">
        <v>33</v>
      </c>
      <c r="C1420">
        <v>89</v>
      </c>
      <c r="E1420" t="s">
        <v>25</v>
      </c>
      <c r="F1420">
        <v>3837.83</v>
      </c>
      <c r="G1420">
        <v>6.2</v>
      </c>
      <c r="K1420">
        <v>0.1</v>
      </c>
      <c r="L1420">
        <v>7</v>
      </c>
      <c r="M1420">
        <v>97.3</v>
      </c>
    </row>
    <row r="1421" spans="2:13" x14ac:dyDescent="0.2">
      <c r="C1421" t="s">
        <v>27</v>
      </c>
    </row>
    <row r="1422" spans="2:13" x14ac:dyDescent="0.2">
      <c r="C1422" t="s">
        <v>28</v>
      </c>
      <c r="D1422" t="s">
        <v>16</v>
      </c>
      <c r="E1422" t="s">
        <v>29</v>
      </c>
      <c r="F1422" t="s">
        <v>18</v>
      </c>
    </row>
    <row r="1423" spans="2:13" x14ac:dyDescent="0.2">
      <c r="C1423" t="b">
        <v>0</v>
      </c>
      <c r="D1423">
        <v>3840.71</v>
      </c>
      <c r="E1423" t="s">
        <v>30</v>
      </c>
    </row>
    <row r="1424" spans="2:13" x14ac:dyDescent="0.2">
      <c r="C1424" t="b">
        <v>0</v>
      </c>
      <c r="D1424">
        <v>3400.51</v>
      </c>
      <c r="E1424" t="s">
        <v>30</v>
      </c>
    </row>
    <row r="1425" spans="1:13" x14ac:dyDescent="0.2">
      <c r="C1425" t="b">
        <v>0</v>
      </c>
      <c r="D1425">
        <v>3780.66</v>
      </c>
      <c r="E1425" t="s">
        <v>30</v>
      </c>
    </row>
    <row r="1426" spans="1:13" x14ac:dyDescent="0.2">
      <c r="C1426" t="b">
        <v>0</v>
      </c>
      <c r="D1426">
        <v>3750.63</v>
      </c>
      <c r="E1426" t="s">
        <v>30</v>
      </c>
    </row>
    <row r="1427" spans="1:13" x14ac:dyDescent="0.2">
      <c r="C1427" t="b">
        <v>0</v>
      </c>
      <c r="D1427">
        <v>3980.77</v>
      </c>
      <c r="E1427" t="s">
        <v>30</v>
      </c>
    </row>
    <row r="1428" spans="1:13" x14ac:dyDescent="0.2">
      <c r="C1428" t="b">
        <v>0</v>
      </c>
      <c r="D1428">
        <v>4150.8</v>
      </c>
      <c r="E1428" t="s">
        <v>30</v>
      </c>
    </row>
    <row r="1429" spans="1:13" x14ac:dyDescent="0.2">
      <c r="C1429" t="b">
        <v>0</v>
      </c>
      <c r="D1429">
        <v>3960.76</v>
      </c>
      <c r="E1429" t="s">
        <v>30</v>
      </c>
    </row>
    <row r="1430" spans="1:13" x14ac:dyDescent="0.2">
      <c r="A1430" t="s">
        <v>0</v>
      </c>
    </row>
    <row r="1431" spans="1:13" x14ac:dyDescent="0.2"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</row>
    <row r="1432" spans="1:13" x14ac:dyDescent="0.2">
      <c r="B1432" t="b">
        <v>0</v>
      </c>
      <c r="C1432" t="s">
        <v>116</v>
      </c>
      <c r="D1432" t="s">
        <v>117</v>
      </c>
      <c r="E1432" t="s">
        <v>0</v>
      </c>
      <c r="G1432" t="s">
        <v>118</v>
      </c>
    </row>
    <row r="1433" spans="1:13" x14ac:dyDescent="0.2">
      <c r="B1433" t="s">
        <v>11</v>
      </c>
    </row>
    <row r="1434" spans="1:13" x14ac:dyDescent="0.2">
      <c r="B1434" t="s">
        <v>12</v>
      </c>
      <c r="C1434" t="s">
        <v>13</v>
      </c>
      <c r="D1434" t="s">
        <v>14</v>
      </c>
      <c r="E1434" t="s">
        <v>15</v>
      </c>
      <c r="F1434" t="s">
        <v>16</v>
      </c>
      <c r="G1434" t="s">
        <v>17</v>
      </c>
      <c r="H1434" t="s">
        <v>18</v>
      </c>
      <c r="I1434" t="s">
        <v>19</v>
      </c>
      <c r="J1434" t="s">
        <v>20</v>
      </c>
      <c r="K1434" t="s">
        <v>21</v>
      </c>
      <c r="L1434" t="s">
        <v>22</v>
      </c>
      <c r="M1434" t="s">
        <v>23</v>
      </c>
    </row>
    <row r="1435" spans="1:13" x14ac:dyDescent="0.2">
      <c r="B1435" t="s">
        <v>24</v>
      </c>
      <c r="C1435">
        <v>59</v>
      </c>
      <c r="E1435" t="s">
        <v>25</v>
      </c>
      <c r="F1435">
        <v>38092.230000000003</v>
      </c>
      <c r="G1435">
        <v>0.8</v>
      </c>
      <c r="H1435">
        <v>1.7000000000000001E-2</v>
      </c>
      <c r="I1435" t="s">
        <v>26</v>
      </c>
      <c r="J1435">
        <v>0.8</v>
      </c>
      <c r="K1435">
        <v>0.1</v>
      </c>
      <c r="L1435">
        <v>7</v>
      </c>
    </row>
    <row r="1436" spans="1:13" x14ac:dyDescent="0.2">
      <c r="C1436" t="s">
        <v>27</v>
      </c>
    </row>
    <row r="1437" spans="1:13" x14ac:dyDescent="0.2">
      <c r="C1437" t="s">
        <v>28</v>
      </c>
      <c r="D1437" t="s">
        <v>16</v>
      </c>
      <c r="E1437" t="s">
        <v>29</v>
      </c>
      <c r="F1437" t="s">
        <v>18</v>
      </c>
    </row>
    <row r="1438" spans="1:13" x14ac:dyDescent="0.2">
      <c r="C1438" t="b">
        <v>0</v>
      </c>
      <c r="D1438">
        <v>38012.230000000003</v>
      </c>
      <c r="E1438" t="s">
        <v>30</v>
      </c>
      <c r="F1438">
        <v>1.7000000000000001E-2</v>
      </c>
    </row>
    <row r="1439" spans="1:13" x14ac:dyDescent="0.2">
      <c r="C1439" t="b">
        <v>0</v>
      </c>
      <c r="D1439">
        <v>38433.22</v>
      </c>
      <c r="E1439" t="s">
        <v>30</v>
      </c>
      <c r="F1439">
        <v>1.7000000000000001E-2</v>
      </c>
    </row>
    <row r="1440" spans="1:13" x14ac:dyDescent="0.2">
      <c r="C1440" t="b">
        <v>0</v>
      </c>
      <c r="D1440">
        <v>38182.21</v>
      </c>
      <c r="E1440" t="s">
        <v>30</v>
      </c>
      <c r="F1440">
        <v>1.7000000000000001E-2</v>
      </c>
    </row>
    <row r="1441" spans="2:13" x14ac:dyDescent="0.2">
      <c r="C1441" t="b">
        <v>0</v>
      </c>
      <c r="D1441">
        <v>37450.51</v>
      </c>
      <c r="E1441" t="s">
        <v>30</v>
      </c>
      <c r="F1441">
        <v>1.7000000000000001E-2</v>
      </c>
    </row>
    <row r="1442" spans="2:13" x14ac:dyDescent="0.2">
      <c r="C1442" t="b">
        <v>0</v>
      </c>
      <c r="D1442">
        <v>38232.39</v>
      </c>
      <c r="E1442" t="s">
        <v>30</v>
      </c>
      <c r="F1442">
        <v>1.7000000000000001E-2</v>
      </c>
    </row>
    <row r="1443" spans="2:13" x14ac:dyDescent="0.2">
      <c r="C1443" t="b">
        <v>0</v>
      </c>
      <c r="D1443">
        <v>38192.32</v>
      </c>
      <c r="E1443" t="s">
        <v>30</v>
      </c>
      <c r="F1443">
        <v>1.7000000000000001E-2</v>
      </c>
    </row>
    <row r="1444" spans="2:13" x14ac:dyDescent="0.2">
      <c r="C1444" t="b">
        <v>0</v>
      </c>
      <c r="D1444">
        <v>38142.730000000003</v>
      </c>
      <c r="E1444" t="s">
        <v>30</v>
      </c>
      <c r="F1444">
        <v>1.7000000000000001E-2</v>
      </c>
    </row>
    <row r="1445" spans="2:13" x14ac:dyDescent="0.2">
      <c r="B1445" t="s">
        <v>11</v>
      </c>
    </row>
    <row r="1446" spans="2:13" x14ac:dyDescent="0.2">
      <c r="B1446" t="s">
        <v>12</v>
      </c>
      <c r="C1446" t="s">
        <v>13</v>
      </c>
      <c r="D1446" t="s">
        <v>14</v>
      </c>
      <c r="E1446" t="s">
        <v>15</v>
      </c>
      <c r="F1446" t="s">
        <v>16</v>
      </c>
      <c r="G1446" t="s">
        <v>17</v>
      </c>
      <c r="H1446" t="s">
        <v>18</v>
      </c>
      <c r="I1446" t="s">
        <v>19</v>
      </c>
      <c r="J1446" t="s">
        <v>20</v>
      </c>
      <c r="K1446" t="s">
        <v>21</v>
      </c>
      <c r="L1446" t="s">
        <v>22</v>
      </c>
      <c r="M1446" t="s">
        <v>23</v>
      </c>
    </row>
    <row r="1447" spans="2:13" x14ac:dyDescent="0.2">
      <c r="B1447" t="s">
        <v>31</v>
      </c>
      <c r="C1447">
        <v>45</v>
      </c>
      <c r="E1447" t="s">
        <v>25</v>
      </c>
      <c r="F1447">
        <v>1114.3699999999999</v>
      </c>
      <c r="G1447">
        <v>8.6</v>
      </c>
      <c r="K1447">
        <v>0.1</v>
      </c>
      <c r="L1447">
        <v>7</v>
      </c>
      <c r="M1447">
        <v>107.9</v>
      </c>
    </row>
    <row r="1448" spans="2:13" x14ac:dyDescent="0.2">
      <c r="C1448" t="s">
        <v>27</v>
      </c>
    </row>
    <row r="1449" spans="2:13" x14ac:dyDescent="0.2">
      <c r="C1449" t="s">
        <v>28</v>
      </c>
      <c r="D1449" t="s">
        <v>16</v>
      </c>
      <c r="E1449" t="s">
        <v>29</v>
      </c>
      <c r="F1449" t="s">
        <v>18</v>
      </c>
    </row>
    <row r="1450" spans="2:13" x14ac:dyDescent="0.2">
      <c r="C1450" t="b">
        <v>0</v>
      </c>
      <c r="D1450">
        <v>1080.07</v>
      </c>
      <c r="E1450" t="s">
        <v>30</v>
      </c>
    </row>
    <row r="1451" spans="2:13" x14ac:dyDescent="0.2">
      <c r="C1451" t="b">
        <v>0</v>
      </c>
      <c r="D1451">
        <v>960.07</v>
      </c>
      <c r="E1451" t="s">
        <v>30</v>
      </c>
    </row>
    <row r="1452" spans="2:13" x14ac:dyDescent="0.2">
      <c r="C1452" t="b">
        <v>0</v>
      </c>
      <c r="D1452">
        <v>1070.08</v>
      </c>
      <c r="E1452" t="s">
        <v>30</v>
      </c>
    </row>
    <row r="1453" spans="2:13" x14ac:dyDescent="0.2">
      <c r="C1453" t="b">
        <v>0</v>
      </c>
      <c r="D1453">
        <v>1120.08</v>
      </c>
      <c r="E1453" t="s">
        <v>30</v>
      </c>
    </row>
    <row r="1454" spans="2:13" x14ac:dyDescent="0.2">
      <c r="C1454" t="b">
        <v>0</v>
      </c>
      <c r="D1454">
        <v>1180.0899999999999</v>
      </c>
      <c r="E1454" t="s">
        <v>30</v>
      </c>
    </row>
    <row r="1455" spans="2:13" x14ac:dyDescent="0.2">
      <c r="C1455" t="b">
        <v>0</v>
      </c>
      <c r="D1455">
        <v>1270.0999999999999</v>
      </c>
      <c r="E1455" t="s">
        <v>30</v>
      </c>
    </row>
    <row r="1456" spans="2:13" x14ac:dyDescent="0.2">
      <c r="C1456" t="b">
        <v>0</v>
      </c>
      <c r="D1456">
        <v>1120.08</v>
      </c>
      <c r="E1456" t="s">
        <v>30</v>
      </c>
    </row>
    <row r="1457" spans="2:13" x14ac:dyDescent="0.2">
      <c r="B1457" t="s">
        <v>11</v>
      </c>
    </row>
    <row r="1458" spans="2:13" x14ac:dyDescent="0.2">
      <c r="B1458" t="s">
        <v>12</v>
      </c>
      <c r="C1458" t="s">
        <v>13</v>
      </c>
      <c r="D1458" t="s">
        <v>14</v>
      </c>
      <c r="E1458" t="s">
        <v>15</v>
      </c>
      <c r="F1458" t="s">
        <v>16</v>
      </c>
      <c r="G1458" t="s">
        <v>17</v>
      </c>
      <c r="H1458" t="s">
        <v>18</v>
      </c>
      <c r="I1458" t="s">
        <v>19</v>
      </c>
      <c r="J1458" t="s">
        <v>20</v>
      </c>
      <c r="K1458" t="s">
        <v>21</v>
      </c>
      <c r="L1458" t="s">
        <v>22</v>
      </c>
      <c r="M1458" t="s">
        <v>23</v>
      </c>
    </row>
    <row r="1459" spans="2:13" x14ac:dyDescent="0.2">
      <c r="B1459" t="s">
        <v>32</v>
      </c>
      <c r="C1459">
        <v>72</v>
      </c>
      <c r="E1459" t="s">
        <v>25</v>
      </c>
      <c r="F1459">
        <v>777.19</v>
      </c>
      <c r="G1459">
        <v>9.1</v>
      </c>
      <c r="K1459">
        <v>0.1</v>
      </c>
      <c r="L1459">
        <v>7</v>
      </c>
      <c r="M1459">
        <v>104.2</v>
      </c>
    </row>
    <row r="1460" spans="2:13" x14ac:dyDescent="0.2">
      <c r="C1460" t="s">
        <v>27</v>
      </c>
    </row>
    <row r="1461" spans="2:13" x14ac:dyDescent="0.2">
      <c r="C1461" t="s">
        <v>28</v>
      </c>
      <c r="D1461" t="s">
        <v>16</v>
      </c>
      <c r="E1461" t="s">
        <v>29</v>
      </c>
      <c r="F1461" t="s">
        <v>18</v>
      </c>
    </row>
    <row r="1462" spans="2:13" x14ac:dyDescent="0.2">
      <c r="C1462" t="b">
        <v>0</v>
      </c>
      <c r="D1462">
        <v>810.05</v>
      </c>
      <c r="E1462" t="s">
        <v>30</v>
      </c>
    </row>
    <row r="1463" spans="2:13" x14ac:dyDescent="0.2">
      <c r="C1463" t="b">
        <v>0</v>
      </c>
      <c r="D1463">
        <v>770.05</v>
      </c>
      <c r="E1463" t="s">
        <v>30</v>
      </c>
    </row>
    <row r="1464" spans="2:13" x14ac:dyDescent="0.2">
      <c r="C1464" t="b">
        <v>0</v>
      </c>
      <c r="D1464">
        <v>680.04</v>
      </c>
      <c r="E1464" t="s">
        <v>30</v>
      </c>
    </row>
    <row r="1465" spans="2:13" x14ac:dyDescent="0.2">
      <c r="C1465" t="b">
        <v>0</v>
      </c>
      <c r="D1465">
        <v>710.05</v>
      </c>
      <c r="E1465" t="s">
        <v>30</v>
      </c>
    </row>
    <row r="1466" spans="2:13" x14ac:dyDescent="0.2">
      <c r="C1466" t="b">
        <v>0</v>
      </c>
      <c r="D1466">
        <v>760.04</v>
      </c>
      <c r="E1466" t="s">
        <v>30</v>
      </c>
    </row>
    <row r="1467" spans="2:13" x14ac:dyDescent="0.2">
      <c r="C1467" t="b">
        <v>0</v>
      </c>
      <c r="D1467">
        <v>890.06</v>
      </c>
      <c r="E1467" t="s">
        <v>30</v>
      </c>
    </row>
    <row r="1468" spans="2:13" x14ac:dyDescent="0.2">
      <c r="C1468" t="b">
        <v>0</v>
      </c>
      <c r="D1468">
        <v>820.06</v>
      </c>
      <c r="E1468" t="s">
        <v>30</v>
      </c>
    </row>
    <row r="1469" spans="2:13" x14ac:dyDescent="0.2">
      <c r="B1469" t="s">
        <v>11</v>
      </c>
    </row>
    <row r="1470" spans="2:13" x14ac:dyDescent="0.2">
      <c r="B1470" t="s">
        <v>12</v>
      </c>
      <c r="C1470" t="s">
        <v>13</v>
      </c>
      <c r="D1470" t="s">
        <v>14</v>
      </c>
      <c r="E1470" t="s">
        <v>15</v>
      </c>
      <c r="F1470" t="s">
        <v>16</v>
      </c>
      <c r="G1470" t="s">
        <v>17</v>
      </c>
      <c r="H1470" t="s">
        <v>18</v>
      </c>
      <c r="I1470" t="s">
        <v>19</v>
      </c>
      <c r="J1470" t="s">
        <v>20</v>
      </c>
      <c r="K1470" t="s">
        <v>21</v>
      </c>
      <c r="L1470" t="s">
        <v>22</v>
      </c>
      <c r="M1470" t="s">
        <v>23</v>
      </c>
    </row>
    <row r="1471" spans="2:13" x14ac:dyDescent="0.2">
      <c r="B1471" t="s">
        <v>33</v>
      </c>
      <c r="C1471">
        <v>89</v>
      </c>
      <c r="E1471" t="s">
        <v>25</v>
      </c>
      <c r="F1471">
        <v>3995.01</v>
      </c>
      <c r="G1471">
        <v>2.9</v>
      </c>
      <c r="K1471">
        <v>0.1</v>
      </c>
      <c r="L1471">
        <v>7</v>
      </c>
      <c r="M1471">
        <v>101.3</v>
      </c>
    </row>
    <row r="1472" spans="2:13" x14ac:dyDescent="0.2">
      <c r="C1472" t="s">
        <v>27</v>
      </c>
    </row>
    <row r="1473" spans="1:13" x14ac:dyDescent="0.2">
      <c r="C1473" t="s">
        <v>28</v>
      </c>
      <c r="D1473" t="s">
        <v>16</v>
      </c>
      <c r="E1473" t="s">
        <v>29</v>
      </c>
      <c r="F1473" t="s">
        <v>18</v>
      </c>
    </row>
    <row r="1474" spans="1:13" x14ac:dyDescent="0.2">
      <c r="C1474" t="b">
        <v>0</v>
      </c>
      <c r="D1474">
        <v>3880.68</v>
      </c>
      <c r="E1474" t="s">
        <v>30</v>
      </c>
    </row>
    <row r="1475" spans="1:13" x14ac:dyDescent="0.2">
      <c r="C1475" t="b">
        <v>0</v>
      </c>
      <c r="D1475">
        <v>4100.75</v>
      </c>
      <c r="E1475" t="s">
        <v>30</v>
      </c>
    </row>
    <row r="1476" spans="1:13" x14ac:dyDescent="0.2">
      <c r="C1476" t="b">
        <v>0</v>
      </c>
      <c r="D1476">
        <v>4050.73</v>
      </c>
      <c r="E1476" t="s">
        <v>30</v>
      </c>
    </row>
    <row r="1477" spans="1:13" x14ac:dyDescent="0.2">
      <c r="C1477" t="b">
        <v>0</v>
      </c>
      <c r="D1477">
        <v>4130.76</v>
      </c>
      <c r="E1477" t="s">
        <v>30</v>
      </c>
    </row>
    <row r="1478" spans="1:13" x14ac:dyDescent="0.2">
      <c r="C1478" t="b">
        <v>0</v>
      </c>
      <c r="D1478">
        <v>4060.74</v>
      </c>
      <c r="E1478" t="s">
        <v>30</v>
      </c>
    </row>
    <row r="1479" spans="1:13" x14ac:dyDescent="0.2">
      <c r="C1479" t="b">
        <v>0</v>
      </c>
      <c r="D1479">
        <v>3890.66</v>
      </c>
      <c r="E1479" t="s">
        <v>30</v>
      </c>
    </row>
    <row r="1480" spans="1:13" x14ac:dyDescent="0.2">
      <c r="C1480" t="b">
        <v>0</v>
      </c>
      <c r="D1480">
        <v>3850.75</v>
      </c>
      <c r="E1480" t="s">
        <v>30</v>
      </c>
    </row>
    <row r="1481" spans="1:13" x14ac:dyDescent="0.2">
      <c r="A1481" t="s">
        <v>0</v>
      </c>
    </row>
    <row r="1482" spans="1:13" x14ac:dyDescent="0.2"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</row>
    <row r="1483" spans="1:13" x14ac:dyDescent="0.2">
      <c r="A1483" t="s">
        <v>119</v>
      </c>
      <c r="B1483" t="b">
        <v>0</v>
      </c>
      <c r="C1483" t="s">
        <v>120</v>
      </c>
      <c r="D1483" t="s">
        <v>121</v>
      </c>
      <c r="E1483" t="s">
        <v>0</v>
      </c>
      <c r="G1483" t="s">
        <v>122</v>
      </c>
    </row>
    <row r="1484" spans="1:13" x14ac:dyDescent="0.2">
      <c r="B1484" t="s">
        <v>11</v>
      </c>
    </row>
    <row r="1485" spans="1:13" x14ac:dyDescent="0.2">
      <c r="B1485" t="s">
        <v>12</v>
      </c>
      <c r="C1485" t="s">
        <v>13</v>
      </c>
      <c r="D1485" t="s">
        <v>14</v>
      </c>
      <c r="E1485" t="s">
        <v>15</v>
      </c>
      <c r="F1485" t="s">
        <v>16</v>
      </c>
      <c r="G1485" t="s">
        <v>17</v>
      </c>
      <c r="H1485" t="s">
        <v>18</v>
      </c>
      <c r="I1485" t="s">
        <v>19</v>
      </c>
      <c r="J1485" t="s">
        <v>20</v>
      </c>
      <c r="K1485" t="s">
        <v>21</v>
      </c>
      <c r="L1485" t="s">
        <v>22</v>
      </c>
      <c r="M1485" t="s">
        <v>23</v>
      </c>
    </row>
    <row r="1486" spans="1:13" x14ac:dyDescent="0.2">
      <c r="B1486" t="s">
        <v>24</v>
      </c>
      <c r="C1486">
        <v>59</v>
      </c>
      <c r="E1486" t="s">
        <v>25</v>
      </c>
      <c r="F1486">
        <v>37459.050000000003</v>
      </c>
      <c r="G1486">
        <v>1.9</v>
      </c>
      <c r="H1486">
        <v>1.7000000000000001E-2</v>
      </c>
      <c r="I1486" t="s">
        <v>26</v>
      </c>
      <c r="J1486">
        <v>1.9</v>
      </c>
      <c r="K1486">
        <v>0.1</v>
      </c>
      <c r="L1486">
        <v>7</v>
      </c>
    </row>
    <row r="1487" spans="1:13" x14ac:dyDescent="0.2">
      <c r="C1487" t="s">
        <v>27</v>
      </c>
    </row>
    <row r="1488" spans="1:13" x14ac:dyDescent="0.2">
      <c r="C1488" t="s">
        <v>28</v>
      </c>
      <c r="D1488" t="s">
        <v>16</v>
      </c>
      <c r="E1488" t="s">
        <v>29</v>
      </c>
      <c r="F1488" t="s">
        <v>18</v>
      </c>
    </row>
    <row r="1489" spans="2:13" x14ac:dyDescent="0.2">
      <c r="C1489" t="b">
        <v>0</v>
      </c>
      <c r="D1489">
        <v>38092.44</v>
      </c>
      <c r="E1489" t="s">
        <v>30</v>
      </c>
      <c r="F1489">
        <v>1.7000000000000001E-2</v>
      </c>
    </row>
    <row r="1490" spans="2:13" x14ac:dyDescent="0.2">
      <c r="C1490" t="b">
        <v>0</v>
      </c>
      <c r="D1490">
        <v>37199.57</v>
      </c>
      <c r="E1490" t="s">
        <v>30</v>
      </c>
      <c r="F1490">
        <v>1.7000000000000001E-2</v>
      </c>
    </row>
    <row r="1491" spans="2:13" x14ac:dyDescent="0.2">
      <c r="C1491" t="b">
        <v>0</v>
      </c>
      <c r="D1491">
        <v>38392.9</v>
      </c>
      <c r="E1491" t="s">
        <v>30</v>
      </c>
      <c r="F1491">
        <v>1.7000000000000001E-2</v>
      </c>
    </row>
    <row r="1492" spans="2:13" x14ac:dyDescent="0.2">
      <c r="C1492" t="b">
        <v>0</v>
      </c>
      <c r="D1492">
        <v>37651.07</v>
      </c>
      <c r="E1492" t="s">
        <v>30</v>
      </c>
      <c r="F1492">
        <v>1.7000000000000001E-2</v>
      </c>
    </row>
    <row r="1493" spans="2:13" x14ac:dyDescent="0.2">
      <c r="C1493" t="b">
        <v>0</v>
      </c>
      <c r="D1493">
        <v>37691.06</v>
      </c>
      <c r="E1493" t="s">
        <v>30</v>
      </c>
      <c r="F1493">
        <v>1.7000000000000001E-2</v>
      </c>
    </row>
    <row r="1494" spans="2:13" x14ac:dyDescent="0.2">
      <c r="C1494" t="b">
        <v>0</v>
      </c>
      <c r="D1494">
        <v>36859.08</v>
      </c>
      <c r="E1494" t="s">
        <v>30</v>
      </c>
      <c r="F1494">
        <v>1.6E-2</v>
      </c>
    </row>
    <row r="1495" spans="2:13" x14ac:dyDescent="0.2">
      <c r="C1495" t="b">
        <v>0</v>
      </c>
      <c r="D1495">
        <v>36327.26</v>
      </c>
      <c r="E1495" t="s">
        <v>30</v>
      </c>
      <c r="F1495">
        <v>1.6E-2</v>
      </c>
    </row>
    <row r="1496" spans="2:13" x14ac:dyDescent="0.2">
      <c r="B1496" t="s">
        <v>11</v>
      </c>
    </row>
    <row r="1497" spans="2:13" x14ac:dyDescent="0.2">
      <c r="B1497" t="s">
        <v>12</v>
      </c>
      <c r="C1497" t="s">
        <v>13</v>
      </c>
      <c r="D1497" t="s">
        <v>14</v>
      </c>
      <c r="E1497" t="s">
        <v>15</v>
      </c>
      <c r="F1497" t="s">
        <v>16</v>
      </c>
      <c r="G1497" t="s">
        <v>17</v>
      </c>
      <c r="H1497" t="s">
        <v>18</v>
      </c>
      <c r="I1497" t="s">
        <v>19</v>
      </c>
      <c r="J1497" t="s">
        <v>20</v>
      </c>
      <c r="K1497" t="s">
        <v>21</v>
      </c>
      <c r="L1497" t="s">
        <v>22</v>
      </c>
      <c r="M1497" t="s">
        <v>23</v>
      </c>
    </row>
    <row r="1498" spans="2:13" x14ac:dyDescent="0.2">
      <c r="B1498" t="s">
        <v>31</v>
      </c>
      <c r="C1498">
        <v>45</v>
      </c>
      <c r="E1498" t="s">
        <v>25</v>
      </c>
      <c r="F1498">
        <v>1252.95</v>
      </c>
      <c r="G1498">
        <v>7.6</v>
      </c>
      <c r="K1498">
        <v>0.1</v>
      </c>
      <c r="L1498">
        <v>7</v>
      </c>
      <c r="M1498">
        <v>121.3</v>
      </c>
    </row>
    <row r="1499" spans="2:13" x14ac:dyDescent="0.2">
      <c r="C1499" t="s">
        <v>27</v>
      </c>
    </row>
    <row r="1500" spans="2:13" x14ac:dyDescent="0.2">
      <c r="C1500" t="s">
        <v>28</v>
      </c>
      <c r="D1500" t="s">
        <v>16</v>
      </c>
      <c r="E1500" t="s">
        <v>29</v>
      </c>
      <c r="F1500" t="s">
        <v>18</v>
      </c>
    </row>
    <row r="1501" spans="2:13" x14ac:dyDescent="0.2">
      <c r="C1501" t="b">
        <v>0</v>
      </c>
      <c r="D1501">
        <v>1260.0999999999999</v>
      </c>
      <c r="E1501" t="s">
        <v>30</v>
      </c>
    </row>
    <row r="1502" spans="2:13" x14ac:dyDescent="0.2">
      <c r="C1502" t="b">
        <v>0</v>
      </c>
      <c r="D1502">
        <v>1130.0899999999999</v>
      </c>
      <c r="E1502" t="s">
        <v>30</v>
      </c>
    </row>
    <row r="1503" spans="2:13" x14ac:dyDescent="0.2">
      <c r="C1503" t="b">
        <v>0</v>
      </c>
      <c r="D1503">
        <v>1140.08</v>
      </c>
      <c r="E1503" t="s">
        <v>30</v>
      </c>
    </row>
    <row r="1504" spans="2:13" x14ac:dyDescent="0.2">
      <c r="C1504" t="b">
        <v>0</v>
      </c>
      <c r="D1504">
        <v>1280.0999999999999</v>
      </c>
      <c r="E1504" t="s">
        <v>30</v>
      </c>
    </row>
    <row r="1505" spans="2:13" x14ac:dyDescent="0.2">
      <c r="C1505" t="b">
        <v>0</v>
      </c>
      <c r="D1505">
        <v>1270.0999999999999</v>
      </c>
      <c r="E1505" t="s">
        <v>30</v>
      </c>
    </row>
    <row r="1506" spans="2:13" x14ac:dyDescent="0.2">
      <c r="C1506" t="b">
        <v>0</v>
      </c>
      <c r="D1506">
        <v>1280.0999999999999</v>
      </c>
      <c r="E1506" t="s">
        <v>30</v>
      </c>
    </row>
    <row r="1507" spans="2:13" x14ac:dyDescent="0.2">
      <c r="C1507" t="b">
        <v>0</v>
      </c>
      <c r="D1507">
        <v>1410.11</v>
      </c>
      <c r="E1507" t="s">
        <v>30</v>
      </c>
    </row>
    <row r="1508" spans="2:13" x14ac:dyDescent="0.2">
      <c r="B1508" t="s">
        <v>11</v>
      </c>
    </row>
    <row r="1509" spans="2:13" x14ac:dyDescent="0.2">
      <c r="B1509" t="s">
        <v>12</v>
      </c>
      <c r="C1509" t="s">
        <v>13</v>
      </c>
      <c r="D1509" t="s">
        <v>14</v>
      </c>
      <c r="E1509" t="s">
        <v>15</v>
      </c>
      <c r="F1509" t="s">
        <v>16</v>
      </c>
      <c r="G1509" t="s">
        <v>17</v>
      </c>
      <c r="H1509" t="s">
        <v>18</v>
      </c>
      <c r="I1509" t="s">
        <v>19</v>
      </c>
      <c r="J1509" t="s">
        <v>20</v>
      </c>
      <c r="K1509" t="s">
        <v>21</v>
      </c>
      <c r="L1509" t="s">
        <v>22</v>
      </c>
      <c r="M1509" t="s">
        <v>23</v>
      </c>
    </row>
    <row r="1510" spans="2:13" x14ac:dyDescent="0.2">
      <c r="B1510" t="s">
        <v>32</v>
      </c>
      <c r="C1510">
        <v>72</v>
      </c>
      <c r="E1510" t="s">
        <v>25</v>
      </c>
      <c r="F1510">
        <v>677.18</v>
      </c>
      <c r="G1510">
        <v>17.3</v>
      </c>
      <c r="K1510">
        <v>0.1</v>
      </c>
      <c r="L1510">
        <v>7</v>
      </c>
      <c r="M1510">
        <v>90.8</v>
      </c>
    </row>
    <row r="1511" spans="2:13" x14ac:dyDescent="0.2">
      <c r="C1511" t="s">
        <v>27</v>
      </c>
    </row>
    <row r="1512" spans="2:13" x14ac:dyDescent="0.2">
      <c r="C1512" t="s">
        <v>28</v>
      </c>
      <c r="D1512" t="s">
        <v>16</v>
      </c>
      <c r="E1512" t="s">
        <v>29</v>
      </c>
      <c r="F1512" t="s">
        <v>18</v>
      </c>
    </row>
    <row r="1513" spans="2:13" x14ac:dyDescent="0.2">
      <c r="C1513" t="b">
        <v>0</v>
      </c>
      <c r="D1513">
        <v>710.04</v>
      </c>
      <c r="E1513" t="s">
        <v>30</v>
      </c>
    </row>
    <row r="1514" spans="2:13" x14ac:dyDescent="0.2">
      <c r="C1514" t="b">
        <v>0</v>
      </c>
      <c r="D1514">
        <v>840.05</v>
      </c>
      <c r="E1514" t="s">
        <v>30</v>
      </c>
    </row>
    <row r="1515" spans="2:13" x14ac:dyDescent="0.2">
      <c r="C1515" t="b">
        <v>0</v>
      </c>
      <c r="D1515">
        <v>590.03</v>
      </c>
      <c r="E1515" t="s">
        <v>30</v>
      </c>
    </row>
    <row r="1516" spans="2:13" x14ac:dyDescent="0.2">
      <c r="C1516" t="b">
        <v>0</v>
      </c>
      <c r="D1516">
        <v>730.05</v>
      </c>
      <c r="E1516" t="s">
        <v>30</v>
      </c>
    </row>
    <row r="1517" spans="2:13" x14ac:dyDescent="0.2">
      <c r="C1517" t="b">
        <v>0</v>
      </c>
      <c r="D1517">
        <v>710.05</v>
      </c>
      <c r="E1517" t="s">
        <v>30</v>
      </c>
    </row>
    <row r="1518" spans="2:13" x14ac:dyDescent="0.2">
      <c r="C1518" t="b">
        <v>0</v>
      </c>
      <c r="D1518">
        <v>690.04</v>
      </c>
      <c r="E1518" t="s">
        <v>30</v>
      </c>
    </row>
    <row r="1519" spans="2:13" x14ac:dyDescent="0.2">
      <c r="C1519" t="b">
        <v>0</v>
      </c>
      <c r="D1519">
        <v>470.03</v>
      </c>
      <c r="E1519" t="s">
        <v>30</v>
      </c>
    </row>
    <row r="1520" spans="2:13" x14ac:dyDescent="0.2">
      <c r="B1520" t="s">
        <v>11</v>
      </c>
    </row>
    <row r="1521" spans="1:13" x14ac:dyDescent="0.2">
      <c r="B1521" t="s">
        <v>12</v>
      </c>
      <c r="C1521" t="s">
        <v>13</v>
      </c>
      <c r="D1521" t="s">
        <v>14</v>
      </c>
      <c r="E1521" t="s">
        <v>15</v>
      </c>
      <c r="F1521" t="s">
        <v>16</v>
      </c>
      <c r="G1521" t="s">
        <v>17</v>
      </c>
      <c r="H1521" t="s">
        <v>18</v>
      </c>
      <c r="I1521" t="s">
        <v>19</v>
      </c>
      <c r="J1521" t="s">
        <v>20</v>
      </c>
      <c r="K1521" t="s">
        <v>21</v>
      </c>
      <c r="L1521" t="s">
        <v>22</v>
      </c>
      <c r="M1521" t="s">
        <v>23</v>
      </c>
    </row>
    <row r="1522" spans="1:13" x14ac:dyDescent="0.2">
      <c r="B1522" t="s">
        <v>33</v>
      </c>
      <c r="C1522">
        <v>89</v>
      </c>
      <c r="E1522" t="s">
        <v>25</v>
      </c>
      <c r="F1522">
        <v>3786.36</v>
      </c>
      <c r="G1522">
        <v>6.9</v>
      </c>
      <c r="K1522">
        <v>0.1</v>
      </c>
      <c r="L1522">
        <v>7</v>
      </c>
      <c r="M1522">
        <v>96</v>
      </c>
    </row>
    <row r="1523" spans="1:13" x14ac:dyDescent="0.2">
      <c r="C1523" t="s">
        <v>27</v>
      </c>
    </row>
    <row r="1524" spans="1:13" x14ac:dyDescent="0.2">
      <c r="C1524" t="s">
        <v>28</v>
      </c>
      <c r="D1524" t="s">
        <v>16</v>
      </c>
      <c r="E1524" t="s">
        <v>29</v>
      </c>
      <c r="F1524" t="s">
        <v>18</v>
      </c>
    </row>
    <row r="1525" spans="1:13" x14ac:dyDescent="0.2">
      <c r="C1525" t="b">
        <v>0</v>
      </c>
      <c r="D1525">
        <v>3330.51</v>
      </c>
      <c r="E1525" t="s">
        <v>30</v>
      </c>
    </row>
    <row r="1526" spans="1:13" x14ac:dyDescent="0.2">
      <c r="C1526" t="b">
        <v>0</v>
      </c>
      <c r="D1526">
        <v>3860.66</v>
      </c>
      <c r="E1526" t="s">
        <v>30</v>
      </c>
    </row>
    <row r="1527" spans="1:13" x14ac:dyDescent="0.2">
      <c r="C1527" t="b">
        <v>0</v>
      </c>
      <c r="D1527">
        <v>3880.71</v>
      </c>
      <c r="E1527" t="s">
        <v>30</v>
      </c>
    </row>
    <row r="1528" spans="1:13" x14ac:dyDescent="0.2">
      <c r="C1528" t="b">
        <v>0</v>
      </c>
      <c r="D1528">
        <v>4020.74</v>
      </c>
      <c r="E1528" t="s">
        <v>30</v>
      </c>
    </row>
    <row r="1529" spans="1:13" x14ac:dyDescent="0.2">
      <c r="C1529" t="b">
        <v>0</v>
      </c>
      <c r="D1529">
        <v>3800.63</v>
      </c>
      <c r="E1529" t="s">
        <v>30</v>
      </c>
    </row>
    <row r="1530" spans="1:13" x14ac:dyDescent="0.2">
      <c r="C1530" t="b">
        <v>0</v>
      </c>
      <c r="D1530">
        <v>4060.72</v>
      </c>
      <c r="E1530" t="s">
        <v>30</v>
      </c>
    </row>
    <row r="1531" spans="1:13" x14ac:dyDescent="0.2">
      <c r="C1531" t="b">
        <v>0</v>
      </c>
      <c r="D1531">
        <v>3550.57</v>
      </c>
      <c r="E1531" t="s">
        <v>30</v>
      </c>
    </row>
    <row r="1532" spans="1:13" x14ac:dyDescent="0.2">
      <c r="A1532" t="s">
        <v>0</v>
      </c>
    </row>
    <row r="1533" spans="1:13" x14ac:dyDescent="0.2"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</row>
    <row r="1534" spans="1:13" x14ac:dyDescent="0.2">
      <c r="B1534" t="b">
        <v>0</v>
      </c>
      <c r="C1534" t="s">
        <v>123</v>
      </c>
      <c r="D1534" t="s">
        <v>124</v>
      </c>
      <c r="E1534" t="s">
        <v>0</v>
      </c>
      <c r="G1534" t="s">
        <v>125</v>
      </c>
    </row>
    <row r="1535" spans="1:13" x14ac:dyDescent="0.2">
      <c r="B1535" t="s">
        <v>11</v>
      </c>
    </row>
    <row r="1536" spans="1:13" x14ac:dyDescent="0.2">
      <c r="B1536" t="s">
        <v>12</v>
      </c>
      <c r="C1536" t="s">
        <v>13</v>
      </c>
      <c r="D1536" t="s">
        <v>14</v>
      </c>
      <c r="E1536" t="s">
        <v>15</v>
      </c>
      <c r="F1536" t="s">
        <v>16</v>
      </c>
      <c r="G1536" t="s">
        <v>17</v>
      </c>
      <c r="H1536" t="s">
        <v>18</v>
      </c>
      <c r="I1536" t="s">
        <v>19</v>
      </c>
      <c r="J1536" t="s">
        <v>20</v>
      </c>
      <c r="K1536" t="s">
        <v>21</v>
      </c>
      <c r="L1536" t="s">
        <v>22</v>
      </c>
      <c r="M1536" t="s">
        <v>23</v>
      </c>
    </row>
    <row r="1537" spans="2:13" x14ac:dyDescent="0.2">
      <c r="B1537" t="s">
        <v>24</v>
      </c>
      <c r="C1537">
        <v>59</v>
      </c>
      <c r="E1537" t="s">
        <v>25</v>
      </c>
      <c r="F1537">
        <v>199946.6</v>
      </c>
      <c r="G1537">
        <v>1.4</v>
      </c>
      <c r="H1537">
        <v>8.8999999999999996E-2</v>
      </c>
      <c r="I1537" t="s">
        <v>26</v>
      </c>
      <c r="J1537">
        <v>1.4</v>
      </c>
      <c r="K1537">
        <v>0.1</v>
      </c>
      <c r="L1537">
        <v>7</v>
      </c>
    </row>
    <row r="1538" spans="2:13" x14ac:dyDescent="0.2">
      <c r="C1538" t="s">
        <v>27</v>
      </c>
    </row>
    <row r="1539" spans="2:13" x14ac:dyDescent="0.2">
      <c r="C1539" t="s">
        <v>28</v>
      </c>
      <c r="D1539" t="s">
        <v>16</v>
      </c>
      <c r="E1539" t="s">
        <v>29</v>
      </c>
      <c r="F1539" t="s">
        <v>18</v>
      </c>
    </row>
    <row r="1540" spans="2:13" x14ac:dyDescent="0.2">
      <c r="C1540" t="b">
        <v>0</v>
      </c>
      <c r="D1540">
        <v>195500.23</v>
      </c>
      <c r="E1540" t="s">
        <v>30</v>
      </c>
      <c r="F1540">
        <v>8.6999999999999994E-2</v>
      </c>
    </row>
    <row r="1541" spans="2:13" x14ac:dyDescent="0.2">
      <c r="C1541" t="b">
        <v>0</v>
      </c>
      <c r="D1541">
        <v>200730.6</v>
      </c>
      <c r="E1541" t="s">
        <v>30</v>
      </c>
      <c r="F1541">
        <v>8.8999999999999996E-2</v>
      </c>
    </row>
    <row r="1542" spans="2:13" x14ac:dyDescent="0.2">
      <c r="C1542" t="b">
        <v>0</v>
      </c>
      <c r="D1542">
        <v>204717.85</v>
      </c>
      <c r="E1542" t="s">
        <v>30</v>
      </c>
      <c r="F1542">
        <v>9.0999999999999998E-2</v>
      </c>
    </row>
    <row r="1543" spans="2:13" x14ac:dyDescent="0.2">
      <c r="C1543" t="b">
        <v>0</v>
      </c>
      <c r="D1543">
        <v>201216.01</v>
      </c>
      <c r="E1543" t="s">
        <v>30</v>
      </c>
      <c r="F1543">
        <v>8.8999999999999996E-2</v>
      </c>
    </row>
    <row r="1544" spans="2:13" x14ac:dyDescent="0.2">
      <c r="C1544" t="b">
        <v>0</v>
      </c>
      <c r="D1544">
        <v>199281.31</v>
      </c>
      <c r="E1544" t="s">
        <v>30</v>
      </c>
      <c r="F1544">
        <v>8.8999999999999996E-2</v>
      </c>
    </row>
    <row r="1545" spans="2:13" x14ac:dyDescent="0.2">
      <c r="C1545" t="b">
        <v>0</v>
      </c>
      <c r="D1545">
        <v>199007.71</v>
      </c>
      <c r="E1545" t="s">
        <v>30</v>
      </c>
      <c r="F1545">
        <v>8.7999999999999995E-2</v>
      </c>
    </row>
    <row r="1546" spans="2:13" x14ac:dyDescent="0.2">
      <c r="C1546" t="b">
        <v>0</v>
      </c>
      <c r="D1546">
        <v>199172.48000000001</v>
      </c>
      <c r="E1546" t="s">
        <v>30</v>
      </c>
      <c r="F1546">
        <v>8.8999999999999996E-2</v>
      </c>
    </row>
    <row r="1547" spans="2:13" x14ac:dyDescent="0.2">
      <c r="B1547" t="s">
        <v>11</v>
      </c>
    </row>
    <row r="1548" spans="2:13" x14ac:dyDescent="0.2">
      <c r="B1548" t="s">
        <v>12</v>
      </c>
      <c r="C1548" t="s">
        <v>13</v>
      </c>
      <c r="D1548" t="s">
        <v>14</v>
      </c>
      <c r="E1548" t="s">
        <v>15</v>
      </c>
      <c r="F1548" t="s">
        <v>16</v>
      </c>
      <c r="G1548" t="s">
        <v>17</v>
      </c>
      <c r="H1548" t="s">
        <v>18</v>
      </c>
      <c r="I1548" t="s">
        <v>19</v>
      </c>
      <c r="J1548" t="s">
        <v>20</v>
      </c>
      <c r="K1548" t="s">
        <v>21</v>
      </c>
      <c r="L1548" t="s">
        <v>22</v>
      </c>
      <c r="M1548" t="s">
        <v>23</v>
      </c>
    </row>
    <row r="1549" spans="2:13" x14ac:dyDescent="0.2">
      <c r="B1549" t="s">
        <v>31</v>
      </c>
      <c r="C1549">
        <v>45</v>
      </c>
      <c r="E1549" t="s">
        <v>25</v>
      </c>
      <c r="F1549">
        <v>1161.52</v>
      </c>
      <c r="G1549">
        <v>6.1</v>
      </c>
      <c r="K1549">
        <v>0.1</v>
      </c>
      <c r="L1549">
        <v>7</v>
      </c>
      <c r="M1549">
        <v>112.4</v>
      </c>
    </row>
    <row r="1550" spans="2:13" x14ac:dyDescent="0.2">
      <c r="C1550" t="s">
        <v>27</v>
      </c>
    </row>
    <row r="1551" spans="2:13" x14ac:dyDescent="0.2">
      <c r="C1551" t="s">
        <v>28</v>
      </c>
      <c r="D1551" t="s">
        <v>16</v>
      </c>
      <c r="E1551" t="s">
        <v>29</v>
      </c>
      <c r="F1551" t="s">
        <v>18</v>
      </c>
    </row>
    <row r="1552" spans="2:13" x14ac:dyDescent="0.2">
      <c r="C1552" t="b">
        <v>0</v>
      </c>
      <c r="D1552">
        <v>1100.07</v>
      </c>
      <c r="E1552" t="s">
        <v>30</v>
      </c>
    </row>
    <row r="1553" spans="2:13" x14ac:dyDescent="0.2">
      <c r="C1553" t="b">
        <v>0</v>
      </c>
      <c r="D1553">
        <v>1150.0899999999999</v>
      </c>
      <c r="E1553" t="s">
        <v>30</v>
      </c>
    </row>
    <row r="1554" spans="2:13" x14ac:dyDescent="0.2">
      <c r="C1554" t="b">
        <v>0</v>
      </c>
      <c r="D1554">
        <v>1270.0999999999999</v>
      </c>
      <c r="E1554" t="s">
        <v>30</v>
      </c>
    </row>
    <row r="1555" spans="2:13" x14ac:dyDescent="0.2">
      <c r="C1555" t="b">
        <v>0</v>
      </c>
      <c r="D1555">
        <v>1090.0899999999999</v>
      </c>
      <c r="E1555" t="s">
        <v>30</v>
      </c>
    </row>
    <row r="1556" spans="2:13" x14ac:dyDescent="0.2">
      <c r="C1556" t="b">
        <v>0</v>
      </c>
      <c r="D1556">
        <v>1240.0999999999999</v>
      </c>
      <c r="E1556" t="s">
        <v>30</v>
      </c>
    </row>
    <row r="1557" spans="2:13" x14ac:dyDescent="0.2">
      <c r="C1557" t="b">
        <v>0</v>
      </c>
      <c r="D1557">
        <v>1110.08</v>
      </c>
      <c r="E1557" t="s">
        <v>30</v>
      </c>
    </row>
    <row r="1558" spans="2:13" x14ac:dyDescent="0.2">
      <c r="C1558" t="b">
        <v>0</v>
      </c>
      <c r="D1558">
        <v>1170.0899999999999</v>
      </c>
      <c r="E1558" t="s">
        <v>30</v>
      </c>
    </row>
    <row r="1559" spans="2:13" x14ac:dyDescent="0.2">
      <c r="B1559" t="s">
        <v>11</v>
      </c>
    </row>
    <row r="1560" spans="2:13" x14ac:dyDescent="0.2">
      <c r="B1560" t="s">
        <v>12</v>
      </c>
      <c r="C1560" t="s">
        <v>13</v>
      </c>
      <c r="D1560" t="s">
        <v>14</v>
      </c>
      <c r="E1560" t="s">
        <v>15</v>
      </c>
      <c r="F1560" t="s">
        <v>16</v>
      </c>
      <c r="G1560" t="s">
        <v>17</v>
      </c>
      <c r="H1560" t="s">
        <v>18</v>
      </c>
      <c r="I1560" t="s">
        <v>19</v>
      </c>
      <c r="J1560" t="s">
        <v>20</v>
      </c>
      <c r="K1560" t="s">
        <v>21</v>
      </c>
      <c r="L1560" t="s">
        <v>22</v>
      </c>
      <c r="M1560" t="s">
        <v>23</v>
      </c>
    </row>
    <row r="1561" spans="2:13" x14ac:dyDescent="0.2">
      <c r="B1561" t="s">
        <v>32</v>
      </c>
      <c r="C1561">
        <v>72</v>
      </c>
      <c r="E1561" t="s">
        <v>25</v>
      </c>
      <c r="F1561">
        <v>767.19</v>
      </c>
      <c r="G1561">
        <v>10.199999999999999</v>
      </c>
      <c r="K1561">
        <v>0.1</v>
      </c>
      <c r="L1561">
        <v>7</v>
      </c>
      <c r="M1561">
        <v>102.9</v>
      </c>
    </row>
    <row r="1562" spans="2:13" x14ac:dyDescent="0.2">
      <c r="C1562" t="s">
        <v>27</v>
      </c>
    </row>
    <row r="1563" spans="2:13" x14ac:dyDescent="0.2">
      <c r="C1563" t="s">
        <v>28</v>
      </c>
      <c r="D1563" t="s">
        <v>16</v>
      </c>
      <c r="E1563" t="s">
        <v>29</v>
      </c>
      <c r="F1563" t="s">
        <v>18</v>
      </c>
    </row>
    <row r="1564" spans="2:13" x14ac:dyDescent="0.2">
      <c r="C1564" t="b">
        <v>0</v>
      </c>
      <c r="D1564">
        <v>690.04</v>
      </c>
      <c r="E1564" t="s">
        <v>30</v>
      </c>
    </row>
    <row r="1565" spans="2:13" x14ac:dyDescent="0.2">
      <c r="C1565" t="b">
        <v>0</v>
      </c>
      <c r="D1565">
        <v>650.04</v>
      </c>
      <c r="E1565" t="s">
        <v>30</v>
      </c>
    </row>
    <row r="1566" spans="2:13" x14ac:dyDescent="0.2">
      <c r="C1566" t="b">
        <v>0</v>
      </c>
      <c r="D1566">
        <v>830.06</v>
      </c>
      <c r="E1566" t="s">
        <v>30</v>
      </c>
    </row>
    <row r="1567" spans="2:13" x14ac:dyDescent="0.2">
      <c r="C1567" t="b">
        <v>0</v>
      </c>
      <c r="D1567">
        <v>730.04</v>
      </c>
      <c r="E1567" t="s">
        <v>30</v>
      </c>
    </row>
    <row r="1568" spans="2:13" x14ac:dyDescent="0.2">
      <c r="C1568" t="b">
        <v>0</v>
      </c>
      <c r="D1568">
        <v>800.05</v>
      </c>
      <c r="E1568" t="s">
        <v>30</v>
      </c>
    </row>
    <row r="1569" spans="1:13" x14ac:dyDescent="0.2">
      <c r="C1569" t="b">
        <v>0</v>
      </c>
      <c r="D1569">
        <v>810.05</v>
      </c>
      <c r="E1569" t="s">
        <v>30</v>
      </c>
    </row>
    <row r="1570" spans="1:13" x14ac:dyDescent="0.2">
      <c r="C1570" t="b">
        <v>0</v>
      </c>
      <c r="D1570">
        <v>860.06</v>
      </c>
      <c r="E1570" t="s">
        <v>30</v>
      </c>
    </row>
    <row r="1571" spans="1:13" x14ac:dyDescent="0.2">
      <c r="B1571" t="s">
        <v>11</v>
      </c>
    </row>
    <row r="1572" spans="1:13" x14ac:dyDescent="0.2">
      <c r="B1572" t="s">
        <v>12</v>
      </c>
      <c r="C1572" t="s">
        <v>13</v>
      </c>
      <c r="D1572" t="s">
        <v>14</v>
      </c>
      <c r="E1572" t="s">
        <v>15</v>
      </c>
      <c r="F1572" t="s">
        <v>16</v>
      </c>
      <c r="G1572" t="s">
        <v>17</v>
      </c>
      <c r="H1572" t="s">
        <v>18</v>
      </c>
      <c r="I1572" t="s">
        <v>19</v>
      </c>
      <c r="J1572" t="s">
        <v>20</v>
      </c>
      <c r="K1572" t="s">
        <v>21</v>
      </c>
      <c r="L1572" t="s">
        <v>22</v>
      </c>
      <c r="M1572" t="s">
        <v>23</v>
      </c>
    </row>
    <row r="1573" spans="1:13" x14ac:dyDescent="0.2">
      <c r="B1573" t="s">
        <v>33</v>
      </c>
      <c r="C1573">
        <v>89</v>
      </c>
      <c r="E1573" t="s">
        <v>25</v>
      </c>
      <c r="F1573">
        <v>3714.91</v>
      </c>
      <c r="G1573">
        <v>8.1999999999999993</v>
      </c>
      <c r="K1573">
        <v>0.1</v>
      </c>
      <c r="L1573">
        <v>7</v>
      </c>
      <c r="M1573">
        <v>94.2</v>
      </c>
    </row>
    <row r="1574" spans="1:13" x14ac:dyDescent="0.2">
      <c r="C1574" t="s">
        <v>27</v>
      </c>
    </row>
    <row r="1575" spans="1:13" x14ac:dyDescent="0.2">
      <c r="C1575" t="s">
        <v>28</v>
      </c>
      <c r="D1575" t="s">
        <v>16</v>
      </c>
      <c r="E1575" t="s">
        <v>29</v>
      </c>
      <c r="F1575" t="s">
        <v>18</v>
      </c>
    </row>
    <row r="1576" spans="1:13" x14ac:dyDescent="0.2">
      <c r="C1576" t="b">
        <v>0</v>
      </c>
      <c r="D1576">
        <v>3160.44</v>
      </c>
      <c r="E1576" t="s">
        <v>30</v>
      </c>
    </row>
    <row r="1577" spans="1:13" x14ac:dyDescent="0.2">
      <c r="C1577" t="b">
        <v>0</v>
      </c>
      <c r="D1577">
        <v>3490.55</v>
      </c>
      <c r="E1577" t="s">
        <v>30</v>
      </c>
    </row>
    <row r="1578" spans="1:13" x14ac:dyDescent="0.2">
      <c r="C1578" t="b">
        <v>0</v>
      </c>
      <c r="D1578">
        <v>3880.69</v>
      </c>
      <c r="E1578" t="s">
        <v>30</v>
      </c>
    </row>
    <row r="1579" spans="1:13" x14ac:dyDescent="0.2">
      <c r="C1579" t="b">
        <v>0</v>
      </c>
      <c r="D1579">
        <v>3640.59</v>
      </c>
      <c r="E1579" t="s">
        <v>30</v>
      </c>
    </row>
    <row r="1580" spans="1:13" x14ac:dyDescent="0.2">
      <c r="C1580" t="b">
        <v>0</v>
      </c>
      <c r="D1580">
        <v>3860.66</v>
      </c>
      <c r="E1580" t="s">
        <v>30</v>
      </c>
    </row>
    <row r="1581" spans="1:13" x14ac:dyDescent="0.2">
      <c r="C1581" t="b">
        <v>0</v>
      </c>
      <c r="D1581">
        <v>3990.74</v>
      </c>
      <c r="E1581" t="s">
        <v>30</v>
      </c>
    </row>
    <row r="1582" spans="1:13" x14ac:dyDescent="0.2">
      <c r="C1582" t="b">
        <v>0</v>
      </c>
      <c r="D1582">
        <v>3980.72</v>
      </c>
      <c r="E1582" t="s">
        <v>30</v>
      </c>
    </row>
    <row r="1583" spans="1:13" x14ac:dyDescent="0.2">
      <c r="A1583" t="s">
        <v>0</v>
      </c>
    </row>
    <row r="1584" spans="1:13" x14ac:dyDescent="0.2"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</row>
    <row r="1585" spans="1:13" x14ac:dyDescent="0.2">
      <c r="A1585" t="s">
        <v>126</v>
      </c>
      <c r="B1585" t="b">
        <v>0</v>
      </c>
      <c r="C1585" t="s">
        <v>127</v>
      </c>
      <c r="D1585" t="s">
        <v>128</v>
      </c>
      <c r="E1585" t="s">
        <v>0</v>
      </c>
      <c r="G1585" t="s">
        <v>129</v>
      </c>
    </row>
    <row r="1586" spans="1:13" x14ac:dyDescent="0.2">
      <c r="B1586" t="s">
        <v>11</v>
      </c>
    </row>
    <row r="1587" spans="1:13" x14ac:dyDescent="0.2">
      <c r="B1587" t="s">
        <v>12</v>
      </c>
      <c r="C1587" t="s">
        <v>13</v>
      </c>
      <c r="D1587" t="s">
        <v>14</v>
      </c>
      <c r="E1587" t="s">
        <v>15</v>
      </c>
      <c r="F1587" t="s">
        <v>16</v>
      </c>
      <c r="G1587" t="s">
        <v>17</v>
      </c>
      <c r="H1587" t="s">
        <v>18</v>
      </c>
      <c r="I1587" t="s">
        <v>19</v>
      </c>
      <c r="J1587" t="s">
        <v>20</v>
      </c>
      <c r="K1587" t="s">
        <v>21</v>
      </c>
      <c r="L1587" t="s">
        <v>22</v>
      </c>
      <c r="M1587" t="s">
        <v>23</v>
      </c>
    </row>
    <row r="1588" spans="1:13" x14ac:dyDescent="0.2">
      <c r="B1588" t="s">
        <v>24</v>
      </c>
      <c r="C1588">
        <v>59</v>
      </c>
      <c r="E1588" t="s">
        <v>25</v>
      </c>
      <c r="F1588">
        <v>208780.63</v>
      </c>
      <c r="G1588">
        <v>0.5</v>
      </c>
      <c r="H1588">
        <v>9.2999999999999999E-2</v>
      </c>
      <c r="I1588" t="s">
        <v>26</v>
      </c>
      <c r="J1588">
        <v>0.5</v>
      </c>
      <c r="K1588">
        <v>0.1</v>
      </c>
      <c r="L1588">
        <v>7</v>
      </c>
    </row>
    <row r="1589" spans="1:13" x14ac:dyDescent="0.2">
      <c r="C1589" t="s">
        <v>27</v>
      </c>
    </row>
    <row r="1590" spans="1:13" x14ac:dyDescent="0.2">
      <c r="C1590" t="s">
        <v>28</v>
      </c>
      <c r="D1590" t="s">
        <v>16</v>
      </c>
      <c r="E1590" t="s">
        <v>29</v>
      </c>
      <c r="F1590" t="s">
        <v>18</v>
      </c>
    </row>
    <row r="1591" spans="1:13" x14ac:dyDescent="0.2">
      <c r="C1591" t="b">
        <v>0</v>
      </c>
      <c r="D1591">
        <v>210463.24</v>
      </c>
      <c r="E1591" t="s">
        <v>30</v>
      </c>
      <c r="F1591">
        <v>9.4E-2</v>
      </c>
    </row>
    <row r="1592" spans="1:13" x14ac:dyDescent="0.2">
      <c r="C1592" t="b">
        <v>0</v>
      </c>
      <c r="D1592">
        <v>208714.45</v>
      </c>
      <c r="E1592" t="s">
        <v>30</v>
      </c>
      <c r="F1592">
        <v>9.2999999999999999E-2</v>
      </c>
    </row>
    <row r="1593" spans="1:13" x14ac:dyDescent="0.2">
      <c r="C1593" t="b">
        <v>0</v>
      </c>
      <c r="D1593">
        <v>208322.11</v>
      </c>
      <c r="E1593" t="s">
        <v>30</v>
      </c>
      <c r="F1593">
        <v>9.2999999999999999E-2</v>
      </c>
    </row>
    <row r="1594" spans="1:13" x14ac:dyDescent="0.2">
      <c r="C1594" t="b">
        <v>0</v>
      </c>
      <c r="D1594">
        <v>209385.72</v>
      </c>
      <c r="E1594" t="s">
        <v>30</v>
      </c>
      <c r="F1594">
        <v>9.2999999999999999E-2</v>
      </c>
    </row>
    <row r="1595" spans="1:13" x14ac:dyDescent="0.2">
      <c r="C1595" t="b">
        <v>0</v>
      </c>
      <c r="D1595">
        <v>209053.71</v>
      </c>
      <c r="E1595" t="s">
        <v>30</v>
      </c>
      <c r="F1595">
        <v>9.2999999999999999E-2</v>
      </c>
    </row>
    <row r="1596" spans="1:13" x14ac:dyDescent="0.2">
      <c r="C1596" t="b">
        <v>0</v>
      </c>
      <c r="D1596">
        <v>207274.61</v>
      </c>
      <c r="E1596" t="s">
        <v>30</v>
      </c>
      <c r="F1596">
        <v>9.1999999999999998E-2</v>
      </c>
    </row>
    <row r="1597" spans="1:13" x14ac:dyDescent="0.2">
      <c r="C1597" t="b">
        <v>0</v>
      </c>
      <c r="D1597">
        <v>208250.58</v>
      </c>
      <c r="E1597" t="s">
        <v>30</v>
      </c>
      <c r="F1597">
        <v>9.2999999999999999E-2</v>
      </c>
    </row>
    <row r="1598" spans="1:13" x14ac:dyDescent="0.2">
      <c r="B1598" t="s">
        <v>11</v>
      </c>
    </row>
    <row r="1599" spans="1:13" x14ac:dyDescent="0.2">
      <c r="B1599" t="s">
        <v>12</v>
      </c>
      <c r="C1599" t="s">
        <v>13</v>
      </c>
      <c r="D1599" t="s">
        <v>14</v>
      </c>
      <c r="E1599" t="s">
        <v>15</v>
      </c>
      <c r="F1599" t="s">
        <v>16</v>
      </c>
      <c r="G1599" t="s">
        <v>17</v>
      </c>
      <c r="H1599" t="s">
        <v>18</v>
      </c>
      <c r="I1599" t="s">
        <v>19</v>
      </c>
      <c r="J1599" t="s">
        <v>20</v>
      </c>
      <c r="K1599" t="s">
        <v>21</v>
      </c>
      <c r="L1599" t="s">
        <v>22</v>
      </c>
      <c r="M1599" t="s">
        <v>23</v>
      </c>
    </row>
    <row r="1600" spans="1:13" x14ac:dyDescent="0.2">
      <c r="B1600" t="s">
        <v>31</v>
      </c>
      <c r="C1600">
        <v>45</v>
      </c>
      <c r="E1600" t="s">
        <v>25</v>
      </c>
      <c r="F1600">
        <v>1301.53</v>
      </c>
      <c r="G1600">
        <v>11.3</v>
      </c>
      <c r="K1600">
        <v>0.1</v>
      </c>
      <c r="L1600">
        <v>7</v>
      </c>
      <c r="M1600">
        <v>126</v>
      </c>
    </row>
    <row r="1601" spans="2:13" x14ac:dyDescent="0.2">
      <c r="C1601" t="s">
        <v>27</v>
      </c>
    </row>
    <row r="1602" spans="2:13" x14ac:dyDescent="0.2">
      <c r="C1602" t="s">
        <v>28</v>
      </c>
      <c r="D1602" t="s">
        <v>16</v>
      </c>
      <c r="E1602" t="s">
        <v>29</v>
      </c>
      <c r="F1602" t="s">
        <v>18</v>
      </c>
    </row>
    <row r="1603" spans="2:13" x14ac:dyDescent="0.2">
      <c r="C1603" t="b">
        <v>0</v>
      </c>
      <c r="D1603">
        <v>1260.0999999999999</v>
      </c>
      <c r="E1603" t="s">
        <v>30</v>
      </c>
    </row>
    <row r="1604" spans="2:13" x14ac:dyDescent="0.2">
      <c r="C1604" t="b">
        <v>0</v>
      </c>
      <c r="D1604">
        <v>1220.0999999999999</v>
      </c>
      <c r="E1604" t="s">
        <v>30</v>
      </c>
    </row>
    <row r="1605" spans="2:13" x14ac:dyDescent="0.2">
      <c r="C1605" t="b">
        <v>0</v>
      </c>
      <c r="D1605">
        <v>1280.0999999999999</v>
      </c>
      <c r="E1605" t="s">
        <v>30</v>
      </c>
    </row>
    <row r="1606" spans="2:13" x14ac:dyDescent="0.2">
      <c r="C1606" t="b">
        <v>0</v>
      </c>
      <c r="D1606">
        <v>1380.12</v>
      </c>
      <c r="E1606" t="s">
        <v>30</v>
      </c>
    </row>
    <row r="1607" spans="2:13" x14ac:dyDescent="0.2">
      <c r="C1607" t="b">
        <v>0</v>
      </c>
      <c r="D1607">
        <v>1050.07</v>
      </c>
      <c r="E1607" t="s">
        <v>30</v>
      </c>
    </row>
    <row r="1608" spans="2:13" x14ac:dyDescent="0.2">
      <c r="C1608" t="b">
        <v>0</v>
      </c>
      <c r="D1608">
        <v>1440.13</v>
      </c>
      <c r="E1608" t="s">
        <v>30</v>
      </c>
    </row>
    <row r="1609" spans="2:13" x14ac:dyDescent="0.2">
      <c r="C1609" t="b">
        <v>0</v>
      </c>
      <c r="D1609">
        <v>1480.12</v>
      </c>
      <c r="E1609" t="s">
        <v>30</v>
      </c>
    </row>
    <row r="1610" spans="2:13" x14ac:dyDescent="0.2">
      <c r="B1610" t="s">
        <v>11</v>
      </c>
    </row>
    <row r="1611" spans="2:13" x14ac:dyDescent="0.2">
      <c r="B1611" t="s">
        <v>12</v>
      </c>
      <c r="C1611" t="s">
        <v>13</v>
      </c>
      <c r="D1611" t="s">
        <v>14</v>
      </c>
      <c r="E1611" t="s">
        <v>15</v>
      </c>
      <c r="F1611" t="s">
        <v>16</v>
      </c>
      <c r="G1611" t="s">
        <v>17</v>
      </c>
      <c r="H1611" t="s">
        <v>18</v>
      </c>
      <c r="I1611" t="s">
        <v>19</v>
      </c>
      <c r="J1611" t="s">
        <v>20</v>
      </c>
      <c r="K1611" t="s">
        <v>21</v>
      </c>
      <c r="L1611" t="s">
        <v>22</v>
      </c>
      <c r="M1611" t="s">
        <v>23</v>
      </c>
    </row>
    <row r="1612" spans="2:13" x14ac:dyDescent="0.2">
      <c r="B1612" t="s">
        <v>32</v>
      </c>
      <c r="C1612">
        <v>72</v>
      </c>
      <c r="E1612" t="s">
        <v>25</v>
      </c>
      <c r="F1612">
        <v>691.47</v>
      </c>
      <c r="G1612">
        <v>16.5</v>
      </c>
      <c r="K1612">
        <v>0.1</v>
      </c>
      <c r="L1612">
        <v>7</v>
      </c>
      <c r="M1612">
        <v>92.7</v>
      </c>
    </row>
    <row r="1613" spans="2:13" x14ac:dyDescent="0.2">
      <c r="C1613" t="s">
        <v>27</v>
      </c>
    </row>
    <row r="1614" spans="2:13" x14ac:dyDescent="0.2">
      <c r="C1614" t="s">
        <v>28</v>
      </c>
      <c r="D1614" t="s">
        <v>16</v>
      </c>
      <c r="E1614" t="s">
        <v>29</v>
      </c>
      <c r="F1614" t="s">
        <v>18</v>
      </c>
    </row>
    <row r="1615" spans="2:13" x14ac:dyDescent="0.2">
      <c r="C1615" t="b">
        <v>0</v>
      </c>
      <c r="D1615">
        <v>540.03</v>
      </c>
      <c r="E1615" t="s">
        <v>30</v>
      </c>
    </row>
    <row r="1616" spans="2:13" x14ac:dyDescent="0.2">
      <c r="C1616" t="b">
        <v>0</v>
      </c>
      <c r="D1616">
        <v>770.05</v>
      </c>
      <c r="E1616" t="s">
        <v>30</v>
      </c>
    </row>
    <row r="1617" spans="2:13" x14ac:dyDescent="0.2">
      <c r="C1617" t="b">
        <v>0</v>
      </c>
      <c r="D1617">
        <v>710.05</v>
      </c>
      <c r="E1617" t="s">
        <v>30</v>
      </c>
    </row>
    <row r="1618" spans="2:13" x14ac:dyDescent="0.2">
      <c r="C1618" t="b">
        <v>0</v>
      </c>
      <c r="D1618">
        <v>520.02</v>
      </c>
      <c r="E1618" t="s">
        <v>30</v>
      </c>
    </row>
    <row r="1619" spans="2:13" x14ac:dyDescent="0.2">
      <c r="C1619" t="b">
        <v>0</v>
      </c>
      <c r="D1619">
        <v>760.05</v>
      </c>
      <c r="E1619" t="s">
        <v>30</v>
      </c>
    </row>
    <row r="1620" spans="2:13" x14ac:dyDescent="0.2">
      <c r="C1620" t="b">
        <v>0</v>
      </c>
      <c r="D1620">
        <v>740.05</v>
      </c>
      <c r="E1620" t="s">
        <v>30</v>
      </c>
    </row>
    <row r="1621" spans="2:13" x14ac:dyDescent="0.2">
      <c r="C1621" t="b">
        <v>0</v>
      </c>
      <c r="D1621">
        <v>800.06</v>
      </c>
      <c r="E1621" t="s">
        <v>30</v>
      </c>
    </row>
    <row r="1622" spans="2:13" x14ac:dyDescent="0.2">
      <c r="B1622" t="s">
        <v>11</v>
      </c>
    </row>
    <row r="1623" spans="2:13" x14ac:dyDescent="0.2">
      <c r="B1623" t="s">
        <v>12</v>
      </c>
      <c r="C1623" t="s">
        <v>13</v>
      </c>
      <c r="D1623" t="s">
        <v>14</v>
      </c>
      <c r="E1623" t="s">
        <v>15</v>
      </c>
      <c r="F1623" t="s">
        <v>16</v>
      </c>
      <c r="G1623" t="s">
        <v>17</v>
      </c>
      <c r="H1623" t="s">
        <v>18</v>
      </c>
      <c r="I1623" t="s">
        <v>19</v>
      </c>
      <c r="J1623" t="s">
        <v>20</v>
      </c>
      <c r="K1623" t="s">
        <v>21</v>
      </c>
      <c r="L1623" t="s">
        <v>22</v>
      </c>
      <c r="M1623" t="s">
        <v>23</v>
      </c>
    </row>
    <row r="1624" spans="2:13" x14ac:dyDescent="0.2">
      <c r="B1624" t="s">
        <v>33</v>
      </c>
      <c r="C1624">
        <v>89</v>
      </c>
      <c r="E1624" t="s">
        <v>25</v>
      </c>
      <c r="F1624">
        <v>3594.88</v>
      </c>
      <c r="G1624">
        <v>6.5</v>
      </c>
      <c r="K1624">
        <v>0.1</v>
      </c>
      <c r="L1624">
        <v>7</v>
      </c>
      <c r="M1624">
        <v>91.1</v>
      </c>
    </row>
    <row r="1625" spans="2:13" x14ac:dyDescent="0.2">
      <c r="C1625" t="s">
        <v>27</v>
      </c>
    </row>
    <row r="1626" spans="2:13" x14ac:dyDescent="0.2">
      <c r="C1626" t="s">
        <v>28</v>
      </c>
      <c r="D1626" t="s">
        <v>16</v>
      </c>
      <c r="E1626" t="s">
        <v>29</v>
      </c>
      <c r="F1626" t="s">
        <v>18</v>
      </c>
    </row>
    <row r="1627" spans="2:13" x14ac:dyDescent="0.2">
      <c r="C1627" t="b">
        <v>0</v>
      </c>
      <c r="D1627">
        <v>3300.5</v>
      </c>
      <c r="E1627" t="s">
        <v>30</v>
      </c>
    </row>
    <row r="1628" spans="2:13" x14ac:dyDescent="0.2">
      <c r="C1628" t="b">
        <v>0</v>
      </c>
      <c r="D1628">
        <v>3610.63</v>
      </c>
      <c r="E1628" t="s">
        <v>30</v>
      </c>
    </row>
    <row r="1629" spans="2:13" x14ac:dyDescent="0.2">
      <c r="C1629" t="b">
        <v>0</v>
      </c>
      <c r="D1629">
        <v>3720.61</v>
      </c>
      <c r="E1629" t="s">
        <v>30</v>
      </c>
    </row>
    <row r="1630" spans="2:13" x14ac:dyDescent="0.2">
      <c r="C1630" t="b">
        <v>0</v>
      </c>
      <c r="D1630">
        <v>3270.51</v>
      </c>
      <c r="E1630" t="s">
        <v>30</v>
      </c>
    </row>
    <row r="1631" spans="2:13" x14ac:dyDescent="0.2">
      <c r="C1631" t="b">
        <v>0</v>
      </c>
      <c r="D1631">
        <v>3880.68</v>
      </c>
      <c r="E1631" t="s">
        <v>30</v>
      </c>
    </row>
    <row r="1632" spans="2:13" x14ac:dyDescent="0.2">
      <c r="C1632" t="b">
        <v>0</v>
      </c>
      <c r="D1632">
        <v>3600.59</v>
      </c>
      <c r="E1632" t="s">
        <v>30</v>
      </c>
    </row>
    <row r="1633" spans="1:13" x14ac:dyDescent="0.2">
      <c r="C1633" t="b">
        <v>0</v>
      </c>
      <c r="D1633">
        <v>3780.64</v>
      </c>
      <c r="E1633" t="s">
        <v>30</v>
      </c>
    </row>
    <row r="1634" spans="1:13" x14ac:dyDescent="0.2">
      <c r="A1634" t="s">
        <v>0</v>
      </c>
    </row>
    <row r="1635" spans="1:13" x14ac:dyDescent="0.2"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</row>
    <row r="1636" spans="1:13" x14ac:dyDescent="0.2">
      <c r="B1636" t="b">
        <v>0</v>
      </c>
      <c r="C1636" t="s">
        <v>130</v>
      </c>
      <c r="D1636" t="s">
        <v>131</v>
      </c>
      <c r="E1636" t="s">
        <v>0</v>
      </c>
      <c r="G1636" t="s">
        <v>132</v>
      </c>
    </row>
    <row r="1637" spans="1:13" x14ac:dyDescent="0.2">
      <c r="B1637" t="s">
        <v>11</v>
      </c>
    </row>
    <row r="1638" spans="1:13" x14ac:dyDescent="0.2">
      <c r="B1638" t="s">
        <v>12</v>
      </c>
      <c r="C1638" t="s">
        <v>13</v>
      </c>
      <c r="D1638" t="s">
        <v>14</v>
      </c>
      <c r="E1638" t="s">
        <v>15</v>
      </c>
      <c r="F1638" t="s">
        <v>16</v>
      </c>
      <c r="G1638" t="s">
        <v>17</v>
      </c>
      <c r="H1638" t="s">
        <v>18</v>
      </c>
      <c r="I1638" t="s">
        <v>19</v>
      </c>
      <c r="J1638" t="s">
        <v>20</v>
      </c>
      <c r="K1638" t="s">
        <v>21</v>
      </c>
      <c r="L1638" t="s">
        <v>22</v>
      </c>
      <c r="M1638" t="s">
        <v>23</v>
      </c>
    </row>
    <row r="1639" spans="1:13" x14ac:dyDescent="0.2">
      <c r="B1639" t="s">
        <v>24</v>
      </c>
      <c r="C1639">
        <v>59</v>
      </c>
      <c r="E1639" t="s">
        <v>25</v>
      </c>
      <c r="F1639">
        <v>204463.66</v>
      </c>
      <c r="G1639">
        <v>0.7</v>
      </c>
      <c r="H1639">
        <v>9.0999999999999998E-2</v>
      </c>
      <c r="I1639" t="s">
        <v>26</v>
      </c>
      <c r="J1639">
        <v>0.7</v>
      </c>
      <c r="K1639">
        <v>0.1</v>
      </c>
      <c r="L1639">
        <v>7</v>
      </c>
    </row>
    <row r="1640" spans="1:13" x14ac:dyDescent="0.2">
      <c r="C1640" t="s">
        <v>27</v>
      </c>
    </row>
    <row r="1641" spans="1:13" x14ac:dyDescent="0.2">
      <c r="C1641" t="s">
        <v>28</v>
      </c>
      <c r="D1641" t="s">
        <v>16</v>
      </c>
      <c r="E1641" t="s">
        <v>29</v>
      </c>
      <c r="F1641" t="s">
        <v>18</v>
      </c>
    </row>
    <row r="1642" spans="1:13" x14ac:dyDescent="0.2">
      <c r="C1642" t="b">
        <v>0</v>
      </c>
      <c r="D1642">
        <v>203430.91</v>
      </c>
      <c r="E1642" t="s">
        <v>30</v>
      </c>
      <c r="F1642">
        <v>0.09</v>
      </c>
    </row>
    <row r="1643" spans="1:13" x14ac:dyDescent="0.2">
      <c r="C1643" t="b">
        <v>0</v>
      </c>
      <c r="D1643">
        <v>203463.2</v>
      </c>
      <c r="E1643" t="s">
        <v>30</v>
      </c>
      <c r="F1643">
        <v>0.09</v>
      </c>
    </row>
    <row r="1644" spans="1:13" x14ac:dyDescent="0.2">
      <c r="C1644" t="b">
        <v>0</v>
      </c>
      <c r="D1644">
        <v>206853.38</v>
      </c>
      <c r="E1644" t="s">
        <v>30</v>
      </c>
      <c r="F1644">
        <v>9.1999999999999998E-2</v>
      </c>
    </row>
    <row r="1645" spans="1:13" x14ac:dyDescent="0.2">
      <c r="C1645" t="b">
        <v>0</v>
      </c>
      <c r="D1645">
        <v>205914.9</v>
      </c>
      <c r="E1645" t="s">
        <v>30</v>
      </c>
      <c r="F1645">
        <v>9.1999999999999998E-2</v>
      </c>
    </row>
    <row r="1646" spans="1:13" x14ac:dyDescent="0.2">
      <c r="C1646" t="b">
        <v>0</v>
      </c>
      <c r="D1646">
        <v>204883.86</v>
      </c>
      <c r="E1646" t="s">
        <v>30</v>
      </c>
      <c r="F1646">
        <v>9.0999999999999998E-2</v>
      </c>
    </row>
    <row r="1647" spans="1:13" x14ac:dyDescent="0.2">
      <c r="C1647" t="b">
        <v>0</v>
      </c>
      <c r="D1647">
        <v>204189.39</v>
      </c>
      <c r="E1647" t="s">
        <v>30</v>
      </c>
      <c r="F1647">
        <v>9.0999999999999998E-2</v>
      </c>
    </row>
    <row r="1648" spans="1:13" x14ac:dyDescent="0.2">
      <c r="C1648" t="b">
        <v>0</v>
      </c>
      <c r="D1648">
        <v>202509.98</v>
      </c>
      <c r="E1648" t="s">
        <v>30</v>
      </c>
      <c r="F1648">
        <v>0.09</v>
      </c>
    </row>
    <row r="1649" spans="2:13" x14ac:dyDescent="0.2">
      <c r="B1649" t="s">
        <v>11</v>
      </c>
    </row>
    <row r="1650" spans="2:13" x14ac:dyDescent="0.2">
      <c r="B1650" t="s">
        <v>12</v>
      </c>
      <c r="C1650" t="s">
        <v>13</v>
      </c>
      <c r="D1650" t="s">
        <v>14</v>
      </c>
      <c r="E1650" t="s">
        <v>15</v>
      </c>
      <c r="F1650" t="s">
        <v>16</v>
      </c>
      <c r="G1650" t="s">
        <v>17</v>
      </c>
      <c r="H1650" t="s">
        <v>18</v>
      </c>
      <c r="I1650" t="s">
        <v>19</v>
      </c>
      <c r="J1650" t="s">
        <v>20</v>
      </c>
      <c r="K1650" t="s">
        <v>21</v>
      </c>
      <c r="L1650" t="s">
        <v>22</v>
      </c>
      <c r="M1650" t="s">
        <v>23</v>
      </c>
    </row>
    <row r="1651" spans="2:13" x14ac:dyDescent="0.2">
      <c r="B1651" t="s">
        <v>31</v>
      </c>
      <c r="C1651">
        <v>45</v>
      </c>
      <c r="E1651" t="s">
        <v>25</v>
      </c>
      <c r="F1651">
        <v>1125.8</v>
      </c>
      <c r="G1651">
        <v>13.3</v>
      </c>
      <c r="K1651">
        <v>0.1</v>
      </c>
      <c r="L1651">
        <v>7</v>
      </c>
      <c r="M1651">
        <v>109</v>
      </c>
    </row>
    <row r="1652" spans="2:13" x14ac:dyDescent="0.2">
      <c r="C1652" t="s">
        <v>27</v>
      </c>
    </row>
    <row r="1653" spans="2:13" x14ac:dyDescent="0.2">
      <c r="C1653" t="s">
        <v>28</v>
      </c>
      <c r="D1653" t="s">
        <v>16</v>
      </c>
      <c r="E1653" t="s">
        <v>29</v>
      </c>
      <c r="F1653" t="s">
        <v>18</v>
      </c>
    </row>
    <row r="1654" spans="2:13" x14ac:dyDescent="0.2">
      <c r="C1654" t="b">
        <v>0</v>
      </c>
      <c r="D1654">
        <v>1020.07</v>
      </c>
      <c r="E1654" t="s">
        <v>30</v>
      </c>
    </row>
    <row r="1655" spans="2:13" x14ac:dyDescent="0.2">
      <c r="C1655" t="b">
        <v>0</v>
      </c>
      <c r="D1655">
        <v>960.06</v>
      </c>
      <c r="E1655" t="s">
        <v>30</v>
      </c>
    </row>
    <row r="1656" spans="2:13" x14ac:dyDescent="0.2">
      <c r="C1656" t="b">
        <v>0</v>
      </c>
      <c r="D1656">
        <v>1100.0899999999999</v>
      </c>
      <c r="E1656" t="s">
        <v>30</v>
      </c>
    </row>
    <row r="1657" spans="2:13" x14ac:dyDescent="0.2">
      <c r="C1657" t="b">
        <v>0</v>
      </c>
      <c r="D1657">
        <v>1010.07</v>
      </c>
      <c r="E1657" t="s">
        <v>30</v>
      </c>
    </row>
    <row r="1658" spans="2:13" x14ac:dyDescent="0.2">
      <c r="C1658" t="b">
        <v>0</v>
      </c>
      <c r="D1658">
        <v>1300.1099999999999</v>
      </c>
      <c r="E1658" t="s">
        <v>30</v>
      </c>
    </row>
    <row r="1659" spans="2:13" x14ac:dyDescent="0.2">
      <c r="C1659" t="b">
        <v>0</v>
      </c>
      <c r="D1659">
        <v>1350.12</v>
      </c>
      <c r="E1659" t="s">
        <v>30</v>
      </c>
    </row>
    <row r="1660" spans="2:13" x14ac:dyDescent="0.2">
      <c r="C1660" t="b">
        <v>0</v>
      </c>
      <c r="D1660">
        <v>1140.0899999999999</v>
      </c>
      <c r="E1660" t="s">
        <v>30</v>
      </c>
    </row>
    <row r="1661" spans="2:13" x14ac:dyDescent="0.2">
      <c r="B1661" t="s">
        <v>11</v>
      </c>
    </row>
    <row r="1662" spans="2:13" x14ac:dyDescent="0.2">
      <c r="B1662" t="s">
        <v>12</v>
      </c>
      <c r="C1662" t="s">
        <v>13</v>
      </c>
      <c r="D1662" t="s">
        <v>14</v>
      </c>
      <c r="E1662" t="s">
        <v>15</v>
      </c>
      <c r="F1662" t="s">
        <v>16</v>
      </c>
      <c r="G1662" t="s">
        <v>17</v>
      </c>
      <c r="H1662" t="s">
        <v>18</v>
      </c>
      <c r="I1662" t="s">
        <v>19</v>
      </c>
      <c r="J1662" t="s">
        <v>20</v>
      </c>
      <c r="K1662" t="s">
        <v>21</v>
      </c>
      <c r="L1662" t="s">
        <v>22</v>
      </c>
      <c r="M1662" t="s">
        <v>23</v>
      </c>
    </row>
    <row r="1663" spans="2:13" x14ac:dyDescent="0.2">
      <c r="B1663" t="s">
        <v>32</v>
      </c>
      <c r="C1663">
        <v>72</v>
      </c>
      <c r="E1663" t="s">
        <v>25</v>
      </c>
      <c r="F1663">
        <v>790.05</v>
      </c>
      <c r="G1663">
        <v>11.1</v>
      </c>
      <c r="K1663">
        <v>0.1</v>
      </c>
      <c r="L1663">
        <v>7</v>
      </c>
      <c r="M1663">
        <v>105.9</v>
      </c>
    </row>
    <row r="1664" spans="2:13" x14ac:dyDescent="0.2">
      <c r="C1664" t="s">
        <v>27</v>
      </c>
    </row>
    <row r="1665" spans="2:13" x14ac:dyDescent="0.2">
      <c r="C1665" t="s">
        <v>28</v>
      </c>
      <c r="D1665" t="s">
        <v>16</v>
      </c>
      <c r="E1665" t="s">
        <v>29</v>
      </c>
      <c r="F1665" t="s">
        <v>18</v>
      </c>
    </row>
    <row r="1666" spans="2:13" x14ac:dyDescent="0.2">
      <c r="C1666" t="b">
        <v>0</v>
      </c>
      <c r="D1666">
        <v>750.04</v>
      </c>
      <c r="E1666" t="s">
        <v>30</v>
      </c>
    </row>
    <row r="1667" spans="2:13" x14ac:dyDescent="0.2">
      <c r="C1667" t="b">
        <v>0</v>
      </c>
      <c r="D1667">
        <v>800.05</v>
      </c>
      <c r="E1667" t="s">
        <v>30</v>
      </c>
    </row>
    <row r="1668" spans="2:13" x14ac:dyDescent="0.2">
      <c r="C1668" t="b">
        <v>0</v>
      </c>
      <c r="D1668">
        <v>820.06</v>
      </c>
      <c r="E1668" t="s">
        <v>30</v>
      </c>
    </row>
    <row r="1669" spans="2:13" x14ac:dyDescent="0.2">
      <c r="C1669" t="b">
        <v>0</v>
      </c>
      <c r="D1669">
        <v>650.04</v>
      </c>
      <c r="E1669" t="s">
        <v>30</v>
      </c>
    </row>
    <row r="1670" spans="2:13" x14ac:dyDescent="0.2">
      <c r="C1670" t="b">
        <v>0</v>
      </c>
      <c r="D1670">
        <v>760.05</v>
      </c>
      <c r="E1670" t="s">
        <v>30</v>
      </c>
    </row>
    <row r="1671" spans="2:13" x14ac:dyDescent="0.2">
      <c r="C1671" t="b">
        <v>0</v>
      </c>
      <c r="D1671">
        <v>810.05</v>
      </c>
      <c r="E1671" t="s">
        <v>30</v>
      </c>
    </row>
    <row r="1672" spans="2:13" x14ac:dyDescent="0.2">
      <c r="C1672" t="b">
        <v>0</v>
      </c>
      <c r="D1672">
        <v>940.07</v>
      </c>
      <c r="E1672" t="s">
        <v>30</v>
      </c>
    </row>
    <row r="1673" spans="2:13" x14ac:dyDescent="0.2">
      <c r="B1673" t="s">
        <v>11</v>
      </c>
    </row>
    <row r="1674" spans="2:13" x14ac:dyDescent="0.2">
      <c r="B1674" t="s">
        <v>12</v>
      </c>
      <c r="C1674" t="s">
        <v>13</v>
      </c>
      <c r="D1674" t="s">
        <v>14</v>
      </c>
      <c r="E1674" t="s">
        <v>15</v>
      </c>
      <c r="F1674" t="s">
        <v>16</v>
      </c>
      <c r="G1674" t="s">
        <v>17</v>
      </c>
      <c r="H1674" t="s">
        <v>18</v>
      </c>
      <c r="I1674" t="s">
        <v>19</v>
      </c>
      <c r="J1674" t="s">
        <v>20</v>
      </c>
      <c r="K1674" t="s">
        <v>21</v>
      </c>
      <c r="L1674" t="s">
        <v>22</v>
      </c>
      <c r="M1674" t="s">
        <v>23</v>
      </c>
    </row>
    <row r="1675" spans="2:13" x14ac:dyDescent="0.2">
      <c r="B1675" t="s">
        <v>33</v>
      </c>
      <c r="C1675">
        <v>89</v>
      </c>
      <c r="E1675" t="s">
        <v>25</v>
      </c>
      <c r="F1675">
        <v>4012.16</v>
      </c>
      <c r="G1675">
        <v>4.7</v>
      </c>
      <c r="K1675">
        <v>0.1</v>
      </c>
      <c r="L1675">
        <v>7</v>
      </c>
      <c r="M1675">
        <v>101.7</v>
      </c>
    </row>
    <row r="1676" spans="2:13" x14ac:dyDescent="0.2">
      <c r="C1676" t="s">
        <v>27</v>
      </c>
    </row>
    <row r="1677" spans="2:13" x14ac:dyDescent="0.2">
      <c r="C1677" t="s">
        <v>28</v>
      </c>
      <c r="D1677" t="s">
        <v>16</v>
      </c>
      <c r="E1677" t="s">
        <v>29</v>
      </c>
      <c r="F1677" t="s">
        <v>18</v>
      </c>
    </row>
    <row r="1678" spans="2:13" x14ac:dyDescent="0.2">
      <c r="C1678" t="b">
        <v>0</v>
      </c>
      <c r="D1678">
        <v>4050.75</v>
      </c>
      <c r="E1678" t="s">
        <v>30</v>
      </c>
    </row>
    <row r="1679" spans="2:13" x14ac:dyDescent="0.2">
      <c r="C1679" t="b">
        <v>0</v>
      </c>
      <c r="D1679">
        <v>4030.75</v>
      </c>
      <c r="E1679" t="s">
        <v>30</v>
      </c>
    </row>
    <row r="1680" spans="2:13" x14ac:dyDescent="0.2">
      <c r="C1680" t="b">
        <v>0</v>
      </c>
      <c r="D1680">
        <v>4160.78</v>
      </c>
      <c r="E1680" t="s">
        <v>30</v>
      </c>
    </row>
    <row r="1681" spans="1:13" x14ac:dyDescent="0.2">
      <c r="C1681" t="b">
        <v>0</v>
      </c>
      <c r="D1681">
        <v>4120.8</v>
      </c>
      <c r="E1681" t="s">
        <v>30</v>
      </c>
    </row>
    <row r="1682" spans="1:13" x14ac:dyDescent="0.2">
      <c r="C1682" t="b">
        <v>0</v>
      </c>
      <c r="D1682">
        <v>3890.66</v>
      </c>
      <c r="E1682" t="s">
        <v>30</v>
      </c>
    </row>
    <row r="1683" spans="1:13" x14ac:dyDescent="0.2">
      <c r="C1683" t="b">
        <v>0</v>
      </c>
      <c r="D1683">
        <v>3650.62</v>
      </c>
      <c r="E1683" t="s">
        <v>30</v>
      </c>
    </row>
    <row r="1684" spans="1:13" x14ac:dyDescent="0.2">
      <c r="C1684" t="b">
        <v>0</v>
      </c>
      <c r="D1684">
        <v>4180.76</v>
      </c>
      <c r="E1684" t="s">
        <v>30</v>
      </c>
    </row>
    <row r="1685" spans="1:13" x14ac:dyDescent="0.2">
      <c r="A1685" t="s">
        <v>0</v>
      </c>
    </row>
    <row r="1686" spans="1:13" x14ac:dyDescent="0.2"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</row>
    <row r="1687" spans="1:13" x14ac:dyDescent="0.2">
      <c r="A1687" t="s">
        <v>133</v>
      </c>
      <c r="B1687" t="b">
        <v>0</v>
      </c>
      <c r="C1687" t="s">
        <v>134</v>
      </c>
      <c r="D1687" t="s">
        <v>135</v>
      </c>
      <c r="E1687" t="s">
        <v>0</v>
      </c>
      <c r="G1687" t="s">
        <v>136</v>
      </c>
    </row>
    <row r="1688" spans="1:13" x14ac:dyDescent="0.2">
      <c r="B1688" t="s">
        <v>11</v>
      </c>
    </row>
    <row r="1689" spans="1:13" x14ac:dyDescent="0.2">
      <c r="B1689" t="s">
        <v>12</v>
      </c>
      <c r="C1689" t="s">
        <v>13</v>
      </c>
      <c r="D1689" t="s">
        <v>14</v>
      </c>
      <c r="E1689" t="s">
        <v>15</v>
      </c>
      <c r="F1689" t="s">
        <v>16</v>
      </c>
      <c r="G1689" t="s">
        <v>17</v>
      </c>
      <c r="H1689" t="s">
        <v>18</v>
      </c>
      <c r="I1689" t="s">
        <v>19</v>
      </c>
      <c r="J1689" t="s">
        <v>20</v>
      </c>
      <c r="K1689" t="s">
        <v>21</v>
      </c>
      <c r="L1689" t="s">
        <v>22</v>
      </c>
      <c r="M1689" t="s">
        <v>23</v>
      </c>
    </row>
    <row r="1690" spans="1:13" x14ac:dyDescent="0.2">
      <c r="B1690" t="s">
        <v>24</v>
      </c>
      <c r="C1690">
        <v>59</v>
      </c>
      <c r="E1690" t="s">
        <v>25</v>
      </c>
      <c r="F1690">
        <v>216922.52</v>
      </c>
      <c r="G1690">
        <v>2</v>
      </c>
      <c r="H1690">
        <v>9.6000000000000002E-2</v>
      </c>
      <c r="I1690" t="s">
        <v>26</v>
      </c>
      <c r="J1690">
        <v>2</v>
      </c>
      <c r="K1690">
        <v>0.1</v>
      </c>
      <c r="L1690">
        <v>7</v>
      </c>
    </row>
    <row r="1691" spans="1:13" x14ac:dyDescent="0.2">
      <c r="C1691" t="s">
        <v>27</v>
      </c>
    </row>
    <row r="1692" spans="1:13" x14ac:dyDescent="0.2">
      <c r="C1692" t="s">
        <v>28</v>
      </c>
      <c r="D1692" t="s">
        <v>16</v>
      </c>
      <c r="E1692" t="s">
        <v>29</v>
      </c>
      <c r="F1692" t="s">
        <v>18</v>
      </c>
    </row>
    <row r="1693" spans="1:13" x14ac:dyDescent="0.2">
      <c r="C1693" t="b">
        <v>0</v>
      </c>
      <c r="D1693">
        <v>222850.97</v>
      </c>
      <c r="E1693" t="s">
        <v>30</v>
      </c>
      <c r="F1693">
        <v>9.9000000000000005E-2</v>
      </c>
    </row>
    <row r="1694" spans="1:13" x14ac:dyDescent="0.2">
      <c r="C1694" t="b">
        <v>0</v>
      </c>
      <c r="D1694">
        <v>221461.83</v>
      </c>
      <c r="E1694" t="s">
        <v>30</v>
      </c>
      <c r="F1694">
        <v>9.8000000000000004E-2</v>
      </c>
    </row>
    <row r="1695" spans="1:13" x14ac:dyDescent="0.2">
      <c r="C1695" t="b">
        <v>0</v>
      </c>
      <c r="D1695">
        <v>213997.48</v>
      </c>
      <c r="E1695" t="s">
        <v>30</v>
      </c>
      <c r="F1695">
        <v>9.5000000000000001E-2</v>
      </c>
    </row>
    <row r="1696" spans="1:13" x14ac:dyDescent="0.2">
      <c r="C1696" t="b">
        <v>0</v>
      </c>
      <c r="D1696">
        <v>210288.32</v>
      </c>
      <c r="E1696" t="s">
        <v>30</v>
      </c>
      <c r="F1696">
        <v>9.4E-2</v>
      </c>
    </row>
    <row r="1697" spans="2:13" x14ac:dyDescent="0.2">
      <c r="C1697" t="b">
        <v>0</v>
      </c>
      <c r="D1697">
        <v>217725.41</v>
      </c>
      <c r="E1697" t="s">
        <v>30</v>
      </c>
      <c r="F1697">
        <v>9.7000000000000003E-2</v>
      </c>
    </row>
    <row r="1698" spans="2:13" x14ac:dyDescent="0.2">
      <c r="C1698" t="b">
        <v>0</v>
      </c>
      <c r="D1698">
        <v>217560.06</v>
      </c>
      <c r="E1698" t="s">
        <v>30</v>
      </c>
      <c r="F1698">
        <v>9.7000000000000003E-2</v>
      </c>
    </row>
    <row r="1699" spans="2:13" x14ac:dyDescent="0.2">
      <c r="C1699" t="b">
        <v>0</v>
      </c>
      <c r="D1699">
        <v>214573.59</v>
      </c>
      <c r="E1699" t="s">
        <v>30</v>
      </c>
      <c r="F1699">
        <v>9.5000000000000001E-2</v>
      </c>
    </row>
    <row r="1700" spans="2:13" x14ac:dyDescent="0.2">
      <c r="B1700" t="s">
        <v>11</v>
      </c>
    </row>
    <row r="1701" spans="2:13" x14ac:dyDescent="0.2">
      <c r="B1701" t="s">
        <v>12</v>
      </c>
      <c r="C1701" t="s">
        <v>13</v>
      </c>
      <c r="D1701" t="s">
        <v>14</v>
      </c>
      <c r="E1701" t="s">
        <v>15</v>
      </c>
      <c r="F1701" t="s">
        <v>16</v>
      </c>
      <c r="G1701" t="s">
        <v>17</v>
      </c>
      <c r="H1701" t="s">
        <v>18</v>
      </c>
      <c r="I1701" t="s">
        <v>19</v>
      </c>
      <c r="J1701" t="s">
        <v>20</v>
      </c>
      <c r="K1701" t="s">
        <v>21</v>
      </c>
      <c r="L1701" t="s">
        <v>22</v>
      </c>
      <c r="M1701" t="s">
        <v>23</v>
      </c>
    </row>
    <row r="1702" spans="2:13" x14ac:dyDescent="0.2">
      <c r="B1702" t="s">
        <v>31</v>
      </c>
      <c r="C1702">
        <v>45</v>
      </c>
      <c r="E1702" t="s">
        <v>25</v>
      </c>
      <c r="F1702">
        <v>1260.0999999999999</v>
      </c>
      <c r="G1702">
        <v>9.6</v>
      </c>
      <c r="K1702">
        <v>0.1</v>
      </c>
      <c r="L1702">
        <v>7</v>
      </c>
      <c r="M1702">
        <v>122</v>
      </c>
    </row>
    <row r="1703" spans="2:13" x14ac:dyDescent="0.2">
      <c r="C1703" t="s">
        <v>27</v>
      </c>
    </row>
    <row r="1704" spans="2:13" x14ac:dyDescent="0.2">
      <c r="C1704" t="s">
        <v>28</v>
      </c>
      <c r="D1704" t="s">
        <v>16</v>
      </c>
      <c r="E1704" t="s">
        <v>29</v>
      </c>
      <c r="F1704" t="s">
        <v>18</v>
      </c>
    </row>
    <row r="1705" spans="2:13" x14ac:dyDescent="0.2">
      <c r="C1705" t="b">
        <v>0</v>
      </c>
      <c r="D1705">
        <v>1300.1099999999999</v>
      </c>
      <c r="E1705" t="s">
        <v>30</v>
      </c>
    </row>
    <row r="1706" spans="2:13" x14ac:dyDescent="0.2">
      <c r="C1706" t="b">
        <v>0</v>
      </c>
      <c r="D1706">
        <v>1100.08</v>
      </c>
      <c r="E1706" t="s">
        <v>30</v>
      </c>
    </row>
    <row r="1707" spans="2:13" x14ac:dyDescent="0.2">
      <c r="C1707" t="b">
        <v>0</v>
      </c>
      <c r="D1707">
        <v>1420.12</v>
      </c>
      <c r="E1707" t="s">
        <v>30</v>
      </c>
    </row>
    <row r="1708" spans="2:13" x14ac:dyDescent="0.2">
      <c r="C1708" t="b">
        <v>0</v>
      </c>
      <c r="D1708">
        <v>1170.0999999999999</v>
      </c>
      <c r="E1708" t="s">
        <v>30</v>
      </c>
    </row>
    <row r="1709" spans="2:13" x14ac:dyDescent="0.2">
      <c r="C1709" t="b">
        <v>0</v>
      </c>
      <c r="D1709">
        <v>1180.0899999999999</v>
      </c>
      <c r="E1709" t="s">
        <v>30</v>
      </c>
    </row>
    <row r="1710" spans="2:13" x14ac:dyDescent="0.2">
      <c r="C1710" t="b">
        <v>0</v>
      </c>
      <c r="D1710">
        <v>1400.11</v>
      </c>
      <c r="E1710" t="s">
        <v>30</v>
      </c>
    </row>
    <row r="1711" spans="2:13" x14ac:dyDescent="0.2">
      <c r="C1711" t="b">
        <v>0</v>
      </c>
      <c r="D1711">
        <v>1250.1099999999999</v>
      </c>
      <c r="E1711" t="s">
        <v>30</v>
      </c>
    </row>
    <row r="1712" spans="2:13" x14ac:dyDescent="0.2">
      <c r="B1712" t="s">
        <v>11</v>
      </c>
    </row>
    <row r="1713" spans="2:13" x14ac:dyDescent="0.2">
      <c r="B1713" t="s">
        <v>12</v>
      </c>
      <c r="C1713" t="s">
        <v>13</v>
      </c>
      <c r="D1713" t="s">
        <v>14</v>
      </c>
      <c r="E1713" t="s">
        <v>15</v>
      </c>
      <c r="F1713" t="s">
        <v>16</v>
      </c>
      <c r="G1713" t="s">
        <v>17</v>
      </c>
      <c r="H1713" t="s">
        <v>18</v>
      </c>
      <c r="I1713" t="s">
        <v>19</v>
      </c>
      <c r="J1713" t="s">
        <v>20</v>
      </c>
      <c r="K1713" t="s">
        <v>21</v>
      </c>
      <c r="L1713" t="s">
        <v>22</v>
      </c>
      <c r="M1713" t="s">
        <v>23</v>
      </c>
    </row>
    <row r="1714" spans="2:13" x14ac:dyDescent="0.2">
      <c r="B1714" t="s">
        <v>32</v>
      </c>
      <c r="C1714">
        <v>72</v>
      </c>
      <c r="E1714" t="s">
        <v>25</v>
      </c>
      <c r="F1714">
        <v>822.91</v>
      </c>
      <c r="G1714">
        <v>12.5</v>
      </c>
      <c r="K1714">
        <v>0.1</v>
      </c>
      <c r="L1714">
        <v>7</v>
      </c>
      <c r="M1714">
        <v>110.3</v>
      </c>
    </row>
    <row r="1715" spans="2:13" x14ac:dyDescent="0.2">
      <c r="C1715" t="s">
        <v>27</v>
      </c>
    </row>
    <row r="1716" spans="2:13" x14ac:dyDescent="0.2">
      <c r="C1716" t="s">
        <v>28</v>
      </c>
      <c r="D1716" t="s">
        <v>16</v>
      </c>
      <c r="E1716" t="s">
        <v>29</v>
      </c>
      <c r="F1716" t="s">
        <v>18</v>
      </c>
    </row>
    <row r="1717" spans="2:13" x14ac:dyDescent="0.2">
      <c r="C1717" t="b">
        <v>0</v>
      </c>
      <c r="D1717">
        <v>750.04</v>
      </c>
      <c r="E1717" t="s">
        <v>30</v>
      </c>
    </row>
    <row r="1718" spans="2:13" x14ac:dyDescent="0.2">
      <c r="C1718" t="b">
        <v>0</v>
      </c>
      <c r="D1718">
        <v>910.07</v>
      </c>
      <c r="E1718" t="s">
        <v>30</v>
      </c>
    </row>
    <row r="1719" spans="2:13" x14ac:dyDescent="0.2">
      <c r="C1719" t="b">
        <v>0</v>
      </c>
      <c r="D1719">
        <v>750.05</v>
      </c>
      <c r="E1719" t="s">
        <v>30</v>
      </c>
    </row>
    <row r="1720" spans="2:13" x14ac:dyDescent="0.2">
      <c r="C1720" t="b">
        <v>0</v>
      </c>
      <c r="D1720">
        <v>830.06</v>
      </c>
      <c r="E1720" t="s">
        <v>30</v>
      </c>
    </row>
    <row r="1721" spans="2:13" x14ac:dyDescent="0.2">
      <c r="C1721" t="b">
        <v>0</v>
      </c>
      <c r="D1721">
        <v>950.07</v>
      </c>
      <c r="E1721" t="s">
        <v>30</v>
      </c>
    </row>
    <row r="1722" spans="2:13" x14ac:dyDescent="0.2">
      <c r="C1722" t="b">
        <v>0</v>
      </c>
      <c r="D1722">
        <v>670.04</v>
      </c>
      <c r="E1722" t="s">
        <v>30</v>
      </c>
    </row>
    <row r="1723" spans="2:13" x14ac:dyDescent="0.2">
      <c r="C1723" t="b">
        <v>0</v>
      </c>
      <c r="D1723">
        <v>900.06</v>
      </c>
      <c r="E1723" t="s">
        <v>30</v>
      </c>
    </row>
    <row r="1724" spans="2:13" x14ac:dyDescent="0.2">
      <c r="B1724" t="s">
        <v>11</v>
      </c>
    </row>
    <row r="1725" spans="2:13" x14ac:dyDescent="0.2">
      <c r="B1725" t="s">
        <v>12</v>
      </c>
      <c r="C1725" t="s">
        <v>13</v>
      </c>
      <c r="D1725" t="s">
        <v>14</v>
      </c>
      <c r="E1725" t="s">
        <v>15</v>
      </c>
      <c r="F1725" t="s">
        <v>16</v>
      </c>
      <c r="G1725" t="s">
        <v>17</v>
      </c>
      <c r="H1725" t="s">
        <v>18</v>
      </c>
      <c r="I1725" t="s">
        <v>19</v>
      </c>
      <c r="J1725" t="s">
        <v>20</v>
      </c>
      <c r="K1725" t="s">
        <v>21</v>
      </c>
      <c r="L1725" t="s">
        <v>22</v>
      </c>
      <c r="M1725" t="s">
        <v>23</v>
      </c>
    </row>
    <row r="1726" spans="2:13" x14ac:dyDescent="0.2">
      <c r="B1726" t="s">
        <v>33</v>
      </c>
      <c r="C1726">
        <v>89</v>
      </c>
      <c r="E1726" t="s">
        <v>25</v>
      </c>
      <c r="F1726">
        <v>4272.2299999999996</v>
      </c>
      <c r="G1726">
        <v>3.4</v>
      </c>
      <c r="K1726">
        <v>0.1</v>
      </c>
      <c r="L1726">
        <v>7</v>
      </c>
      <c r="M1726">
        <v>108.3</v>
      </c>
    </row>
    <row r="1727" spans="2:13" x14ac:dyDescent="0.2">
      <c r="C1727" t="s">
        <v>27</v>
      </c>
    </row>
    <row r="1728" spans="2:13" x14ac:dyDescent="0.2">
      <c r="C1728" t="s">
        <v>28</v>
      </c>
      <c r="D1728" t="s">
        <v>16</v>
      </c>
      <c r="E1728" t="s">
        <v>29</v>
      </c>
      <c r="F1728" t="s">
        <v>18</v>
      </c>
    </row>
    <row r="1729" spans="1:13" x14ac:dyDescent="0.2">
      <c r="C1729" t="b">
        <v>0</v>
      </c>
      <c r="D1729">
        <v>4420.8599999999997</v>
      </c>
      <c r="E1729" t="s">
        <v>30</v>
      </c>
    </row>
    <row r="1730" spans="1:13" x14ac:dyDescent="0.2">
      <c r="C1730" t="b">
        <v>0</v>
      </c>
      <c r="D1730">
        <v>4390.8500000000004</v>
      </c>
      <c r="E1730" t="s">
        <v>30</v>
      </c>
    </row>
    <row r="1731" spans="1:13" x14ac:dyDescent="0.2">
      <c r="C1731" t="b">
        <v>0</v>
      </c>
      <c r="D1731">
        <v>4090.73</v>
      </c>
      <c r="E1731" t="s">
        <v>30</v>
      </c>
    </row>
    <row r="1732" spans="1:13" x14ac:dyDescent="0.2">
      <c r="C1732" t="b">
        <v>0</v>
      </c>
      <c r="D1732">
        <v>4230.79</v>
      </c>
      <c r="E1732" t="s">
        <v>30</v>
      </c>
    </row>
    <row r="1733" spans="1:13" x14ac:dyDescent="0.2">
      <c r="C1733" t="b">
        <v>0</v>
      </c>
      <c r="D1733">
        <v>4070.73</v>
      </c>
      <c r="E1733" t="s">
        <v>30</v>
      </c>
    </row>
    <row r="1734" spans="1:13" x14ac:dyDescent="0.2">
      <c r="C1734" t="b">
        <v>0</v>
      </c>
      <c r="D1734">
        <v>4300.8100000000004</v>
      </c>
      <c r="E1734" t="s">
        <v>30</v>
      </c>
    </row>
    <row r="1735" spans="1:13" x14ac:dyDescent="0.2">
      <c r="C1735" t="b">
        <v>0</v>
      </c>
      <c r="D1735">
        <v>4400.8599999999997</v>
      </c>
      <c r="E1735" t="s">
        <v>30</v>
      </c>
    </row>
    <row r="1736" spans="1:13" x14ac:dyDescent="0.2">
      <c r="A1736" t="s">
        <v>0</v>
      </c>
    </row>
    <row r="1737" spans="1:13" x14ac:dyDescent="0.2"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</row>
    <row r="1738" spans="1:13" x14ac:dyDescent="0.2">
      <c r="B1738" t="b">
        <v>0</v>
      </c>
      <c r="C1738" t="s">
        <v>137</v>
      </c>
      <c r="D1738" t="s">
        <v>138</v>
      </c>
      <c r="E1738" t="s">
        <v>0</v>
      </c>
      <c r="G1738" t="s">
        <v>139</v>
      </c>
    </row>
    <row r="1739" spans="1:13" x14ac:dyDescent="0.2">
      <c r="B1739" t="s">
        <v>11</v>
      </c>
    </row>
    <row r="1740" spans="1:13" x14ac:dyDescent="0.2">
      <c r="B1740" t="s">
        <v>12</v>
      </c>
      <c r="C1740" t="s">
        <v>13</v>
      </c>
      <c r="D1740" t="s">
        <v>14</v>
      </c>
      <c r="E1740" t="s">
        <v>15</v>
      </c>
      <c r="F1740" t="s">
        <v>16</v>
      </c>
      <c r="G1740" t="s">
        <v>17</v>
      </c>
      <c r="H1740" t="s">
        <v>18</v>
      </c>
      <c r="I1740" t="s">
        <v>19</v>
      </c>
      <c r="J1740" t="s">
        <v>20</v>
      </c>
      <c r="K1740" t="s">
        <v>21</v>
      </c>
      <c r="L1740" t="s">
        <v>22</v>
      </c>
      <c r="M1740" t="s">
        <v>23</v>
      </c>
    </row>
    <row r="1741" spans="1:13" x14ac:dyDescent="0.2">
      <c r="B1741" t="s">
        <v>24</v>
      </c>
      <c r="C1741">
        <v>59</v>
      </c>
      <c r="E1741" t="s">
        <v>25</v>
      </c>
      <c r="F1741">
        <v>191915.32</v>
      </c>
      <c r="G1741">
        <v>1.1000000000000001</v>
      </c>
      <c r="H1741">
        <v>8.5000000000000006E-2</v>
      </c>
      <c r="I1741" t="s">
        <v>26</v>
      </c>
      <c r="J1741">
        <v>1.1000000000000001</v>
      </c>
      <c r="K1741">
        <v>0.1</v>
      </c>
      <c r="L1741">
        <v>7</v>
      </c>
    </row>
    <row r="1742" spans="1:13" x14ac:dyDescent="0.2">
      <c r="C1742" t="s">
        <v>27</v>
      </c>
    </row>
    <row r="1743" spans="1:13" x14ac:dyDescent="0.2">
      <c r="C1743" t="s">
        <v>28</v>
      </c>
      <c r="D1743" t="s">
        <v>16</v>
      </c>
      <c r="E1743" t="s">
        <v>29</v>
      </c>
      <c r="F1743" t="s">
        <v>18</v>
      </c>
    </row>
    <row r="1744" spans="1:13" x14ac:dyDescent="0.2">
      <c r="C1744" t="b">
        <v>0</v>
      </c>
      <c r="D1744">
        <v>189508.75</v>
      </c>
      <c r="E1744" t="s">
        <v>30</v>
      </c>
      <c r="F1744">
        <v>8.4000000000000005E-2</v>
      </c>
    </row>
    <row r="1745" spans="2:13" x14ac:dyDescent="0.2">
      <c r="C1745" t="b">
        <v>0</v>
      </c>
      <c r="D1745">
        <v>190126.03</v>
      </c>
      <c r="E1745" t="s">
        <v>30</v>
      </c>
      <c r="F1745">
        <v>8.5000000000000006E-2</v>
      </c>
    </row>
    <row r="1746" spans="2:13" x14ac:dyDescent="0.2">
      <c r="C1746" t="b">
        <v>0</v>
      </c>
      <c r="D1746">
        <v>192305.9</v>
      </c>
      <c r="E1746" t="s">
        <v>30</v>
      </c>
      <c r="F1746">
        <v>8.5999999999999993E-2</v>
      </c>
    </row>
    <row r="1747" spans="2:13" x14ac:dyDescent="0.2">
      <c r="C1747" t="b">
        <v>0</v>
      </c>
      <c r="D1747">
        <v>191526.89</v>
      </c>
      <c r="E1747" t="s">
        <v>30</v>
      </c>
      <c r="F1747">
        <v>8.5000000000000006E-2</v>
      </c>
    </row>
    <row r="1748" spans="2:13" x14ac:dyDescent="0.2">
      <c r="C1748" t="b">
        <v>0</v>
      </c>
      <c r="D1748">
        <v>195001.60000000001</v>
      </c>
      <c r="E1748" t="s">
        <v>30</v>
      </c>
      <c r="F1748">
        <v>8.6999999999999994E-2</v>
      </c>
    </row>
    <row r="1749" spans="2:13" x14ac:dyDescent="0.2">
      <c r="C1749" t="b">
        <v>0</v>
      </c>
      <c r="D1749">
        <v>194293.3</v>
      </c>
      <c r="E1749" t="s">
        <v>30</v>
      </c>
      <c r="F1749">
        <v>8.5999999999999993E-2</v>
      </c>
    </row>
    <row r="1750" spans="2:13" x14ac:dyDescent="0.2">
      <c r="C1750" t="b">
        <v>0</v>
      </c>
      <c r="D1750">
        <v>190644.74</v>
      </c>
      <c r="E1750" t="s">
        <v>30</v>
      </c>
      <c r="F1750">
        <v>8.5000000000000006E-2</v>
      </c>
    </row>
    <row r="1751" spans="2:13" x14ac:dyDescent="0.2">
      <c r="B1751" t="s">
        <v>11</v>
      </c>
    </row>
    <row r="1752" spans="2:13" x14ac:dyDescent="0.2">
      <c r="B1752" t="s">
        <v>12</v>
      </c>
      <c r="C1752" t="s">
        <v>13</v>
      </c>
      <c r="D1752" t="s">
        <v>14</v>
      </c>
      <c r="E1752" t="s">
        <v>15</v>
      </c>
      <c r="F1752" t="s">
        <v>16</v>
      </c>
      <c r="G1752" t="s">
        <v>17</v>
      </c>
      <c r="H1752" t="s">
        <v>18</v>
      </c>
      <c r="I1752" t="s">
        <v>19</v>
      </c>
      <c r="J1752" t="s">
        <v>20</v>
      </c>
      <c r="K1752" t="s">
        <v>21</v>
      </c>
      <c r="L1752" t="s">
        <v>22</v>
      </c>
      <c r="M1752" t="s">
        <v>23</v>
      </c>
    </row>
    <row r="1753" spans="2:13" x14ac:dyDescent="0.2">
      <c r="B1753" t="s">
        <v>31</v>
      </c>
      <c r="C1753">
        <v>45</v>
      </c>
      <c r="E1753" t="s">
        <v>25</v>
      </c>
      <c r="F1753">
        <v>1058.6500000000001</v>
      </c>
      <c r="G1753">
        <v>13.7</v>
      </c>
      <c r="K1753">
        <v>0.1</v>
      </c>
      <c r="L1753">
        <v>7</v>
      </c>
      <c r="M1753">
        <v>102.5</v>
      </c>
    </row>
    <row r="1754" spans="2:13" x14ac:dyDescent="0.2">
      <c r="C1754" t="s">
        <v>27</v>
      </c>
    </row>
    <row r="1755" spans="2:13" x14ac:dyDescent="0.2">
      <c r="C1755" t="s">
        <v>28</v>
      </c>
      <c r="D1755" t="s">
        <v>16</v>
      </c>
      <c r="E1755" t="s">
        <v>29</v>
      </c>
      <c r="F1755" t="s">
        <v>18</v>
      </c>
    </row>
    <row r="1756" spans="2:13" x14ac:dyDescent="0.2">
      <c r="C1756" t="b">
        <v>0</v>
      </c>
      <c r="D1756">
        <v>940.06</v>
      </c>
      <c r="E1756" t="s">
        <v>30</v>
      </c>
    </row>
    <row r="1757" spans="2:13" x14ac:dyDescent="0.2">
      <c r="C1757" t="b">
        <v>0</v>
      </c>
      <c r="D1757">
        <v>980.07</v>
      </c>
      <c r="E1757" t="s">
        <v>30</v>
      </c>
    </row>
    <row r="1758" spans="2:13" x14ac:dyDescent="0.2">
      <c r="C1758" t="b">
        <v>0</v>
      </c>
      <c r="D1758">
        <v>850.06</v>
      </c>
      <c r="E1758" t="s">
        <v>30</v>
      </c>
    </row>
    <row r="1759" spans="2:13" x14ac:dyDescent="0.2">
      <c r="C1759" t="b">
        <v>0</v>
      </c>
      <c r="D1759">
        <v>1210.0899999999999</v>
      </c>
      <c r="E1759" t="s">
        <v>30</v>
      </c>
    </row>
    <row r="1760" spans="2:13" x14ac:dyDescent="0.2">
      <c r="C1760" t="b">
        <v>0</v>
      </c>
      <c r="D1760">
        <v>1040.08</v>
      </c>
      <c r="E1760" t="s">
        <v>30</v>
      </c>
    </row>
    <row r="1761" spans="2:13" x14ac:dyDescent="0.2">
      <c r="C1761" t="b">
        <v>0</v>
      </c>
      <c r="D1761">
        <v>1170.0899999999999</v>
      </c>
      <c r="E1761" t="s">
        <v>30</v>
      </c>
    </row>
    <row r="1762" spans="2:13" x14ac:dyDescent="0.2">
      <c r="C1762" t="b">
        <v>0</v>
      </c>
      <c r="D1762">
        <v>1220.0999999999999</v>
      </c>
      <c r="E1762" t="s">
        <v>30</v>
      </c>
    </row>
    <row r="1763" spans="2:13" x14ac:dyDescent="0.2">
      <c r="B1763" t="s">
        <v>11</v>
      </c>
    </row>
    <row r="1764" spans="2:13" x14ac:dyDescent="0.2">
      <c r="B1764" t="s">
        <v>12</v>
      </c>
      <c r="C1764" t="s">
        <v>13</v>
      </c>
      <c r="D1764" t="s">
        <v>14</v>
      </c>
      <c r="E1764" t="s">
        <v>15</v>
      </c>
      <c r="F1764" t="s">
        <v>16</v>
      </c>
      <c r="G1764" t="s">
        <v>17</v>
      </c>
      <c r="H1764" t="s">
        <v>18</v>
      </c>
      <c r="I1764" t="s">
        <v>19</v>
      </c>
      <c r="J1764" t="s">
        <v>20</v>
      </c>
      <c r="K1764" t="s">
        <v>21</v>
      </c>
      <c r="L1764" t="s">
        <v>22</v>
      </c>
      <c r="M1764" t="s">
        <v>23</v>
      </c>
    </row>
    <row r="1765" spans="2:13" x14ac:dyDescent="0.2">
      <c r="B1765" t="s">
        <v>32</v>
      </c>
      <c r="C1765">
        <v>72</v>
      </c>
      <c r="E1765" t="s">
        <v>25</v>
      </c>
      <c r="F1765">
        <v>757.19</v>
      </c>
      <c r="G1765">
        <v>6.8</v>
      </c>
      <c r="K1765">
        <v>0.1</v>
      </c>
      <c r="L1765">
        <v>7</v>
      </c>
      <c r="M1765">
        <v>101.5</v>
      </c>
    </row>
    <row r="1766" spans="2:13" x14ac:dyDescent="0.2">
      <c r="C1766" t="s">
        <v>27</v>
      </c>
    </row>
    <row r="1767" spans="2:13" x14ac:dyDescent="0.2">
      <c r="C1767" t="s">
        <v>28</v>
      </c>
      <c r="D1767" t="s">
        <v>16</v>
      </c>
      <c r="E1767" t="s">
        <v>29</v>
      </c>
      <c r="F1767" t="s">
        <v>18</v>
      </c>
    </row>
    <row r="1768" spans="2:13" x14ac:dyDescent="0.2">
      <c r="C1768" t="b">
        <v>0</v>
      </c>
      <c r="D1768">
        <v>720.04</v>
      </c>
      <c r="E1768" t="s">
        <v>30</v>
      </c>
    </row>
    <row r="1769" spans="2:13" x14ac:dyDescent="0.2">
      <c r="C1769" t="b">
        <v>0</v>
      </c>
      <c r="D1769">
        <v>730.05</v>
      </c>
      <c r="E1769" t="s">
        <v>30</v>
      </c>
    </row>
    <row r="1770" spans="2:13" x14ac:dyDescent="0.2">
      <c r="C1770" t="b">
        <v>0</v>
      </c>
      <c r="D1770">
        <v>810.05</v>
      </c>
      <c r="E1770" t="s">
        <v>30</v>
      </c>
    </row>
    <row r="1771" spans="2:13" x14ac:dyDescent="0.2">
      <c r="C1771" t="b">
        <v>0</v>
      </c>
      <c r="D1771">
        <v>790.05</v>
      </c>
      <c r="E1771" t="s">
        <v>30</v>
      </c>
    </row>
    <row r="1772" spans="2:13" x14ac:dyDescent="0.2">
      <c r="C1772" t="b">
        <v>0</v>
      </c>
      <c r="D1772">
        <v>830.06</v>
      </c>
      <c r="E1772" t="s">
        <v>30</v>
      </c>
    </row>
    <row r="1773" spans="2:13" x14ac:dyDescent="0.2">
      <c r="C1773" t="b">
        <v>0</v>
      </c>
      <c r="D1773">
        <v>700.04</v>
      </c>
      <c r="E1773" t="s">
        <v>30</v>
      </c>
    </row>
    <row r="1774" spans="2:13" x14ac:dyDescent="0.2">
      <c r="C1774" t="b">
        <v>0</v>
      </c>
      <c r="D1774">
        <v>720.05</v>
      </c>
      <c r="E1774" t="s">
        <v>30</v>
      </c>
    </row>
    <row r="1775" spans="2:13" x14ac:dyDescent="0.2">
      <c r="B1775" t="s">
        <v>11</v>
      </c>
    </row>
    <row r="1776" spans="2:13" x14ac:dyDescent="0.2">
      <c r="B1776" t="s">
        <v>12</v>
      </c>
      <c r="C1776" t="s">
        <v>13</v>
      </c>
      <c r="D1776" t="s">
        <v>14</v>
      </c>
      <c r="E1776" t="s">
        <v>15</v>
      </c>
      <c r="F1776" t="s">
        <v>16</v>
      </c>
      <c r="G1776" t="s">
        <v>17</v>
      </c>
      <c r="H1776" t="s">
        <v>18</v>
      </c>
      <c r="I1776" t="s">
        <v>19</v>
      </c>
      <c r="J1776" t="s">
        <v>20</v>
      </c>
      <c r="K1776" t="s">
        <v>21</v>
      </c>
      <c r="L1776" t="s">
        <v>22</v>
      </c>
      <c r="M1776" t="s">
        <v>23</v>
      </c>
    </row>
    <row r="1777" spans="1:13" x14ac:dyDescent="0.2">
      <c r="B1777" t="s">
        <v>33</v>
      </c>
      <c r="C1777">
        <v>89</v>
      </c>
      <c r="E1777" t="s">
        <v>25</v>
      </c>
      <c r="F1777">
        <v>3886.4</v>
      </c>
      <c r="G1777">
        <v>6.4</v>
      </c>
      <c r="K1777">
        <v>0.1</v>
      </c>
      <c r="L1777">
        <v>7</v>
      </c>
      <c r="M1777">
        <v>98.5</v>
      </c>
    </row>
    <row r="1778" spans="1:13" x14ac:dyDescent="0.2">
      <c r="C1778" t="s">
        <v>27</v>
      </c>
    </row>
    <row r="1779" spans="1:13" x14ac:dyDescent="0.2">
      <c r="C1779" t="s">
        <v>28</v>
      </c>
      <c r="D1779" t="s">
        <v>16</v>
      </c>
      <c r="E1779" t="s">
        <v>29</v>
      </c>
      <c r="F1779" t="s">
        <v>18</v>
      </c>
    </row>
    <row r="1780" spans="1:13" x14ac:dyDescent="0.2">
      <c r="C1780" t="b">
        <v>0</v>
      </c>
      <c r="D1780">
        <v>3670.62</v>
      </c>
      <c r="E1780" t="s">
        <v>30</v>
      </c>
    </row>
    <row r="1781" spans="1:13" x14ac:dyDescent="0.2">
      <c r="C1781" t="b">
        <v>0</v>
      </c>
      <c r="D1781">
        <v>3560.56</v>
      </c>
      <c r="E1781" t="s">
        <v>30</v>
      </c>
    </row>
    <row r="1782" spans="1:13" x14ac:dyDescent="0.2">
      <c r="C1782" t="b">
        <v>0</v>
      </c>
      <c r="D1782">
        <v>3870.68</v>
      </c>
      <c r="E1782" t="s">
        <v>30</v>
      </c>
    </row>
    <row r="1783" spans="1:13" x14ac:dyDescent="0.2">
      <c r="C1783" t="b">
        <v>0</v>
      </c>
      <c r="D1783">
        <v>4160.7700000000004</v>
      </c>
      <c r="E1783" t="s">
        <v>30</v>
      </c>
    </row>
    <row r="1784" spans="1:13" x14ac:dyDescent="0.2">
      <c r="C1784" t="b">
        <v>0</v>
      </c>
      <c r="D1784">
        <v>4060.71</v>
      </c>
      <c r="E1784" t="s">
        <v>30</v>
      </c>
    </row>
    <row r="1785" spans="1:13" x14ac:dyDescent="0.2">
      <c r="C1785" t="b">
        <v>0</v>
      </c>
      <c r="D1785">
        <v>3710.62</v>
      </c>
      <c r="E1785" t="s">
        <v>30</v>
      </c>
    </row>
    <row r="1786" spans="1:13" x14ac:dyDescent="0.2">
      <c r="C1786" t="b">
        <v>0</v>
      </c>
      <c r="D1786">
        <v>4170.8599999999997</v>
      </c>
      <c r="E1786" t="s">
        <v>30</v>
      </c>
    </row>
    <row r="1787" spans="1:13" x14ac:dyDescent="0.2">
      <c r="A1787" t="s">
        <v>0</v>
      </c>
    </row>
    <row r="1788" spans="1:13" x14ac:dyDescent="0.2"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t="s">
        <v>6</v>
      </c>
    </row>
    <row r="1789" spans="1:13" x14ac:dyDescent="0.2">
      <c r="A1789" t="s">
        <v>140</v>
      </c>
      <c r="B1789" t="b">
        <v>0</v>
      </c>
      <c r="C1789" t="s">
        <v>141</v>
      </c>
      <c r="D1789" t="s">
        <v>142</v>
      </c>
      <c r="E1789" t="s">
        <v>0</v>
      </c>
      <c r="G1789" t="s">
        <v>143</v>
      </c>
    </row>
    <row r="1790" spans="1:13" x14ac:dyDescent="0.2">
      <c r="B1790" t="s">
        <v>11</v>
      </c>
    </row>
    <row r="1791" spans="1:13" x14ac:dyDescent="0.2">
      <c r="B1791" t="s">
        <v>12</v>
      </c>
      <c r="C1791" t="s">
        <v>13</v>
      </c>
      <c r="D1791" t="s">
        <v>14</v>
      </c>
      <c r="E1791" t="s">
        <v>15</v>
      </c>
      <c r="F1791" t="s">
        <v>16</v>
      </c>
      <c r="G1791" t="s">
        <v>17</v>
      </c>
      <c r="H1791" t="s">
        <v>18</v>
      </c>
      <c r="I1791" t="s">
        <v>19</v>
      </c>
      <c r="J1791" t="s">
        <v>20</v>
      </c>
      <c r="K1791" t="s">
        <v>21</v>
      </c>
      <c r="L1791" t="s">
        <v>22</v>
      </c>
      <c r="M1791" t="s">
        <v>23</v>
      </c>
    </row>
    <row r="1792" spans="1:13" x14ac:dyDescent="0.2">
      <c r="B1792" t="s">
        <v>24</v>
      </c>
      <c r="C1792">
        <v>59</v>
      </c>
      <c r="E1792" t="s">
        <v>25</v>
      </c>
      <c r="F1792">
        <v>212674.87</v>
      </c>
      <c r="G1792">
        <v>1.2</v>
      </c>
      <c r="H1792">
        <v>9.5000000000000001E-2</v>
      </c>
      <c r="I1792" t="s">
        <v>26</v>
      </c>
      <c r="J1792">
        <v>1.2</v>
      </c>
      <c r="K1792">
        <v>0.1</v>
      </c>
      <c r="L1792">
        <v>7</v>
      </c>
    </row>
    <row r="1793" spans="2:13" x14ac:dyDescent="0.2">
      <c r="C1793" t="s">
        <v>27</v>
      </c>
    </row>
    <row r="1794" spans="2:13" x14ac:dyDescent="0.2">
      <c r="C1794" t="s">
        <v>28</v>
      </c>
      <c r="D1794" t="s">
        <v>16</v>
      </c>
      <c r="E1794" t="s">
        <v>29</v>
      </c>
      <c r="F1794" t="s">
        <v>18</v>
      </c>
    </row>
    <row r="1795" spans="2:13" x14ac:dyDescent="0.2">
      <c r="C1795" t="b">
        <v>0</v>
      </c>
      <c r="D1795">
        <v>215545.68</v>
      </c>
      <c r="E1795" t="s">
        <v>30</v>
      </c>
      <c r="F1795">
        <v>9.6000000000000002E-2</v>
      </c>
    </row>
    <row r="1796" spans="2:13" x14ac:dyDescent="0.2">
      <c r="C1796" t="b">
        <v>0</v>
      </c>
      <c r="D1796">
        <v>215768.06</v>
      </c>
      <c r="E1796" t="s">
        <v>30</v>
      </c>
      <c r="F1796">
        <v>9.6000000000000002E-2</v>
      </c>
    </row>
    <row r="1797" spans="2:13" x14ac:dyDescent="0.2">
      <c r="C1797" t="b">
        <v>0</v>
      </c>
      <c r="D1797">
        <v>212135.76</v>
      </c>
      <c r="E1797" t="s">
        <v>30</v>
      </c>
      <c r="F1797">
        <v>9.4E-2</v>
      </c>
    </row>
    <row r="1798" spans="2:13" x14ac:dyDescent="0.2">
      <c r="C1798" t="b">
        <v>0</v>
      </c>
      <c r="D1798">
        <v>213851.03</v>
      </c>
      <c r="E1798" t="s">
        <v>30</v>
      </c>
      <c r="F1798">
        <v>9.5000000000000001E-2</v>
      </c>
    </row>
    <row r="1799" spans="2:13" x14ac:dyDescent="0.2">
      <c r="C1799" t="b">
        <v>0</v>
      </c>
      <c r="D1799">
        <v>212066.91</v>
      </c>
      <c r="E1799" t="s">
        <v>30</v>
      </c>
      <c r="F1799">
        <v>9.4E-2</v>
      </c>
    </row>
    <row r="1800" spans="2:13" x14ac:dyDescent="0.2">
      <c r="C1800" t="b">
        <v>0</v>
      </c>
      <c r="D1800">
        <v>208907.46</v>
      </c>
      <c r="E1800" t="s">
        <v>30</v>
      </c>
      <c r="F1800">
        <v>9.2999999999999999E-2</v>
      </c>
    </row>
    <row r="1801" spans="2:13" x14ac:dyDescent="0.2">
      <c r="C1801" t="b">
        <v>0</v>
      </c>
      <c r="D1801">
        <v>210449.16</v>
      </c>
      <c r="E1801" t="s">
        <v>30</v>
      </c>
      <c r="F1801">
        <v>9.4E-2</v>
      </c>
    </row>
    <row r="1802" spans="2:13" x14ac:dyDescent="0.2">
      <c r="B1802" t="s">
        <v>11</v>
      </c>
    </row>
    <row r="1803" spans="2:13" x14ac:dyDescent="0.2">
      <c r="B1803" t="s">
        <v>12</v>
      </c>
      <c r="C1803" t="s">
        <v>13</v>
      </c>
      <c r="D1803" t="s">
        <v>14</v>
      </c>
      <c r="E1803" t="s">
        <v>15</v>
      </c>
      <c r="F1803" t="s">
        <v>16</v>
      </c>
      <c r="G1803" t="s">
        <v>17</v>
      </c>
      <c r="H1803" t="s">
        <v>18</v>
      </c>
      <c r="I1803" t="s">
        <v>19</v>
      </c>
      <c r="J1803" t="s">
        <v>20</v>
      </c>
      <c r="K1803" t="s">
        <v>21</v>
      </c>
      <c r="L1803" t="s">
        <v>22</v>
      </c>
      <c r="M1803" t="s">
        <v>23</v>
      </c>
    </row>
    <row r="1804" spans="2:13" x14ac:dyDescent="0.2">
      <c r="B1804" t="s">
        <v>31</v>
      </c>
      <c r="C1804">
        <v>45</v>
      </c>
      <c r="E1804" t="s">
        <v>25</v>
      </c>
      <c r="F1804">
        <v>1348.68</v>
      </c>
      <c r="G1804">
        <v>9.4</v>
      </c>
      <c r="K1804">
        <v>0.1</v>
      </c>
      <c r="L1804">
        <v>7</v>
      </c>
      <c r="M1804">
        <v>130.6</v>
      </c>
    </row>
    <row r="1805" spans="2:13" x14ac:dyDescent="0.2">
      <c r="C1805" t="s">
        <v>27</v>
      </c>
    </row>
    <row r="1806" spans="2:13" x14ac:dyDescent="0.2">
      <c r="C1806" t="s">
        <v>28</v>
      </c>
      <c r="D1806" t="s">
        <v>16</v>
      </c>
      <c r="E1806" t="s">
        <v>29</v>
      </c>
      <c r="F1806" t="s">
        <v>18</v>
      </c>
    </row>
    <row r="1807" spans="2:13" x14ac:dyDescent="0.2">
      <c r="C1807" t="b">
        <v>0</v>
      </c>
      <c r="D1807">
        <v>1310.0999999999999</v>
      </c>
      <c r="E1807" t="s">
        <v>30</v>
      </c>
    </row>
    <row r="1808" spans="2:13" x14ac:dyDescent="0.2">
      <c r="C1808" t="b">
        <v>0</v>
      </c>
      <c r="D1808">
        <v>1150.0899999999999</v>
      </c>
      <c r="E1808" t="s">
        <v>30</v>
      </c>
    </row>
    <row r="1809" spans="2:13" x14ac:dyDescent="0.2">
      <c r="C1809" t="b">
        <v>0</v>
      </c>
      <c r="D1809">
        <v>1320.11</v>
      </c>
      <c r="E1809" t="s">
        <v>30</v>
      </c>
    </row>
    <row r="1810" spans="2:13" x14ac:dyDescent="0.2">
      <c r="C1810" t="b">
        <v>0</v>
      </c>
      <c r="D1810">
        <v>1280.0999999999999</v>
      </c>
      <c r="E1810" t="s">
        <v>30</v>
      </c>
    </row>
    <row r="1811" spans="2:13" x14ac:dyDescent="0.2">
      <c r="C1811" t="b">
        <v>0</v>
      </c>
      <c r="D1811">
        <v>1430.12</v>
      </c>
      <c r="E1811" t="s">
        <v>30</v>
      </c>
    </row>
    <row r="1812" spans="2:13" x14ac:dyDescent="0.2">
      <c r="C1812" t="b">
        <v>0</v>
      </c>
      <c r="D1812">
        <v>1400.11</v>
      </c>
      <c r="E1812" t="s">
        <v>30</v>
      </c>
    </row>
    <row r="1813" spans="2:13" x14ac:dyDescent="0.2">
      <c r="C1813" t="b">
        <v>0</v>
      </c>
      <c r="D1813">
        <v>1550.15</v>
      </c>
      <c r="E1813" t="s">
        <v>30</v>
      </c>
    </row>
    <row r="1814" spans="2:13" x14ac:dyDescent="0.2">
      <c r="B1814" t="s">
        <v>11</v>
      </c>
    </row>
    <row r="1815" spans="2:13" x14ac:dyDescent="0.2">
      <c r="B1815" t="s">
        <v>12</v>
      </c>
      <c r="C1815" t="s">
        <v>13</v>
      </c>
      <c r="D1815" t="s">
        <v>14</v>
      </c>
      <c r="E1815" t="s">
        <v>15</v>
      </c>
      <c r="F1815" t="s">
        <v>16</v>
      </c>
      <c r="G1815" t="s">
        <v>17</v>
      </c>
      <c r="H1815" t="s">
        <v>18</v>
      </c>
      <c r="I1815" t="s">
        <v>19</v>
      </c>
      <c r="J1815" t="s">
        <v>20</v>
      </c>
      <c r="K1815" t="s">
        <v>21</v>
      </c>
      <c r="L1815" t="s">
        <v>22</v>
      </c>
      <c r="M1815" t="s">
        <v>23</v>
      </c>
    </row>
    <row r="1816" spans="2:13" x14ac:dyDescent="0.2">
      <c r="B1816" t="s">
        <v>32</v>
      </c>
      <c r="C1816">
        <v>72</v>
      </c>
      <c r="E1816" t="s">
        <v>25</v>
      </c>
      <c r="F1816">
        <v>780.05</v>
      </c>
      <c r="G1816">
        <v>11</v>
      </c>
      <c r="K1816">
        <v>0.1</v>
      </c>
      <c r="L1816">
        <v>7</v>
      </c>
      <c r="M1816">
        <v>104.6</v>
      </c>
    </row>
    <row r="1817" spans="2:13" x14ac:dyDescent="0.2">
      <c r="C1817" t="s">
        <v>27</v>
      </c>
    </row>
    <row r="1818" spans="2:13" x14ac:dyDescent="0.2">
      <c r="C1818" t="s">
        <v>28</v>
      </c>
      <c r="D1818" t="s">
        <v>16</v>
      </c>
      <c r="E1818" t="s">
        <v>29</v>
      </c>
      <c r="F1818" t="s">
        <v>18</v>
      </c>
    </row>
    <row r="1819" spans="2:13" x14ac:dyDescent="0.2">
      <c r="C1819" t="b">
        <v>0</v>
      </c>
      <c r="D1819">
        <v>940.07</v>
      </c>
      <c r="E1819" t="s">
        <v>30</v>
      </c>
    </row>
    <row r="1820" spans="2:13" x14ac:dyDescent="0.2">
      <c r="C1820" t="b">
        <v>0</v>
      </c>
      <c r="D1820">
        <v>790.05</v>
      </c>
      <c r="E1820" t="s">
        <v>30</v>
      </c>
    </row>
    <row r="1821" spans="2:13" x14ac:dyDescent="0.2">
      <c r="C1821" t="b">
        <v>0</v>
      </c>
      <c r="D1821">
        <v>790.05</v>
      </c>
      <c r="E1821" t="s">
        <v>30</v>
      </c>
    </row>
    <row r="1822" spans="2:13" x14ac:dyDescent="0.2">
      <c r="C1822" t="b">
        <v>0</v>
      </c>
      <c r="D1822">
        <v>780.06</v>
      </c>
      <c r="E1822" t="s">
        <v>30</v>
      </c>
    </row>
    <row r="1823" spans="2:13" x14ac:dyDescent="0.2">
      <c r="C1823" t="b">
        <v>0</v>
      </c>
      <c r="D1823">
        <v>760.05</v>
      </c>
      <c r="E1823" t="s">
        <v>30</v>
      </c>
    </row>
    <row r="1824" spans="2:13" x14ac:dyDescent="0.2">
      <c r="C1824" t="b">
        <v>0</v>
      </c>
      <c r="D1824">
        <v>650.04</v>
      </c>
      <c r="E1824" t="s">
        <v>30</v>
      </c>
    </row>
    <row r="1825" spans="1:13" x14ac:dyDescent="0.2">
      <c r="C1825" t="b">
        <v>0</v>
      </c>
      <c r="D1825">
        <v>750.05</v>
      </c>
      <c r="E1825" t="s">
        <v>30</v>
      </c>
    </row>
    <row r="1826" spans="1:13" x14ac:dyDescent="0.2">
      <c r="B1826" t="s">
        <v>11</v>
      </c>
    </row>
    <row r="1827" spans="1:13" x14ac:dyDescent="0.2">
      <c r="B1827" t="s">
        <v>12</v>
      </c>
      <c r="C1827" t="s">
        <v>13</v>
      </c>
      <c r="D1827" t="s">
        <v>14</v>
      </c>
      <c r="E1827" t="s">
        <v>15</v>
      </c>
      <c r="F1827" t="s">
        <v>16</v>
      </c>
      <c r="G1827" t="s">
        <v>17</v>
      </c>
      <c r="H1827" t="s">
        <v>18</v>
      </c>
      <c r="I1827" t="s">
        <v>19</v>
      </c>
      <c r="J1827" t="s">
        <v>20</v>
      </c>
      <c r="K1827" t="s">
        <v>21</v>
      </c>
      <c r="L1827" t="s">
        <v>22</v>
      </c>
      <c r="M1827" t="s">
        <v>23</v>
      </c>
    </row>
    <row r="1828" spans="1:13" x14ac:dyDescent="0.2">
      <c r="B1828" t="s">
        <v>33</v>
      </c>
      <c r="C1828">
        <v>89</v>
      </c>
      <c r="E1828" t="s">
        <v>25</v>
      </c>
      <c r="F1828">
        <v>3712.05</v>
      </c>
      <c r="G1828">
        <v>4.8</v>
      </c>
      <c r="K1828">
        <v>0.1</v>
      </c>
      <c r="L1828">
        <v>7</v>
      </c>
      <c r="M1828">
        <v>94.1</v>
      </c>
    </row>
    <row r="1829" spans="1:13" x14ac:dyDescent="0.2">
      <c r="C1829" t="s">
        <v>27</v>
      </c>
    </row>
    <row r="1830" spans="1:13" x14ac:dyDescent="0.2">
      <c r="C1830" t="s">
        <v>28</v>
      </c>
      <c r="D1830" t="s">
        <v>16</v>
      </c>
      <c r="E1830" t="s">
        <v>29</v>
      </c>
      <c r="F1830" t="s">
        <v>18</v>
      </c>
    </row>
    <row r="1831" spans="1:13" x14ac:dyDescent="0.2">
      <c r="C1831" t="b">
        <v>0</v>
      </c>
      <c r="D1831">
        <v>3980.71</v>
      </c>
      <c r="E1831" t="s">
        <v>30</v>
      </c>
    </row>
    <row r="1832" spans="1:13" x14ac:dyDescent="0.2">
      <c r="C1832" t="b">
        <v>0</v>
      </c>
      <c r="D1832">
        <v>3760.64</v>
      </c>
      <c r="E1832" t="s">
        <v>30</v>
      </c>
    </row>
    <row r="1833" spans="1:13" x14ac:dyDescent="0.2">
      <c r="C1833" t="b">
        <v>0</v>
      </c>
      <c r="D1833">
        <v>3650.62</v>
      </c>
      <c r="E1833" t="s">
        <v>30</v>
      </c>
    </row>
    <row r="1834" spans="1:13" x14ac:dyDescent="0.2">
      <c r="C1834" t="b">
        <v>0</v>
      </c>
      <c r="D1834">
        <v>3420.51</v>
      </c>
      <c r="E1834" t="s">
        <v>30</v>
      </c>
    </row>
    <row r="1835" spans="1:13" x14ac:dyDescent="0.2">
      <c r="C1835" t="b">
        <v>0</v>
      </c>
      <c r="D1835">
        <v>3750.63</v>
      </c>
      <c r="E1835" t="s">
        <v>30</v>
      </c>
    </row>
    <row r="1836" spans="1:13" x14ac:dyDescent="0.2">
      <c r="C1836" t="b">
        <v>0</v>
      </c>
      <c r="D1836">
        <v>3830.66</v>
      </c>
      <c r="E1836" t="s">
        <v>30</v>
      </c>
    </row>
    <row r="1837" spans="1:13" x14ac:dyDescent="0.2">
      <c r="C1837" t="b">
        <v>0</v>
      </c>
      <c r="D1837">
        <v>3590.59</v>
      </c>
      <c r="E1837" t="s">
        <v>30</v>
      </c>
    </row>
    <row r="1838" spans="1:13" x14ac:dyDescent="0.2">
      <c r="A1838" t="s">
        <v>0</v>
      </c>
    </row>
    <row r="1839" spans="1:13" x14ac:dyDescent="0.2"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6</v>
      </c>
    </row>
    <row r="1840" spans="1:13" x14ac:dyDescent="0.2">
      <c r="B1840" t="b">
        <v>0</v>
      </c>
      <c r="C1840" t="s">
        <v>144</v>
      </c>
      <c r="D1840" t="s">
        <v>145</v>
      </c>
      <c r="E1840" t="s">
        <v>9</v>
      </c>
      <c r="G1840" t="s">
        <v>146</v>
      </c>
    </row>
    <row r="1841" spans="2:13" x14ac:dyDescent="0.2">
      <c r="B1841" t="s">
        <v>11</v>
      </c>
    </row>
    <row r="1842" spans="2:13" x14ac:dyDescent="0.2">
      <c r="B1842" t="s">
        <v>12</v>
      </c>
      <c r="C1842" t="s">
        <v>13</v>
      </c>
      <c r="D1842" t="s">
        <v>14</v>
      </c>
      <c r="E1842" t="s">
        <v>15</v>
      </c>
      <c r="F1842" t="s">
        <v>16</v>
      </c>
      <c r="G1842" t="s">
        <v>17</v>
      </c>
      <c r="H1842" t="s">
        <v>18</v>
      </c>
      <c r="I1842" t="s">
        <v>19</v>
      </c>
      <c r="J1842" t="s">
        <v>20</v>
      </c>
      <c r="K1842" t="s">
        <v>21</v>
      </c>
      <c r="L1842" t="s">
        <v>22</v>
      </c>
      <c r="M1842" t="s">
        <v>23</v>
      </c>
    </row>
    <row r="1843" spans="2:13" x14ac:dyDescent="0.2">
      <c r="B1843" t="s">
        <v>24</v>
      </c>
      <c r="C1843">
        <v>59</v>
      </c>
      <c r="E1843" t="s">
        <v>25</v>
      </c>
      <c r="F1843">
        <v>197.15</v>
      </c>
      <c r="G1843">
        <v>15.4</v>
      </c>
      <c r="H1843">
        <v>0</v>
      </c>
      <c r="I1843" t="s">
        <v>26</v>
      </c>
      <c r="J1843">
        <v>21.5</v>
      </c>
      <c r="K1843">
        <v>0.1</v>
      </c>
      <c r="L1843">
        <v>7</v>
      </c>
    </row>
    <row r="1844" spans="2:13" x14ac:dyDescent="0.2">
      <c r="C1844" t="s">
        <v>27</v>
      </c>
    </row>
    <row r="1845" spans="2:13" x14ac:dyDescent="0.2">
      <c r="C1845" t="s">
        <v>28</v>
      </c>
      <c r="D1845" t="s">
        <v>16</v>
      </c>
      <c r="E1845" t="s">
        <v>29</v>
      </c>
      <c r="F1845" t="s">
        <v>18</v>
      </c>
    </row>
    <row r="1846" spans="2:13" x14ac:dyDescent="0.2">
      <c r="C1846" t="b">
        <v>0</v>
      </c>
      <c r="D1846">
        <v>230.01</v>
      </c>
      <c r="E1846" t="s">
        <v>30</v>
      </c>
      <c r="F1846">
        <v>0</v>
      </c>
    </row>
    <row r="1847" spans="2:13" x14ac:dyDescent="0.2">
      <c r="C1847" t="b">
        <v>0</v>
      </c>
      <c r="D1847">
        <v>190.01</v>
      </c>
      <c r="E1847" t="s">
        <v>30</v>
      </c>
      <c r="F1847">
        <v>0</v>
      </c>
    </row>
    <row r="1848" spans="2:13" x14ac:dyDescent="0.2">
      <c r="C1848" t="b">
        <v>0</v>
      </c>
      <c r="D1848">
        <v>230.01</v>
      </c>
      <c r="E1848" t="s">
        <v>30</v>
      </c>
      <c r="F1848">
        <v>0</v>
      </c>
    </row>
    <row r="1849" spans="2:13" x14ac:dyDescent="0.2">
      <c r="C1849" t="b">
        <v>0</v>
      </c>
      <c r="D1849">
        <v>180.01</v>
      </c>
      <c r="E1849" t="s">
        <v>30</v>
      </c>
      <c r="F1849">
        <v>0</v>
      </c>
    </row>
    <row r="1850" spans="2:13" x14ac:dyDescent="0.2">
      <c r="C1850" t="b">
        <v>0</v>
      </c>
      <c r="D1850">
        <v>150.01</v>
      </c>
      <c r="E1850" t="s">
        <v>30</v>
      </c>
      <c r="F1850">
        <v>0</v>
      </c>
    </row>
    <row r="1851" spans="2:13" x14ac:dyDescent="0.2">
      <c r="C1851" t="b">
        <v>0</v>
      </c>
      <c r="D1851">
        <v>220.01</v>
      </c>
      <c r="E1851" t="s">
        <v>30</v>
      </c>
      <c r="F1851">
        <v>0</v>
      </c>
    </row>
    <row r="1852" spans="2:13" x14ac:dyDescent="0.2">
      <c r="C1852" t="b">
        <v>0</v>
      </c>
      <c r="D1852">
        <v>180.01</v>
      </c>
      <c r="E1852" t="s">
        <v>30</v>
      </c>
      <c r="F1852">
        <v>0</v>
      </c>
    </row>
    <row r="1853" spans="2:13" x14ac:dyDescent="0.2">
      <c r="B1853" t="s">
        <v>11</v>
      </c>
    </row>
    <row r="1854" spans="2:13" x14ac:dyDescent="0.2">
      <c r="B1854" t="s">
        <v>12</v>
      </c>
      <c r="C1854" t="s">
        <v>13</v>
      </c>
      <c r="D1854" t="s">
        <v>14</v>
      </c>
      <c r="E1854" t="s">
        <v>15</v>
      </c>
      <c r="F1854" t="s">
        <v>16</v>
      </c>
      <c r="G1854" t="s">
        <v>17</v>
      </c>
      <c r="H1854" t="s">
        <v>18</v>
      </c>
      <c r="I1854" t="s">
        <v>19</v>
      </c>
      <c r="J1854" t="s">
        <v>20</v>
      </c>
      <c r="K1854" t="s">
        <v>21</v>
      </c>
      <c r="L1854" t="s">
        <v>22</v>
      </c>
      <c r="M1854" t="s">
        <v>23</v>
      </c>
    </row>
    <row r="1855" spans="2:13" x14ac:dyDescent="0.2">
      <c r="B1855" t="s">
        <v>31</v>
      </c>
      <c r="C1855">
        <v>45</v>
      </c>
      <c r="E1855" t="s">
        <v>25</v>
      </c>
      <c r="F1855">
        <v>877.2</v>
      </c>
      <c r="G1855">
        <v>11.4</v>
      </c>
      <c r="K1855">
        <v>0.1</v>
      </c>
      <c r="L1855">
        <v>7</v>
      </c>
      <c r="M1855">
        <v>84.9</v>
      </c>
    </row>
    <row r="1856" spans="2:13" x14ac:dyDescent="0.2">
      <c r="C1856" t="s">
        <v>27</v>
      </c>
    </row>
    <row r="1857" spans="2:13" x14ac:dyDescent="0.2">
      <c r="C1857" t="s">
        <v>28</v>
      </c>
      <c r="D1857" t="s">
        <v>16</v>
      </c>
      <c r="E1857" t="s">
        <v>29</v>
      </c>
      <c r="F1857" t="s">
        <v>18</v>
      </c>
    </row>
    <row r="1858" spans="2:13" x14ac:dyDescent="0.2">
      <c r="C1858" t="b">
        <v>0</v>
      </c>
      <c r="D1858">
        <v>910.06</v>
      </c>
      <c r="E1858" t="s">
        <v>30</v>
      </c>
    </row>
    <row r="1859" spans="2:13" x14ac:dyDescent="0.2">
      <c r="C1859" t="b">
        <v>0</v>
      </c>
      <c r="D1859">
        <v>900.05</v>
      </c>
      <c r="E1859" t="s">
        <v>30</v>
      </c>
    </row>
    <row r="1860" spans="2:13" x14ac:dyDescent="0.2">
      <c r="C1860" t="b">
        <v>0</v>
      </c>
      <c r="D1860">
        <v>710.04</v>
      </c>
      <c r="E1860" t="s">
        <v>30</v>
      </c>
    </row>
    <row r="1861" spans="2:13" x14ac:dyDescent="0.2">
      <c r="C1861" t="b">
        <v>0</v>
      </c>
      <c r="D1861">
        <v>810.05</v>
      </c>
      <c r="E1861" t="s">
        <v>30</v>
      </c>
    </row>
    <row r="1862" spans="2:13" x14ac:dyDescent="0.2">
      <c r="C1862" t="b">
        <v>0</v>
      </c>
      <c r="D1862">
        <v>840.06</v>
      </c>
      <c r="E1862" t="s">
        <v>30</v>
      </c>
    </row>
    <row r="1863" spans="2:13" x14ac:dyDescent="0.2">
      <c r="C1863" t="b">
        <v>0</v>
      </c>
      <c r="D1863">
        <v>960.07</v>
      </c>
      <c r="E1863" t="s">
        <v>30</v>
      </c>
    </row>
    <row r="1864" spans="2:13" x14ac:dyDescent="0.2">
      <c r="C1864" t="b">
        <v>0</v>
      </c>
      <c r="D1864">
        <v>1010.06</v>
      </c>
      <c r="E1864" t="s">
        <v>30</v>
      </c>
    </row>
    <row r="1865" spans="2:13" x14ac:dyDescent="0.2">
      <c r="B1865" t="s">
        <v>11</v>
      </c>
    </row>
    <row r="1866" spans="2:13" x14ac:dyDescent="0.2">
      <c r="B1866" t="s">
        <v>12</v>
      </c>
      <c r="C1866" t="s">
        <v>13</v>
      </c>
      <c r="D1866" t="s">
        <v>14</v>
      </c>
      <c r="E1866" t="s">
        <v>15</v>
      </c>
      <c r="F1866" t="s">
        <v>16</v>
      </c>
      <c r="G1866" t="s">
        <v>17</v>
      </c>
      <c r="H1866" t="s">
        <v>18</v>
      </c>
      <c r="I1866" t="s">
        <v>19</v>
      </c>
      <c r="J1866" t="s">
        <v>20</v>
      </c>
      <c r="K1866" t="s">
        <v>21</v>
      </c>
      <c r="L1866" t="s">
        <v>22</v>
      </c>
      <c r="M1866" t="s">
        <v>23</v>
      </c>
    </row>
    <row r="1867" spans="2:13" x14ac:dyDescent="0.2">
      <c r="B1867" t="s">
        <v>32</v>
      </c>
      <c r="C1867">
        <v>72</v>
      </c>
      <c r="E1867" t="s">
        <v>25</v>
      </c>
      <c r="F1867">
        <v>892.92</v>
      </c>
      <c r="G1867">
        <v>13.7</v>
      </c>
      <c r="K1867">
        <v>0.1</v>
      </c>
      <c r="L1867">
        <v>7</v>
      </c>
      <c r="M1867">
        <v>119.7</v>
      </c>
    </row>
    <row r="1868" spans="2:13" x14ac:dyDescent="0.2">
      <c r="C1868" t="s">
        <v>27</v>
      </c>
    </row>
    <row r="1869" spans="2:13" x14ac:dyDescent="0.2">
      <c r="C1869" t="s">
        <v>28</v>
      </c>
      <c r="D1869" t="s">
        <v>16</v>
      </c>
      <c r="E1869" t="s">
        <v>29</v>
      </c>
      <c r="F1869" t="s">
        <v>18</v>
      </c>
    </row>
    <row r="1870" spans="2:13" x14ac:dyDescent="0.2">
      <c r="C1870" t="b">
        <v>0</v>
      </c>
      <c r="D1870">
        <v>940.06</v>
      </c>
      <c r="E1870" t="s">
        <v>30</v>
      </c>
    </row>
    <row r="1871" spans="2:13" x14ac:dyDescent="0.2">
      <c r="C1871" t="b">
        <v>0</v>
      </c>
      <c r="D1871">
        <v>910.08</v>
      </c>
      <c r="E1871" t="s">
        <v>30</v>
      </c>
    </row>
    <row r="1872" spans="2:13" x14ac:dyDescent="0.2">
      <c r="C1872" t="b">
        <v>0</v>
      </c>
      <c r="D1872">
        <v>700.04</v>
      </c>
      <c r="E1872" t="s">
        <v>30</v>
      </c>
    </row>
    <row r="1873" spans="2:13" x14ac:dyDescent="0.2">
      <c r="C1873" t="b">
        <v>0</v>
      </c>
      <c r="D1873">
        <v>970.07</v>
      </c>
      <c r="E1873" t="s">
        <v>30</v>
      </c>
    </row>
    <row r="1874" spans="2:13" x14ac:dyDescent="0.2">
      <c r="C1874" t="b">
        <v>0</v>
      </c>
      <c r="D1874">
        <v>1080.08</v>
      </c>
      <c r="E1874" t="s">
        <v>30</v>
      </c>
    </row>
    <row r="1875" spans="2:13" x14ac:dyDescent="0.2">
      <c r="C1875" t="b">
        <v>0</v>
      </c>
      <c r="D1875">
        <v>840.06</v>
      </c>
      <c r="E1875" t="s">
        <v>30</v>
      </c>
    </row>
    <row r="1876" spans="2:13" x14ac:dyDescent="0.2">
      <c r="C1876" t="b">
        <v>0</v>
      </c>
      <c r="D1876">
        <v>810.06</v>
      </c>
      <c r="E1876" t="s">
        <v>30</v>
      </c>
    </row>
    <row r="1877" spans="2:13" x14ac:dyDescent="0.2">
      <c r="B1877" t="s">
        <v>11</v>
      </c>
    </row>
    <row r="1878" spans="2:13" x14ac:dyDescent="0.2">
      <c r="B1878" t="s">
        <v>12</v>
      </c>
      <c r="C1878" t="s">
        <v>13</v>
      </c>
      <c r="D1878" t="s">
        <v>14</v>
      </c>
      <c r="E1878" t="s">
        <v>15</v>
      </c>
      <c r="F1878" t="s">
        <v>16</v>
      </c>
      <c r="G1878" t="s">
        <v>17</v>
      </c>
      <c r="H1878" t="s">
        <v>18</v>
      </c>
      <c r="I1878" t="s">
        <v>19</v>
      </c>
      <c r="J1878" t="s">
        <v>20</v>
      </c>
      <c r="K1878" t="s">
        <v>21</v>
      </c>
      <c r="L1878" t="s">
        <v>22</v>
      </c>
      <c r="M1878" t="s">
        <v>23</v>
      </c>
    </row>
    <row r="1879" spans="2:13" x14ac:dyDescent="0.2">
      <c r="B1879" t="s">
        <v>33</v>
      </c>
      <c r="C1879">
        <v>89</v>
      </c>
      <c r="E1879" t="s">
        <v>25</v>
      </c>
      <c r="F1879">
        <v>4233.66</v>
      </c>
      <c r="G1879">
        <v>11.2</v>
      </c>
      <c r="K1879">
        <v>0.1</v>
      </c>
      <c r="L1879">
        <v>7</v>
      </c>
      <c r="M1879">
        <v>107.3</v>
      </c>
    </row>
    <row r="1880" spans="2:13" x14ac:dyDescent="0.2">
      <c r="C1880" t="s">
        <v>27</v>
      </c>
    </row>
    <row r="1881" spans="2:13" x14ac:dyDescent="0.2">
      <c r="C1881" t="s">
        <v>28</v>
      </c>
      <c r="D1881" t="s">
        <v>16</v>
      </c>
      <c r="E1881" t="s">
        <v>29</v>
      </c>
      <c r="F1881" t="s">
        <v>18</v>
      </c>
    </row>
    <row r="1882" spans="2:13" x14ac:dyDescent="0.2">
      <c r="C1882" t="b">
        <v>0</v>
      </c>
      <c r="D1882">
        <v>3640.62</v>
      </c>
      <c r="E1882" t="s">
        <v>30</v>
      </c>
    </row>
    <row r="1883" spans="2:13" x14ac:dyDescent="0.2">
      <c r="C1883" t="b">
        <v>0</v>
      </c>
      <c r="D1883">
        <v>3840.67</v>
      </c>
      <c r="E1883" t="s">
        <v>30</v>
      </c>
    </row>
    <row r="1884" spans="2:13" x14ac:dyDescent="0.2">
      <c r="C1884" t="b">
        <v>0</v>
      </c>
      <c r="D1884">
        <v>4470.87</v>
      </c>
      <c r="E1884" t="s">
        <v>30</v>
      </c>
    </row>
    <row r="1885" spans="2:13" x14ac:dyDescent="0.2">
      <c r="C1885" t="b">
        <v>0</v>
      </c>
      <c r="D1885">
        <v>3820.67</v>
      </c>
      <c r="E1885" t="s">
        <v>30</v>
      </c>
    </row>
    <row r="1886" spans="2:13" x14ac:dyDescent="0.2">
      <c r="C1886" t="b">
        <v>0</v>
      </c>
      <c r="D1886">
        <v>4771</v>
      </c>
      <c r="E1886" t="s">
        <v>30</v>
      </c>
    </row>
    <row r="1887" spans="2:13" x14ac:dyDescent="0.2">
      <c r="C1887" t="b">
        <v>0</v>
      </c>
      <c r="D1887">
        <v>4280.78</v>
      </c>
      <c r="E1887" t="s">
        <v>30</v>
      </c>
    </row>
    <row r="1888" spans="2:13" x14ac:dyDescent="0.2">
      <c r="C1888" t="b">
        <v>0</v>
      </c>
      <c r="D1888">
        <v>4811</v>
      </c>
      <c r="E1888" t="s">
        <v>30</v>
      </c>
    </row>
    <row r="1889" spans="1:13" x14ac:dyDescent="0.2">
      <c r="A1889" t="s">
        <v>0</v>
      </c>
    </row>
    <row r="1890" spans="1:13" x14ac:dyDescent="0.2"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6</v>
      </c>
    </row>
    <row r="1891" spans="1:13" x14ac:dyDescent="0.2">
      <c r="A1891" t="s">
        <v>147</v>
      </c>
      <c r="B1891" t="b">
        <v>0</v>
      </c>
      <c r="C1891" t="s">
        <v>148</v>
      </c>
      <c r="D1891" t="s">
        <v>149</v>
      </c>
      <c r="E1891" t="s">
        <v>150</v>
      </c>
      <c r="G1891" t="s">
        <v>151</v>
      </c>
    </row>
    <row r="1892" spans="1:13" x14ac:dyDescent="0.2">
      <c r="B1892" t="s">
        <v>11</v>
      </c>
    </row>
    <row r="1893" spans="1:13" x14ac:dyDescent="0.2">
      <c r="B1893" t="s">
        <v>12</v>
      </c>
      <c r="C1893" t="s">
        <v>13</v>
      </c>
      <c r="D1893" t="s">
        <v>14</v>
      </c>
      <c r="E1893" t="s">
        <v>15</v>
      </c>
      <c r="F1893" t="s">
        <v>16</v>
      </c>
      <c r="G1893" t="s">
        <v>17</v>
      </c>
      <c r="H1893" t="s">
        <v>18</v>
      </c>
      <c r="I1893" t="s">
        <v>19</v>
      </c>
      <c r="J1893" t="s">
        <v>20</v>
      </c>
      <c r="K1893" t="s">
        <v>21</v>
      </c>
      <c r="L1893" t="s">
        <v>22</v>
      </c>
      <c r="M1893" t="s">
        <v>23</v>
      </c>
    </row>
    <row r="1894" spans="1:13" x14ac:dyDescent="0.2">
      <c r="B1894" t="s">
        <v>24</v>
      </c>
      <c r="C1894">
        <v>59</v>
      </c>
      <c r="E1894" t="s">
        <v>25</v>
      </c>
      <c r="F1894">
        <v>214448.18</v>
      </c>
      <c r="G1894">
        <v>1.1000000000000001</v>
      </c>
      <c r="H1894">
        <v>9.5000000000000001E-2</v>
      </c>
      <c r="I1894" t="s">
        <v>26</v>
      </c>
      <c r="J1894">
        <v>1.1000000000000001</v>
      </c>
      <c r="K1894">
        <v>0.1</v>
      </c>
      <c r="L1894">
        <v>7</v>
      </c>
    </row>
    <row r="1895" spans="1:13" x14ac:dyDescent="0.2">
      <c r="C1895" t="s">
        <v>27</v>
      </c>
    </row>
    <row r="1896" spans="1:13" x14ac:dyDescent="0.2">
      <c r="C1896" t="s">
        <v>28</v>
      </c>
      <c r="D1896" t="s">
        <v>16</v>
      </c>
      <c r="E1896" t="s">
        <v>29</v>
      </c>
      <c r="F1896" t="s">
        <v>18</v>
      </c>
    </row>
    <row r="1897" spans="1:13" x14ac:dyDescent="0.2">
      <c r="C1897" t="b">
        <v>0</v>
      </c>
      <c r="D1897">
        <v>210978.24</v>
      </c>
      <c r="E1897" t="s">
        <v>30</v>
      </c>
      <c r="F1897">
        <v>9.4E-2</v>
      </c>
    </row>
    <row r="1898" spans="1:13" x14ac:dyDescent="0.2">
      <c r="C1898" t="b">
        <v>0</v>
      </c>
      <c r="D1898">
        <v>212879.06</v>
      </c>
      <c r="E1898" t="s">
        <v>30</v>
      </c>
      <c r="F1898">
        <v>9.5000000000000001E-2</v>
      </c>
    </row>
    <row r="1899" spans="1:13" x14ac:dyDescent="0.2">
      <c r="C1899" t="b">
        <v>0</v>
      </c>
      <c r="D1899">
        <v>216165.43</v>
      </c>
      <c r="E1899" t="s">
        <v>30</v>
      </c>
      <c r="F1899">
        <v>9.6000000000000002E-2</v>
      </c>
    </row>
    <row r="1900" spans="1:13" x14ac:dyDescent="0.2">
      <c r="C1900" t="b">
        <v>0</v>
      </c>
      <c r="D1900">
        <v>214725.6</v>
      </c>
      <c r="E1900" t="s">
        <v>30</v>
      </c>
      <c r="F1900">
        <v>9.5000000000000001E-2</v>
      </c>
    </row>
    <row r="1901" spans="1:13" x14ac:dyDescent="0.2">
      <c r="C1901" t="b">
        <v>0</v>
      </c>
      <c r="D1901">
        <v>218349.76</v>
      </c>
      <c r="E1901" t="s">
        <v>30</v>
      </c>
      <c r="F1901">
        <v>9.7000000000000003E-2</v>
      </c>
    </row>
    <row r="1902" spans="1:13" x14ac:dyDescent="0.2">
      <c r="C1902" t="b">
        <v>0</v>
      </c>
      <c r="D1902">
        <v>214085.6</v>
      </c>
      <c r="E1902" t="s">
        <v>30</v>
      </c>
      <c r="F1902">
        <v>9.5000000000000001E-2</v>
      </c>
    </row>
    <row r="1903" spans="1:13" x14ac:dyDescent="0.2">
      <c r="C1903" t="b">
        <v>0</v>
      </c>
      <c r="D1903">
        <v>213953.55</v>
      </c>
      <c r="E1903" t="s">
        <v>30</v>
      </c>
      <c r="F1903">
        <v>9.5000000000000001E-2</v>
      </c>
    </row>
    <row r="1904" spans="1:13" x14ac:dyDescent="0.2">
      <c r="B1904" t="s">
        <v>11</v>
      </c>
    </row>
    <row r="1905" spans="2:13" x14ac:dyDescent="0.2">
      <c r="B1905" t="s">
        <v>12</v>
      </c>
      <c r="C1905" t="s">
        <v>13</v>
      </c>
      <c r="D1905" t="s">
        <v>14</v>
      </c>
      <c r="E1905" t="s">
        <v>15</v>
      </c>
      <c r="F1905" t="s">
        <v>16</v>
      </c>
      <c r="G1905" t="s">
        <v>17</v>
      </c>
      <c r="H1905" t="s">
        <v>18</v>
      </c>
      <c r="I1905" t="s">
        <v>19</v>
      </c>
      <c r="J1905" t="s">
        <v>20</v>
      </c>
      <c r="K1905" t="s">
        <v>21</v>
      </c>
      <c r="L1905" t="s">
        <v>22</v>
      </c>
      <c r="M1905" t="s">
        <v>23</v>
      </c>
    </row>
    <row r="1906" spans="2:13" x14ac:dyDescent="0.2">
      <c r="B1906" t="s">
        <v>31</v>
      </c>
      <c r="C1906">
        <v>45</v>
      </c>
      <c r="E1906" t="s">
        <v>25</v>
      </c>
      <c r="F1906">
        <v>1181.52</v>
      </c>
      <c r="G1906">
        <v>8.8000000000000007</v>
      </c>
      <c r="K1906">
        <v>0.1</v>
      </c>
      <c r="L1906">
        <v>7</v>
      </c>
      <c r="M1906">
        <v>114.4</v>
      </c>
    </row>
    <row r="1907" spans="2:13" x14ac:dyDescent="0.2">
      <c r="C1907" t="s">
        <v>27</v>
      </c>
    </row>
    <row r="1908" spans="2:13" x14ac:dyDescent="0.2">
      <c r="C1908" t="s">
        <v>28</v>
      </c>
      <c r="D1908" t="s">
        <v>16</v>
      </c>
      <c r="E1908" t="s">
        <v>29</v>
      </c>
      <c r="F1908" t="s">
        <v>18</v>
      </c>
    </row>
    <row r="1909" spans="2:13" x14ac:dyDescent="0.2">
      <c r="C1909" t="b">
        <v>0</v>
      </c>
      <c r="D1909">
        <v>1230.1099999999999</v>
      </c>
      <c r="E1909" t="s">
        <v>30</v>
      </c>
    </row>
    <row r="1910" spans="2:13" x14ac:dyDescent="0.2">
      <c r="C1910" t="b">
        <v>0</v>
      </c>
      <c r="D1910">
        <v>1030.07</v>
      </c>
      <c r="E1910" t="s">
        <v>30</v>
      </c>
    </row>
    <row r="1911" spans="2:13" x14ac:dyDescent="0.2">
      <c r="C1911" t="b">
        <v>0</v>
      </c>
      <c r="D1911">
        <v>1040.08</v>
      </c>
      <c r="E1911" t="s">
        <v>30</v>
      </c>
    </row>
    <row r="1912" spans="2:13" x14ac:dyDescent="0.2">
      <c r="C1912" t="b">
        <v>0</v>
      </c>
      <c r="D1912">
        <v>1290.0999999999999</v>
      </c>
      <c r="E1912" t="s">
        <v>30</v>
      </c>
    </row>
    <row r="1913" spans="2:13" x14ac:dyDescent="0.2">
      <c r="C1913" t="b">
        <v>0</v>
      </c>
      <c r="D1913">
        <v>1240.1099999999999</v>
      </c>
      <c r="E1913" t="s">
        <v>30</v>
      </c>
    </row>
    <row r="1914" spans="2:13" x14ac:dyDescent="0.2">
      <c r="C1914" t="b">
        <v>0</v>
      </c>
      <c r="D1914">
        <v>1240.0999999999999</v>
      </c>
      <c r="E1914" t="s">
        <v>30</v>
      </c>
    </row>
    <row r="1915" spans="2:13" x14ac:dyDescent="0.2">
      <c r="C1915" t="b">
        <v>0</v>
      </c>
      <c r="D1915">
        <v>1200.0899999999999</v>
      </c>
      <c r="E1915" t="s">
        <v>30</v>
      </c>
    </row>
    <row r="1916" spans="2:13" x14ac:dyDescent="0.2">
      <c r="B1916" t="s">
        <v>11</v>
      </c>
    </row>
    <row r="1917" spans="2:13" x14ac:dyDescent="0.2">
      <c r="B1917" t="s">
        <v>12</v>
      </c>
      <c r="C1917" t="s">
        <v>13</v>
      </c>
      <c r="D1917" t="s">
        <v>14</v>
      </c>
      <c r="E1917" t="s">
        <v>15</v>
      </c>
      <c r="F1917" t="s">
        <v>16</v>
      </c>
      <c r="G1917" t="s">
        <v>17</v>
      </c>
      <c r="H1917" t="s">
        <v>18</v>
      </c>
      <c r="I1917" t="s">
        <v>19</v>
      </c>
      <c r="J1917" t="s">
        <v>20</v>
      </c>
      <c r="K1917" t="s">
        <v>21</v>
      </c>
      <c r="L1917" t="s">
        <v>22</v>
      </c>
      <c r="M1917" t="s">
        <v>23</v>
      </c>
    </row>
    <row r="1918" spans="2:13" x14ac:dyDescent="0.2">
      <c r="B1918" t="s">
        <v>32</v>
      </c>
      <c r="C1918">
        <v>72</v>
      </c>
      <c r="E1918" t="s">
        <v>25</v>
      </c>
      <c r="F1918">
        <v>1044.3599999999999</v>
      </c>
      <c r="G1918">
        <v>6.8</v>
      </c>
      <c r="K1918">
        <v>0.1</v>
      </c>
      <c r="L1918">
        <v>7</v>
      </c>
      <c r="M1918">
        <v>140</v>
      </c>
    </row>
    <row r="1919" spans="2:13" x14ac:dyDescent="0.2">
      <c r="C1919" t="s">
        <v>27</v>
      </c>
    </row>
    <row r="1920" spans="2:13" x14ac:dyDescent="0.2">
      <c r="C1920" t="s">
        <v>28</v>
      </c>
      <c r="D1920" t="s">
        <v>16</v>
      </c>
      <c r="E1920" t="s">
        <v>29</v>
      </c>
      <c r="F1920" t="s">
        <v>18</v>
      </c>
    </row>
    <row r="1921" spans="2:13" x14ac:dyDescent="0.2">
      <c r="C1921" t="b">
        <v>0</v>
      </c>
      <c r="D1921">
        <v>1140.08</v>
      </c>
      <c r="E1921" t="s">
        <v>30</v>
      </c>
    </row>
    <row r="1922" spans="2:13" x14ac:dyDescent="0.2">
      <c r="C1922" t="b">
        <v>0</v>
      </c>
      <c r="D1922">
        <v>1100.07</v>
      </c>
      <c r="E1922" t="s">
        <v>30</v>
      </c>
    </row>
    <row r="1923" spans="2:13" x14ac:dyDescent="0.2">
      <c r="C1923" t="b">
        <v>0</v>
      </c>
      <c r="D1923">
        <v>1050.08</v>
      </c>
      <c r="E1923" t="s">
        <v>30</v>
      </c>
    </row>
    <row r="1924" spans="2:13" x14ac:dyDescent="0.2">
      <c r="C1924" t="b">
        <v>0</v>
      </c>
      <c r="D1924">
        <v>1040.0899999999999</v>
      </c>
      <c r="E1924" t="s">
        <v>30</v>
      </c>
    </row>
    <row r="1925" spans="2:13" x14ac:dyDescent="0.2">
      <c r="C1925" t="b">
        <v>0</v>
      </c>
      <c r="D1925">
        <v>1030.08</v>
      </c>
      <c r="E1925" t="s">
        <v>30</v>
      </c>
    </row>
    <row r="1926" spans="2:13" x14ac:dyDescent="0.2">
      <c r="C1926" t="b">
        <v>0</v>
      </c>
      <c r="D1926">
        <v>910.07</v>
      </c>
      <c r="E1926" t="s">
        <v>30</v>
      </c>
    </row>
    <row r="1927" spans="2:13" x14ac:dyDescent="0.2">
      <c r="C1927" t="b">
        <v>0</v>
      </c>
      <c r="D1927">
        <v>1040.08</v>
      </c>
      <c r="E1927" t="s">
        <v>30</v>
      </c>
    </row>
    <row r="1928" spans="2:13" x14ac:dyDescent="0.2">
      <c r="B1928" t="s">
        <v>11</v>
      </c>
    </row>
    <row r="1929" spans="2:13" x14ac:dyDescent="0.2">
      <c r="B1929" t="s">
        <v>12</v>
      </c>
      <c r="C1929" t="s">
        <v>13</v>
      </c>
      <c r="D1929" t="s">
        <v>14</v>
      </c>
      <c r="E1929" t="s">
        <v>15</v>
      </c>
      <c r="F1929" t="s">
        <v>16</v>
      </c>
      <c r="G1929" t="s">
        <v>17</v>
      </c>
      <c r="H1929" t="s">
        <v>18</v>
      </c>
      <c r="I1929" t="s">
        <v>19</v>
      </c>
      <c r="J1929" t="s">
        <v>20</v>
      </c>
      <c r="K1929" t="s">
        <v>21</v>
      </c>
      <c r="L1929" t="s">
        <v>22</v>
      </c>
      <c r="M1929" t="s">
        <v>23</v>
      </c>
    </row>
    <row r="1930" spans="2:13" x14ac:dyDescent="0.2">
      <c r="B1930" t="s">
        <v>33</v>
      </c>
      <c r="C1930">
        <v>89</v>
      </c>
      <c r="E1930" t="s">
        <v>25</v>
      </c>
      <c r="F1930">
        <v>5737.13</v>
      </c>
      <c r="G1930">
        <v>3.5</v>
      </c>
      <c r="K1930">
        <v>0.1</v>
      </c>
      <c r="L1930">
        <v>7</v>
      </c>
      <c r="M1930">
        <v>145.4</v>
      </c>
    </row>
    <row r="1931" spans="2:13" x14ac:dyDescent="0.2">
      <c r="C1931" t="s">
        <v>27</v>
      </c>
    </row>
    <row r="1932" spans="2:13" x14ac:dyDescent="0.2">
      <c r="C1932" t="s">
        <v>28</v>
      </c>
      <c r="D1932" t="s">
        <v>16</v>
      </c>
      <c r="E1932" t="s">
        <v>29</v>
      </c>
      <c r="F1932" t="s">
        <v>18</v>
      </c>
    </row>
    <row r="1933" spans="2:13" x14ac:dyDescent="0.2">
      <c r="C1933" t="b">
        <v>0</v>
      </c>
      <c r="D1933">
        <v>6081.51</v>
      </c>
      <c r="E1933" t="s">
        <v>30</v>
      </c>
    </row>
    <row r="1934" spans="2:13" x14ac:dyDescent="0.2">
      <c r="C1934" t="b">
        <v>0</v>
      </c>
      <c r="D1934">
        <v>5811.5</v>
      </c>
      <c r="E1934" t="s">
        <v>30</v>
      </c>
    </row>
    <row r="1935" spans="2:13" x14ac:dyDescent="0.2">
      <c r="C1935" t="b">
        <v>0</v>
      </c>
      <c r="D1935">
        <v>5571.38</v>
      </c>
      <c r="E1935" t="s">
        <v>30</v>
      </c>
    </row>
    <row r="1936" spans="2:13" x14ac:dyDescent="0.2">
      <c r="C1936" t="b">
        <v>0</v>
      </c>
      <c r="D1936">
        <v>5791.43</v>
      </c>
      <c r="E1936" t="s">
        <v>30</v>
      </c>
    </row>
    <row r="1937" spans="1:13" x14ac:dyDescent="0.2">
      <c r="C1937" t="b">
        <v>0</v>
      </c>
      <c r="D1937">
        <v>5531.33</v>
      </c>
      <c r="E1937" t="s">
        <v>30</v>
      </c>
    </row>
    <row r="1938" spans="1:13" x14ac:dyDescent="0.2">
      <c r="C1938" t="b">
        <v>0</v>
      </c>
      <c r="D1938">
        <v>5541.36</v>
      </c>
      <c r="E1938" t="s">
        <v>30</v>
      </c>
    </row>
    <row r="1939" spans="1:13" x14ac:dyDescent="0.2">
      <c r="C1939" t="b">
        <v>0</v>
      </c>
      <c r="D1939">
        <v>5831.42</v>
      </c>
      <c r="E1939" t="s">
        <v>30</v>
      </c>
    </row>
    <row r="1940" spans="1:13" x14ac:dyDescent="0.2">
      <c r="A1940" t="s">
        <v>0</v>
      </c>
    </row>
    <row r="1941" spans="1:13" x14ac:dyDescent="0.2"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6</v>
      </c>
    </row>
    <row r="1942" spans="1:13" x14ac:dyDescent="0.2">
      <c r="B1942" t="b">
        <v>0</v>
      </c>
      <c r="C1942" t="s">
        <v>152</v>
      </c>
      <c r="D1942" t="s">
        <v>153</v>
      </c>
      <c r="E1942" t="s">
        <v>9</v>
      </c>
      <c r="G1942" t="s">
        <v>146</v>
      </c>
    </row>
    <row r="1943" spans="1:13" x14ac:dyDescent="0.2">
      <c r="B1943" t="s">
        <v>11</v>
      </c>
    </row>
    <row r="1944" spans="1:13" x14ac:dyDescent="0.2">
      <c r="B1944" t="s">
        <v>12</v>
      </c>
      <c r="C1944" t="s">
        <v>13</v>
      </c>
      <c r="D1944" t="s">
        <v>14</v>
      </c>
      <c r="E1944" t="s">
        <v>15</v>
      </c>
      <c r="F1944" t="s">
        <v>16</v>
      </c>
      <c r="G1944" t="s">
        <v>17</v>
      </c>
      <c r="H1944" t="s">
        <v>18</v>
      </c>
      <c r="I1944" t="s">
        <v>19</v>
      </c>
      <c r="J1944" t="s">
        <v>20</v>
      </c>
      <c r="K1944" t="s">
        <v>21</v>
      </c>
      <c r="L1944" t="s">
        <v>22</v>
      </c>
      <c r="M1944" t="s">
        <v>23</v>
      </c>
    </row>
    <row r="1945" spans="1:13" x14ac:dyDescent="0.2">
      <c r="B1945" t="s">
        <v>24</v>
      </c>
      <c r="C1945">
        <v>59</v>
      </c>
      <c r="E1945" t="s">
        <v>25</v>
      </c>
      <c r="F1945">
        <v>132.86000000000001</v>
      </c>
      <c r="G1945">
        <v>14.9</v>
      </c>
      <c r="H1945">
        <v>0</v>
      </c>
      <c r="I1945" t="s">
        <v>26</v>
      </c>
      <c r="J1945">
        <v>25.6</v>
      </c>
      <c r="K1945">
        <v>0.1</v>
      </c>
      <c r="L1945">
        <v>7</v>
      </c>
    </row>
    <row r="1946" spans="1:13" x14ac:dyDescent="0.2">
      <c r="C1946" t="s">
        <v>27</v>
      </c>
    </row>
    <row r="1947" spans="1:13" x14ac:dyDescent="0.2">
      <c r="C1947" t="s">
        <v>28</v>
      </c>
      <c r="D1947" t="s">
        <v>16</v>
      </c>
      <c r="E1947" t="s">
        <v>29</v>
      </c>
      <c r="F1947" t="s">
        <v>18</v>
      </c>
    </row>
    <row r="1948" spans="1:13" x14ac:dyDescent="0.2">
      <c r="C1948" t="b">
        <v>0</v>
      </c>
      <c r="D1948">
        <v>120</v>
      </c>
      <c r="E1948" t="s">
        <v>30</v>
      </c>
      <c r="F1948">
        <v>0</v>
      </c>
    </row>
    <row r="1949" spans="1:13" x14ac:dyDescent="0.2">
      <c r="C1949" t="b">
        <v>0</v>
      </c>
      <c r="D1949">
        <v>120.01</v>
      </c>
      <c r="E1949" t="s">
        <v>30</v>
      </c>
      <c r="F1949">
        <v>0</v>
      </c>
    </row>
    <row r="1950" spans="1:13" x14ac:dyDescent="0.2">
      <c r="C1950" t="b">
        <v>0</v>
      </c>
      <c r="D1950">
        <v>110</v>
      </c>
      <c r="E1950" t="s">
        <v>30</v>
      </c>
      <c r="F1950">
        <v>0</v>
      </c>
    </row>
    <row r="1951" spans="1:13" x14ac:dyDescent="0.2">
      <c r="C1951" t="b">
        <v>0</v>
      </c>
      <c r="D1951">
        <v>140</v>
      </c>
      <c r="E1951" t="s">
        <v>30</v>
      </c>
      <c r="F1951">
        <v>0</v>
      </c>
    </row>
    <row r="1952" spans="1:13" x14ac:dyDescent="0.2">
      <c r="C1952" t="b">
        <v>0</v>
      </c>
      <c r="D1952">
        <v>170.01</v>
      </c>
      <c r="E1952" t="s">
        <v>30</v>
      </c>
      <c r="F1952">
        <v>0</v>
      </c>
    </row>
    <row r="1953" spans="2:13" x14ac:dyDescent="0.2">
      <c r="C1953" t="b">
        <v>0</v>
      </c>
      <c r="D1953">
        <v>130.01</v>
      </c>
      <c r="E1953" t="s">
        <v>30</v>
      </c>
      <c r="F1953">
        <v>0</v>
      </c>
    </row>
    <row r="1954" spans="2:13" x14ac:dyDescent="0.2">
      <c r="C1954" t="b">
        <v>0</v>
      </c>
      <c r="D1954">
        <v>140.01</v>
      </c>
      <c r="E1954" t="s">
        <v>30</v>
      </c>
      <c r="F1954">
        <v>0</v>
      </c>
    </row>
    <row r="1955" spans="2:13" x14ac:dyDescent="0.2">
      <c r="B1955" t="s">
        <v>11</v>
      </c>
    </row>
    <row r="1956" spans="2:13" x14ac:dyDescent="0.2">
      <c r="B1956" t="s">
        <v>12</v>
      </c>
      <c r="C1956" t="s">
        <v>13</v>
      </c>
      <c r="D1956" t="s">
        <v>14</v>
      </c>
      <c r="E1956" t="s">
        <v>15</v>
      </c>
      <c r="F1956" t="s">
        <v>16</v>
      </c>
      <c r="G1956" t="s">
        <v>17</v>
      </c>
      <c r="H1956" t="s">
        <v>18</v>
      </c>
      <c r="I1956" t="s">
        <v>19</v>
      </c>
      <c r="J1956" t="s">
        <v>20</v>
      </c>
      <c r="K1956" t="s">
        <v>21</v>
      </c>
      <c r="L1956" t="s">
        <v>22</v>
      </c>
      <c r="M1956" t="s">
        <v>23</v>
      </c>
    </row>
    <row r="1957" spans="2:13" x14ac:dyDescent="0.2">
      <c r="B1957" t="s">
        <v>31</v>
      </c>
      <c r="C1957">
        <v>45</v>
      </c>
      <c r="E1957" t="s">
        <v>25</v>
      </c>
      <c r="F1957">
        <v>897.2</v>
      </c>
      <c r="G1957">
        <v>7.2</v>
      </c>
      <c r="K1957">
        <v>0.1</v>
      </c>
      <c r="L1957">
        <v>7</v>
      </c>
      <c r="M1957">
        <v>86.9</v>
      </c>
    </row>
    <row r="1958" spans="2:13" x14ac:dyDescent="0.2">
      <c r="C1958" t="s">
        <v>27</v>
      </c>
    </row>
    <row r="1959" spans="2:13" x14ac:dyDescent="0.2">
      <c r="C1959" t="s">
        <v>28</v>
      </c>
      <c r="D1959" t="s">
        <v>16</v>
      </c>
      <c r="E1959" t="s">
        <v>29</v>
      </c>
      <c r="F1959" t="s">
        <v>18</v>
      </c>
    </row>
    <row r="1960" spans="2:13" x14ac:dyDescent="0.2">
      <c r="C1960" t="b">
        <v>0</v>
      </c>
      <c r="D1960">
        <v>810.05</v>
      </c>
      <c r="E1960" t="s">
        <v>30</v>
      </c>
    </row>
    <row r="1961" spans="2:13" x14ac:dyDescent="0.2">
      <c r="C1961" t="b">
        <v>0</v>
      </c>
      <c r="D1961">
        <v>910.06</v>
      </c>
      <c r="E1961" t="s">
        <v>30</v>
      </c>
    </row>
    <row r="1962" spans="2:13" x14ac:dyDescent="0.2">
      <c r="C1962" t="b">
        <v>0</v>
      </c>
      <c r="D1962">
        <v>890.06</v>
      </c>
      <c r="E1962" t="s">
        <v>30</v>
      </c>
    </row>
    <row r="1963" spans="2:13" x14ac:dyDescent="0.2">
      <c r="C1963" t="b">
        <v>0</v>
      </c>
      <c r="D1963">
        <v>820.05</v>
      </c>
      <c r="E1963" t="s">
        <v>30</v>
      </c>
    </row>
    <row r="1964" spans="2:13" x14ac:dyDescent="0.2">
      <c r="C1964" t="b">
        <v>0</v>
      </c>
      <c r="D1964">
        <v>980.07</v>
      </c>
      <c r="E1964" t="s">
        <v>30</v>
      </c>
    </row>
    <row r="1965" spans="2:13" x14ac:dyDescent="0.2">
      <c r="C1965" t="b">
        <v>0</v>
      </c>
      <c r="D1965">
        <v>910.06</v>
      </c>
      <c r="E1965" t="s">
        <v>30</v>
      </c>
    </row>
    <row r="1966" spans="2:13" x14ac:dyDescent="0.2">
      <c r="C1966" t="b">
        <v>0</v>
      </c>
      <c r="D1966">
        <v>960.06</v>
      </c>
      <c r="E1966" t="s">
        <v>30</v>
      </c>
    </row>
    <row r="1967" spans="2:13" x14ac:dyDescent="0.2">
      <c r="B1967" t="s">
        <v>11</v>
      </c>
    </row>
    <row r="1968" spans="2:13" x14ac:dyDescent="0.2">
      <c r="B1968" t="s">
        <v>12</v>
      </c>
      <c r="C1968" t="s">
        <v>13</v>
      </c>
      <c r="D1968" t="s">
        <v>14</v>
      </c>
      <c r="E1968" t="s">
        <v>15</v>
      </c>
      <c r="F1968" t="s">
        <v>16</v>
      </c>
      <c r="G1968" t="s">
        <v>17</v>
      </c>
      <c r="H1968" t="s">
        <v>18</v>
      </c>
      <c r="I1968" t="s">
        <v>19</v>
      </c>
      <c r="J1968" t="s">
        <v>20</v>
      </c>
      <c r="K1968" t="s">
        <v>21</v>
      </c>
      <c r="L1968" t="s">
        <v>22</v>
      </c>
      <c r="M1968" t="s">
        <v>23</v>
      </c>
    </row>
    <row r="1969" spans="2:13" x14ac:dyDescent="0.2">
      <c r="B1969" t="s">
        <v>32</v>
      </c>
      <c r="C1969">
        <v>72</v>
      </c>
      <c r="E1969" t="s">
        <v>25</v>
      </c>
      <c r="F1969">
        <v>705.76</v>
      </c>
      <c r="G1969">
        <v>14.1</v>
      </c>
      <c r="K1969">
        <v>0.1</v>
      </c>
      <c r="L1969">
        <v>7</v>
      </c>
      <c r="M1969">
        <v>94.6</v>
      </c>
    </row>
    <row r="1970" spans="2:13" x14ac:dyDescent="0.2">
      <c r="C1970" t="s">
        <v>27</v>
      </c>
    </row>
    <row r="1971" spans="2:13" x14ac:dyDescent="0.2">
      <c r="C1971" t="s">
        <v>28</v>
      </c>
      <c r="D1971" t="s">
        <v>16</v>
      </c>
      <c r="E1971" t="s">
        <v>29</v>
      </c>
      <c r="F1971" t="s">
        <v>18</v>
      </c>
    </row>
    <row r="1972" spans="2:13" x14ac:dyDescent="0.2">
      <c r="C1972" t="b">
        <v>0</v>
      </c>
      <c r="D1972">
        <v>770.05</v>
      </c>
      <c r="E1972" t="s">
        <v>30</v>
      </c>
    </row>
    <row r="1973" spans="2:13" x14ac:dyDescent="0.2">
      <c r="C1973" t="b">
        <v>0</v>
      </c>
      <c r="D1973">
        <v>640.04</v>
      </c>
      <c r="E1973" t="s">
        <v>30</v>
      </c>
    </row>
    <row r="1974" spans="2:13" x14ac:dyDescent="0.2">
      <c r="C1974" t="b">
        <v>0</v>
      </c>
      <c r="D1974">
        <v>600.04</v>
      </c>
      <c r="E1974" t="s">
        <v>30</v>
      </c>
    </row>
    <row r="1975" spans="2:13" x14ac:dyDescent="0.2">
      <c r="C1975" t="b">
        <v>0</v>
      </c>
      <c r="D1975">
        <v>720.04</v>
      </c>
      <c r="E1975" t="s">
        <v>30</v>
      </c>
    </row>
    <row r="1976" spans="2:13" x14ac:dyDescent="0.2">
      <c r="C1976" t="b">
        <v>0</v>
      </c>
      <c r="D1976">
        <v>580.03</v>
      </c>
      <c r="E1976" t="s">
        <v>30</v>
      </c>
    </row>
    <row r="1977" spans="2:13" x14ac:dyDescent="0.2">
      <c r="C1977" t="b">
        <v>0</v>
      </c>
      <c r="D1977">
        <v>810.06</v>
      </c>
      <c r="E1977" t="s">
        <v>30</v>
      </c>
    </row>
    <row r="1978" spans="2:13" x14ac:dyDescent="0.2">
      <c r="C1978" t="b">
        <v>0</v>
      </c>
      <c r="D1978">
        <v>820.06</v>
      </c>
      <c r="E1978" t="s">
        <v>30</v>
      </c>
    </row>
    <row r="1979" spans="2:13" x14ac:dyDescent="0.2">
      <c r="B1979" t="s">
        <v>11</v>
      </c>
    </row>
    <row r="1980" spans="2:13" x14ac:dyDescent="0.2">
      <c r="B1980" t="s">
        <v>12</v>
      </c>
      <c r="C1980" t="s">
        <v>13</v>
      </c>
      <c r="D1980" t="s">
        <v>14</v>
      </c>
      <c r="E1980" t="s">
        <v>15</v>
      </c>
      <c r="F1980" t="s">
        <v>16</v>
      </c>
      <c r="G1980" t="s">
        <v>17</v>
      </c>
      <c r="H1980" t="s">
        <v>18</v>
      </c>
      <c r="I1980" t="s">
        <v>19</v>
      </c>
      <c r="J1980" t="s">
        <v>20</v>
      </c>
      <c r="K1980" t="s">
        <v>21</v>
      </c>
      <c r="L1980" t="s">
        <v>22</v>
      </c>
      <c r="M1980" t="s">
        <v>23</v>
      </c>
    </row>
    <row r="1981" spans="2:13" x14ac:dyDescent="0.2">
      <c r="B1981" t="s">
        <v>33</v>
      </c>
      <c r="C1981">
        <v>89</v>
      </c>
      <c r="E1981" t="s">
        <v>25</v>
      </c>
      <c r="F1981">
        <v>3789.23</v>
      </c>
      <c r="G1981">
        <v>6.6</v>
      </c>
      <c r="K1981">
        <v>0.1</v>
      </c>
      <c r="L1981">
        <v>7</v>
      </c>
      <c r="M1981">
        <v>96.1</v>
      </c>
    </row>
    <row r="1982" spans="2:13" x14ac:dyDescent="0.2">
      <c r="C1982" t="s">
        <v>27</v>
      </c>
    </row>
    <row r="1983" spans="2:13" x14ac:dyDescent="0.2">
      <c r="C1983" t="s">
        <v>28</v>
      </c>
      <c r="D1983" t="s">
        <v>16</v>
      </c>
      <c r="E1983" t="s">
        <v>29</v>
      </c>
      <c r="F1983" t="s">
        <v>18</v>
      </c>
    </row>
    <row r="1984" spans="2:13" x14ac:dyDescent="0.2">
      <c r="C1984" t="b">
        <v>0</v>
      </c>
      <c r="D1984">
        <v>3440.56</v>
      </c>
      <c r="E1984" t="s">
        <v>30</v>
      </c>
    </row>
    <row r="1985" spans="1:13" x14ac:dyDescent="0.2">
      <c r="C1985" t="b">
        <v>0</v>
      </c>
      <c r="D1985">
        <v>3920.67</v>
      </c>
      <c r="E1985" t="s">
        <v>30</v>
      </c>
    </row>
    <row r="1986" spans="1:13" x14ac:dyDescent="0.2">
      <c r="C1986" t="b">
        <v>0</v>
      </c>
      <c r="D1986">
        <v>3620.59</v>
      </c>
      <c r="E1986" t="s">
        <v>30</v>
      </c>
    </row>
    <row r="1987" spans="1:13" x14ac:dyDescent="0.2">
      <c r="C1987" t="b">
        <v>0</v>
      </c>
      <c r="D1987">
        <v>3620.6</v>
      </c>
      <c r="E1987" t="s">
        <v>30</v>
      </c>
    </row>
    <row r="1988" spans="1:13" x14ac:dyDescent="0.2">
      <c r="C1988" t="b">
        <v>0</v>
      </c>
      <c r="D1988">
        <v>3740.65</v>
      </c>
      <c r="E1988" t="s">
        <v>30</v>
      </c>
    </row>
    <row r="1989" spans="1:13" x14ac:dyDescent="0.2">
      <c r="C1989" t="b">
        <v>0</v>
      </c>
      <c r="D1989">
        <v>4070.74</v>
      </c>
      <c r="E1989" t="s">
        <v>30</v>
      </c>
    </row>
    <row r="1990" spans="1:13" x14ac:dyDescent="0.2">
      <c r="C1990" t="b">
        <v>0</v>
      </c>
      <c r="D1990">
        <v>4110.78</v>
      </c>
      <c r="E1990" t="s">
        <v>30</v>
      </c>
    </row>
    <row r="1991" spans="1:13" x14ac:dyDescent="0.2">
      <c r="A1991" t="s">
        <v>0</v>
      </c>
    </row>
    <row r="1992" spans="1:13" x14ac:dyDescent="0.2"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6</v>
      </c>
    </row>
    <row r="1993" spans="1:13" x14ac:dyDescent="0.2">
      <c r="B1993" t="b">
        <v>0</v>
      </c>
      <c r="C1993" t="s">
        <v>154</v>
      </c>
      <c r="D1993" t="s">
        <v>155</v>
      </c>
      <c r="E1993" t="s">
        <v>0</v>
      </c>
      <c r="G1993" t="s">
        <v>156</v>
      </c>
    </row>
    <row r="1994" spans="1:13" x14ac:dyDescent="0.2">
      <c r="B1994" t="s">
        <v>11</v>
      </c>
    </row>
    <row r="1995" spans="1:13" x14ac:dyDescent="0.2">
      <c r="B1995" t="s">
        <v>12</v>
      </c>
      <c r="C1995" t="s">
        <v>13</v>
      </c>
      <c r="D1995" t="s">
        <v>14</v>
      </c>
      <c r="E1995" t="s">
        <v>15</v>
      </c>
      <c r="F1995" t="s">
        <v>16</v>
      </c>
      <c r="G1995" t="s">
        <v>17</v>
      </c>
      <c r="H1995" t="s">
        <v>18</v>
      </c>
      <c r="I1995" t="s">
        <v>19</v>
      </c>
      <c r="J1995" t="s">
        <v>20</v>
      </c>
      <c r="K1995" t="s">
        <v>21</v>
      </c>
      <c r="L1995" t="s">
        <v>22</v>
      </c>
      <c r="M1995" t="s">
        <v>23</v>
      </c>
    </row>
    <row r="1996" spans="1:13" x14ac:dyDescent="0.2">
      <c r="B1996" t="s">
        <v>24</v>
      </c>
      <c r="C1996">
        <v>59</v>
      </c>
      <c r="E1996" t="s">
        <v>25</v>
      </c>
      <c r="F1996">
        <v>1003312.89</v>
      </c>
      <c r="G1996">
        <v>0.4</v>
      </c>
      <c r="H1996">
        <v>0.44600000000000001</v>
      </c>
      <c r="I1996" t="s">
        <v>26</v>
      </c>
      <c r="J1996">
        <v>0.4</v>
      </c>
      <c r="K1996">
        <v>0.1</v>
      </c>
      <c r="L1996">
        <v>7</v>
      </c>
    </row>
    <row r="1997" spans="1:13" x14ac:dyDescent="0.2">
      <c r="C1997" t="s">
        <v>27</v>
      </c>
    </row>
    <row r="1998" spans="1:13" x14ac:dyDescent="0.2">
      <c r="C1998" t="s">
        <v>28</v>
      </c>
      <c r="D1998" t="s">
        <v>16</v>
      </c>
      <c r="E1998" t="s">
        <v>29</v>
      </c>
      <c r="F1998" t="s">
        <v>18</v>
      </c>
    </row>
    <row r="1999" spans="1:13" x14ac:dyDescent="0.2">
      <c r="C1999" t="b">
        <v>0</v>
      </c>
      <c r="D1999">
        <v>1007372.72</v>
      </c>
      <c r="E1999" t="s">
        <v>30</v>
      </c>
      <c r="F1999">
        <v>0.44800000000000001</v>
      </c>
    </row>
    <row r="2000" spans="1:13" x14ac:dyDescent="0.2">
      <c r="C2000" t="b">
        <v>0</v>
      </c>
      <c r="D2000">
        <v>1001106.24</v>
      </c>
      <c r="E2000" t="s">
        <v>30</v>
      </c>
      <c r="F2000">
        <v>0.44500000000000001</v>
      </c>
    </row>
    <row r="2001" spans="2:13" x14ac:dyDescent="0.2">
      <c r="C2001" t="b">
        <v>0</v>
      </c>
      <c r="D2001">
        <v>1003376.94</v>
      </c>
      <c r="E2001" t="s">
        <v>30</v>
      </c>
      <c r="F2001">
        <v>0.44600000000000001</v>
      </c>
    </row>
    <row r="2002" spans="2:13" x14ac:dyDescent="0.2">
      <c r="C2002" t="b">
        <v>0</v>
      </c>
      <c r="D2002">
        <v>1009284.2</v>
      </c>
      <c r="E2002" t="s">
        <v>30</v>
      </c>
      <c r="F2002">
        <v>0.44900000000000001</v>
      </c>
    </row>
    <row r="2003" spans="2:13" x14ac:dyDescent="0.2">
      <c r="C2003" t="b">
        <v>0</v>
      </c>
      <c r="D2003">
        <v>1000626</v>
      </c>
      <c r="E2003" t="s">
        <v>30</v>
      </c>
      <c r="F2003">
        <v>0.44500000000000001</v>
      </c>
    </row>
    <row r="2004" spans="2:13" x14ac:dyDescent="0.2">
      <c r="C2004" t="b">
        <v>0</v>
      </c>
      <c r="D2004">
        <v>1005300.38</v>
      </c>
      <c r="E2004" t="s">
        <v>30</v>
      </c>
      <c r="F2004">
        <v>0.44700000000000001</v>
      </c>
    </row>
    <row r="2005" spans="2:13" x14ac:dyDescent="0.2">
      <c r="C2005" t="b">
        <v>0</v>
      </c>
      <c r="D2005">
        <v>996123.74</v>
      </c>
      <c r="E2005" t="s">
        <v>30</v>
      </c>
      <c r="F2005">
        <v>0.443</v>
      </c>
    </row>
    <row r="2006" spans="2:13" x14ac:dyDescent="0.2">
      <c r="B2006" t="s">
        <v>11</v>
      </c>
    </row>
    <row r="2007" spans="2:13" x14ac:dyDescent="0.2">
      <c r="B2007" t="s">
        <v>12</v>
      </c>
      <c r="C2007" t="s">
        <v>13</v>
      </c>
      <c r="D2007" t="s">
        <v>14</v>
      </c>
      <c r="E2007" t="s">
        <v>15</v>
      </c>
      <c r="F2007" t="s">
        <v>16</v>
      </c>
      <c r="G2007" t="s">
        <v>17</v>
      </c>
      <c r="H2007" t="s">
        <v>18</v>
      </c>
      <c r="I2007" t="s">
        <v>19</v>
      </c>
      <c r="J2007" t="s">
        <v>20</v>
      </c>
      <c r="K2007" t="s">
        <v>21</v>
      </c>
      <c r="L2007" t="s">
        <v>22</v>
      </c>
      <c r="M2007" t="s">
        <v>23</v>
      </c>
    </row>
    <row r="2008" spans="2:13" x14ac:dyDescent="0.2">
      <c r="B2008" t="s">
        <v>31</v>
      </c>
      <c r="C2008">
        <v>45</v>
      </c>
      <c r="E2008" t="s">
        <v>25</v>
      </c>
      <c r="F2008">
        <v>1060.08</v>
      </c>
      <c r="G2008">
        <v>10.9</v>
      </c>
      <c r="K2008">
        <v>0.1</v>
      </c>
      <c r="L2008">
        <v>7</v>
      </c>
      <c r="M2008">
        <v>102.6</v>
      </c>
    </row>
    <row r="2009" spans="2:13" x14ac:dyDescent="0.2">
      <c r="C2009" t="s">
        <v>27</v>
      </c>
    </row>
    <row r="2010" spans="2:13" x14ac:dyDescent="0.2">
      <c r="C2010" t="s">
        <v>28</v>
      </c>
      <c r="D2010" t="s">
        <v>16</v>
      </c>
      <c r="E2010" t="s">
        <v>29</v>
      </c>
      <c r="F2010" t="s">
        <v>18</v>
      </c>
    </row>
    <row r="2011" spans="2:13" x14ac:dyDescent="0.2">
      <c r="C2011" t="b">
        <v>0</v>
      </c>
      <c r="D2011">
        <v>960.07</v>
      </c>
      <c r="E2011" t="s">
        <v>30</v>
      </c>
    </row>
    <row r="2012" spans="2:13" x14ac:dyDescent="0.2">
      <c r="C2012" t="b">
        <v>0</v>
      </c>
      <c r="D2012">
        <v>870.06</v>
      </c>
      <c r="E2012" t="s">
        <v>30</v>
      </c>
    </row>
    <row r="2013" spans="2:13" x14ac:dyDescent="0.2">
      <c r="C2013" t="b">
        <v>0</v>
      </c>
      <c r="D2013">
        <v>1160.0899999999999</v>
      </c>
      <c r="E2013" t="s">
        <v>30</v>
      </c>
    </row>
    <row r="2014" spans="2:13" x14ac:dyDescent="0.2">
      <c r="C2014" t="b">
        <v>0</v>
      </c>
      <c r="D2014">
        <v>1140.0899999999999</v>
      </c>
      <c r="E2014" t="s">
        <v>30</v>
      </c>
    </row>
    <row r="2015" spans="2:13" x14ac:dyDescent="0.2">
      <c r="C2015" t="b">
        <v>0</v>
      </c>
      <c r="D2015">
        <v>1000.07</v>
      </c>
      <c r="E2015" t="s">
        <v>30</v>
      </c>
    </row>
    <row r="2016" spans="2:13" x14ac:dyDescent="0.2">
      <c r="C2016" t="b">
        <v>0</v>
      </c>
      <c r="D2016">
        <v>1140.0899999999999</v>
      </c>
      <c r="E2016" t="s">
        <v>30</v>
      </c>
    </row>
    <row r="2017" spans="2:13" x14ac:dyDescent="0.2">
      <c r="C2017" t="b">
        <v>0</v>
      </c>
      <c r="D2017">
        <v>1150.0899999999999</v>
      </c>
      <c r="E2017" t="s">
        <v>30</v>
      </c>
    </row>
    <row r="2018" spans="2:13" x14ac:dyDescent="0.2">
      <c r="B2018" t="s">
        <v>11</v>
      </c>
    </row>
    <row r="2019" spans="2:13" x14ac:dyDescent="0.2">
      <c r="B2019" t="s">
        <v>12</v>
      </c>
      <c r="C2019" t="s">
        <v>13</v>
      </c>
      <c r="D2019" t="s">
        <v>14</v>
      </c>
      <c r="E2019" t="s">
        <v>15</v>
      </c>
      <c r="F2019" t="s">
        <v>16</v>
      </c>
      <c r="G2019" t="s">
        <v>17</v>
      </c>
      <c r="H2019" t="s">
        <v>18</v>
      </c>
      <c r="I2019" t="s">
        <v>19</v>
      </c>
      <c r="J2019" t="s">
        <v>20</v>
      </c>
      <c r="K2019" t="s">
        <v>21</v>
      </c>
      <c r="L2019" t="s">
        <v>22</v>
      </c>
      <c r="M2019" t="s">
        <v>23</v>
      </c>
    </row>
    <row r="2020" spans="2:13" x14ac:dyDescent="0.2">
      <c r="B2020" t="s">
        <v>32</v>
      </c>
      <c r="C2020">
        <v>72</v>
      </c>
      <c r="E2020" t="s">
        <v>25</v>
      </c>
      <c r="F2020">
        <v>838.63</v>
      </c>
      <c r="G2020">
        <v>11.5</v>
      </c>
      <c r="K2020">
        <v>0.1</v>
      </c>
      <c r="L2020">
        <v>7</v>
      </c>
      <c r="M2020">
        <v>112.5</v>
      </c>
    </row>
    <row r="2021" spans="2:13" x14ac:dyDescent="0.2">
      <c r="C2021" t="s">
        <v>27</v>
      </c>
    </row>
    <row r="2022" spans="2:13" x14ac:dyDescent="0.2">
      <c r="C2022" t="s">
        <v>28</v>
      </c>
      <c r="D2022" t="s">
        <v>16</v>
      </c>
      <c r="E2022" t="s">
        <v>29</v>
      </c>
      <c r="F2022" t="s">
        <v>18</v>
      </c>
    </row>
    <row r="2023" spans="2:13" x14ac:dyDescent="0.2">
      <c r="C2023" t="b">
        <v>0</v>
      </c>
      <c r="D2023">
        <v>840.06</v>
      </c>
      <c r="E2023" t="s">
        <v>30</v>
      </c>
    </row>
    <row r="2024" spans="2:13" x14ac:dyDescent="0.2">
      <c r="C2024" t="b">
        <v>0</v>
      </c>
      <c r="D2024">
        <v>820.05</v>
      </c>
      <c r="E2024" t="s">
        <v>30</v>
      </c>
    </row>
    <row r="2025" spans="2:13" x14ac:dyDescent="0.2">
      <c r="C2025" t="b">
        <v>0</v>
      </c>
      <c r="D2025">
        <v>790.06</v>
      </c>
      <c r="E2025" t="s">
        <v>30</v>
      </c>
    </row>
    <row r="2026" spans="2:13" x14ac:dyDescent="0.2">
      <c r="C2026" t="b">
        <v>0</v>
      </c>
      <c r="D2026">
        <v>940.06</v>
      </c>
      <c r="E2026" t="s">
        <v>30</v>
      </c>
    </row>
    <row r="2027" spans="2:13" x14ac:dyDescent="0.2">
      <c r="C2027" t="b">
        <v>0</v>
      </c>
      <c r="D2027">
        <v>780.05</v>
      </c>
      <c r="E2027" t="s">
        <v>30</v>
      </c>
    </row>
    <row r="2028" spans="2:13" x14ac:dyDescent="0.2">
      <c r="C2028" t="b">
        <v>0</v>
      </c>
      <c r="D2028">
        <v>990.07</v>
      </c>
      <c r="E2028" t="s">
        <v>30</v>
      </c>
    </row>
    <row r="2029" spans="2:13" x14ac:dyDescent="0.2">
      <c r="C2029" t="b">
        <v>0</v>
      </c>
      <c r="D2029">
        <v>710.05</v>
      </c>
      <c r="E2029" t="s">
        <v>30</v>
      </c>
    </row>
    <row r="2030" spans="2:13" x14ac:dyDescent="0.2">
      <c r="B2030" t="s">
        <v>11</v>
      </c>
    </row>
    <row r="2031" spans="2:13" x14ac:dyDescent="0.2">
      <c r="B2031" t="s">
        <v>12</v>
      </c>
      <c r="C2031" t="s">
        <v>13</v>
      </c>
      <c r="D2031" t="s">
        <v>14</v>
      </c>
      <c r="E2031" t="s">
        <v>15</v>
      </c>
      <c r="F2031" t="s">
        <v>16</v>
      </c>
      <c r="G2031" t="s">
        <v>17</v>
      </c>
      <c r="H2031" t="s">
        <v>18</v>
      </c>
      <c r="I2031" t="s">
        <v>19</v>
      </c>
      <c r="J2031" t="s">
        <v>20</v>
      </c>
      <c r="K2031" t="s">
        <v>21</v>
      </c>
      <c r="L2031" t="s">
        <v>22</v>
      </c>
      <c r="M2031" t="s">
        <v>23</v>
      </c>
    </row>
    <row r="2032" spans="2:13" x14ac:dyDescent="0.2">
      <c r="B2032" t="s">
        <v>33</v>
      </c>
      <c r="C2032">
        <v>89</v>
      </c>
      <c r="E2032" t="s">
        <v>25</v>
      </c>
      <c r="F2032">
        <v>4176.51</v>
      </c>
      <c r="G2032">
        <v>7.4</v>
      </c>
      <c r="K2032">
        <v>0.1</v>
      </c>
      <c r="L2032">
        <v>7</v>
      </c>
      <c r="M2032">
        <v>105.9</v>
      </c>
    </row>
    <row r="2033" spans="1:13" x14ac:dyDescent="0.2">
      <c r="C2033" t="s">
        <v>27</v>
      </c>
    </row>
    <row r="2034" spans="1:13" x14ac:dyDescent="0.2">
      <c r="C2034" t="s">
        <v>28</v>
      </c>
      <c r="D2034" t="s">
        <v>16</v>
      </c>
      <c r="E2034" t="s">
        <v>29</v>
      </c>
      <c r="F2034" t="s">
        <v>18</v>
      </c>
    </row>
    <row r="2035" spans="1:13" x14ac:dyDescent="0.2">
      <c r="C2035" t="b">
        <v>0</v>
      </c>
      <c r="D2035">
        <v>3550.6</v>
      </c>
      <c r="E2035" t="s">
        <v>30</v>
      </c>
    </row>
    <row r="2036" spans="1:13" x14ac:dyDescent="0.2">
      <c r="C2036" t="b">
        <v>0</v>
      </c>
      <c r="D2036">
        <v>4100.76</v>
      </c>
      <c r="E2036" t="s">
        <v>30</v>
      </c>
    </row>
    <row r="2037" spans="1:13" x14ac:dyDescent="0.2">
      <c r="C2037" t="b">
        <v>0</v>
      </c>
      <c r="D2037">
        <v>4280.83</v>
      </c>
      <c r="E2037" t="s">
        <v>30</v>
      </c>
    </row>
    <row r="2038" spans="1:13" x14ac:dyDescent="0.2">
      <c r="C2038" t="b">
        <v>0</v>
      </c>
      <c r="D2038">
        <v>4100.71</v>
      </c>
      <c r="E2038" t="s">
        <v>30</v>
      </c>
    </row>
    <row r="2039" spans="1:13" x14ac:dyDescent="0.2">
      <c r="C2039" t="b">
        <v>0</v>
      </c>
      <c r="D2039">
        <v>4410.8999999999996</v>
      </c>
      <c r="E2039" t="s">
        <v>30</v>
      </c>
    </row>
    <row r="2040" spans="1:13" x14ac:dyDescent="0.2">
      <c r="C2040" t="b">
        <v>0</v>
      </c>
      <c r="D2040">
        <v>4350.87</v>
      </c>
      <c r="E2040" t="s">
        <v>30</v>
      </c>
    </row>
    <row r="2041" spans="1:13" x14ac:dyDescent="0.2">
      <c r="C2041" t="b">
        <v>0</v>
      </c>
      <c r="D2041">
        <v>4440.87</v>
      </c>
      <c r="E2041" t="s">
        <v>30</v>
      </c>
    </row>
    <row r="2042" spans="1:13" x14ac:dyDescent="0.2">
      <c r="A2042" t="s">
        <v>0</v>
      </c>
    </row>
    <row r="2043" spans="1:13" x14ac:dyDescent="0.2"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t="s">
        <v>6</v>
      </c>
    </row>
    <row r="2044" spans="1:13" x14ac:dyDescent="0.2">
      <c r="A2044" t="s">
        <v>157</v>
      </c>
      <c r="B2044" t="b">
        <v>0</v>
      </c>
      <c r="C2044" t="s">
        <v>158</v>
      </c>
      <c r="D2044" t="s">
        <v>159</v>
      </c>
      <c r="E2044" t="s">
        <v>0</v>
      </c>
      <c r="G2044" t="s">
        <v>160</v>
      </c>
    </row>
    <row r="2045" spans="1:13" x14ac:dyDescent="0.2">
      <c r="B2045" t="s">
        <v>11</v>
      </c>
    </row>
    <row r="2046" spans="1:13" x14ac:dyDescent="0.2">
      <c r="B2046" t="s">
        <v>12</v>
      </c>
      <c r="C2046" t="s">
        <v>13</v>
      </c>
      <c r="D2046" t="s">
        <v>14</v>
      </c>
      <c r="E2046" t="s">
        <v>15</v>
      </c>
      <c r="F2046" t="s">
        <v>16</v>
      </c>
      <c r="G2046" t="s">
        <v>17</v>
      </c>
      <c r="H2046" t="s">
        <v>18</v>
      </c>
      <c r="I2046" t="s">
        <v>19</v>
      </c>
      <c r="J2046" t="s">
        <v>20</v>
      </c>
      <c r="K2046" t="s">
        <v>21</v>
      </c>
      <c r="L2046" t="s">
        <v>22</v>
      </c>
      <c r="M2046" t="s">
        <v>23</v>
      </c>
    </row>
    <row r="2047" spans="1:13" x14ac:dyDescent="0.2">
      <c r="B2047" t="s">
        <v>24</v>
      </c>
      <c r="C2047">
        <v>59</v>
      </c>
      <c r="E2047" t="s">
        <v>25</v>
      </c>
      <c r="F2047">
        <v>1131268.1299999999</v>
      </c>
      <c r="G2047">
        <v>0.9</v>
      </c>
      <c r="H2047">
        <v>0.503</v>
      </c>
      <c r="I2047" t="s">
        <v>26</v>
      </c>
      <c r="J2047">
        <v>0.9</v>
      </c>
      <c r="K2047">
        <v>0.1</v>
      </c>
      <c r="L2047">
        <v>7</v>
      </c>
    </row>
    <row r="2048" spans="1:13" x14ac:dyDescent="0.2">
      <c r="C2048" t="s">
        <v>27</v>
      </c>
    </row>
    <row r="2049" spans="2:13" x14ac:dyDescent="0.2">
      <c r="C2049" t="s">
        <v>28</v>
      </c>
      <c r="D2049" t="s">
        <v>16</v>
      </c>
      <c r="E2049" t="s">
        <v>29</v>
      </c>
      <c r="F2049" t="s">
        <v>18</v>
      </c>
    </row>
    <row r="2050" spans="2:13" x14ac:dyDescent="0.2">
      <c r="C2050" t="b">
        <v>0</v>
      </c>
      <c r="D2050">
        <v>1124551.31</v>
      </c>
      <c r="E2050" t="s">
        <v>30</v>
      </c>
      <c r="F2050">
        <v>0.5</v>
      </c>
    </row>
    <row r="2051" spans="2:13" x14ac:dyDescent="0.2">
      <c r="C2051" t="b">
        <v>0</v>
      </c>
      <c r="D2051">
        <v>1124300.06</v>
      </c>
      <c r="E2051" t="s">
        <v>30</v>
      </c>
      <c r="F2051">
        <v>0.5</v>
      </c>
    </row>
    <row r="2052" spans="2:13" x14ac:dyDescent="0.2">
      <c r="C2052" t="b">
        <v>0</v>
      </c>
      <c r="D2052">
        <v>1126957.8</v>
      </c>
      <c r="E2052" t="s">
        <v>30</v>
      </c>
      <c r="F2052">
        <v>0.501</v>
      </c>
    </row>
    <row r="2053" spans="2:13" x14ac:dyDescent="0.2">
      <c r="C2053" t="b">
        <v>0</v>
      </c>
      <c r="D2053">
        <v>1144657.0900000001</v>
      </c>
      <c r="E2053" t="s">
        <v>30</v>
      </c>
      <c r="F2053">
        <v>0.50900000000000001</v>
      </c>
    </row>
    <row r="2054" spans="2:13" x14ac:dyDescent="0.2">
      <c r="C2054" t="b">
        <v>0</v>
      </c>
      <c r="D2054">
        <v>1118100.1399999999</v>
      </c>
      <c r="E2054" t="s">
        <v>30</v>
      </c>
      <c r="F2054">
        <v>0.497</v>
      </c>
    </row>
    <row r="2055" spans="2:13" x14ac:dyDescent="0.2">
      <c r="C2055" t="b">
        <v>0</v>
      </c>
      <c r="D2055">
        <v>1141832.8700000001</v>
      </c>
      <c r="E2055" t="s">
        <v>30</v>
      </c>
      <c r="F2055">
        <v>0.50800000000000001</v>
      </c>
    </row>
    <row r="2056" spans="2:13" x14ac:dyDescent="0.2">
      <c r="C2056" t="b">
        <v>0</v>
      </c>
      <c r="D2056">
        <v>1138477.6399999999</v>
      </c>
      <c r="E2056" t="s">
        <v>30</v>
      </c>
      <c r="F2056">
        <v>0.50600000000000001</v>
      </c>
    </row>
    <row r="2057" spans="2:13" x14ac:dyDescent="0.2">
      <c r="B2057" t="s">
        <v>11</v>
      </c>
    </row>
    <row r="2058" spans="2:13" x14ac:dyDescent="0.2">
      <c r="B2058" t="s">
        <v>12</v>
      </c>
      <c r="C2058" t="s">
        <v>13</v>
      </c>
      <c r="D2058" t="s">
        <v>14</v>
      </c>
      <c r="E2058" t="s">
        <v>15</v>
      </c>
      <c r="F2058" t="s">
        <v>16</v>
      </c>
      <c r="G2058" t="s">
        <v>17</v>
      </c>
      <c r="H2058" t="s">
        <v>18</v>
      </c>
      <c r="I2058" t="s">
        <v>19</v>
      </c>
      <c r="J2058" t="s">
        <v>20</v>
      </c>
      <c r="K2058" t="s">
        <v>21</v>
      </c>
      <c r="L2058" t="s">
        <v>22</v>
      </c>
      <c r="M2058" t="s">
        <v>23</v>
      </c>
    </row>
    <row r="2059" spans="2:13" x14ac:dyDescent="0.2">
      <c r="B2059" t="s">
        <v>31</v>
      </c>
      <c r="C2059">
        <v>45</v>
      </c>
      <c r="E2059" t="s">
        <v>25</v>
      </c>
      <c r="F2059">
        <v>1287.24</v>
      </c>
      <c r="G2059">
        <v>8.8000000000000007</v>
      </c>
      <c r="K2059">
        <v>0.1</v>
      </c>
      <c r="L2059">
        <v>7</v>
      </c>
      <c r="M2059">
        <v>124.6</v>
      </c>
    </row>
    <row r="2060" spans="2:13" x14ac:dyDescent="0.2">
      <c r="C2060" t="s">
        <v>27</v>
      </c>
    </row>
    <row r="2061" spans="2:13" x14ac:dyDescent="0.2">
      <c r="C2061" t="s">
        <v>28</v>
      </c>
      <c r="D2061" t="s">
        <v>16</v>
      </c>
      <c r="E2061" t="s">
        <v>29</v>
      </c>
      <c r="F2061" t="s">
        <v>18</v>
      </c>
    </row>
    <row r="2062" spans="2:13" x14ac:dyDescent="0.2">
      <c r="C2062" t="b">
        <v>0</v>
      </c>
      <c r="D2062">
        <v>1280.1099999999999</v>
      </c>
      <c r="E2062" t="s">
        <v>30</v>
      </c>
    </row>
    <row r="2063" spans="2:13" x14ac:dyDescent="0.2">
      <c r="C2063" t="b">
        <v>0</v>
      </c>
      <c r="D2063">
        <v>1400.12</v>
      </c>
      <c r="E2063" t="s">
        <v>30</v>
      </c>
    </row>
    <row r="2064" spans="2:13" x14ac:dyDescent="0.2">
      <c r="C2064" t="b">
        <v>0</v>
      </c>
      <c r="D2064">
        <v>1360.11</v>
      </c>
      <c r="E2064" t="s">
        <v>30</v>
      </c>
    </row>
    <row r="2065" spans="2:13" x14ac:dyDescent="0.2">
      <c r="C2065" t="b">
        <v>0</v>
      </c>
      <c r="D2065">
        <v>1180.08</v>
      </c>
      <c r="E2065" t="s">
        <v>30</v>
      </c>
    </row>
    <row r="2066" spans="2:13" x14ac:dyDescent="0.2">
      <c r="C2066" t="b">
        <v>0</v>
      </c>
      <c r="D2066">
        <v>1090.08</v>
      </c>
      <c r="E2066" t="s">
        <v>30</v>
      </c>
    </row>
    <row r="2067" spans="2:13" x14ac:dyDescent="0.2">
      <c r="C2067" t="b">
        <v>0</v>
      </c>
      <c r="D2067">
        <v>1350.1</v>
      </c>
      <c r="E2067" t="s">
        <v>30</v>
      </c>
    </row>
    <row r="2068" spans="2:13" x14ac:dyDescent="0.2">
      <c r="C2068" t="b">
        <v>0</v>
      </c>
      <c r="D2068">
        <v>1350.1</v>
      </c>
      <c r="E2068" t="s">
        <v>30</v>
      </c>
    </row>
    <row r="2069" spans="2:13" x14ac:dyDescent="0.2">
      <c r="B2069" t="s">
        <v>11</v>
      </c>
    </row>
    <row r="2070" spans="2:13" x14ac:dyDescent="0.2">
      <c r="B2070" t="s">
        <v>12</v>
      </c>
      <c r="C2070" t="s">
        <v>13</v>
      </c>
      <c r="D2070" t="s">
        <v>14</v>
      </c>
      <c r="E2070" t="s">
        <v>15</v>
      </c>
      <c r="F2070" t="s">
        <v>16</v>
      </c>
      <c r="G2070" t="s">
        <v>17</v>
      </c>
      <c r="H2070" t="s">
        <v>18</v>
      </c>
      <c r="I2070" t="s">
        <v>19</v>
      </c>
      <c r="J2070" t="s">
        <v>20</v>
      </c>
      <c r="K2070" t="s">
        <v>21</v>
      </c>
      <c r="L2070" t="s">
        <v>22</v>
      </c>
      <c r="M2070" t="s">
        <v>23</v>
      </c>
    </row>
    <row r="2071" spans="2:13" x14ac:dyDescent="0.2">
      <c r="B2071" t="s">
        <v>32</v>
      </c>
      <c r="C2071">
        <v>72</v>
      </c>
      <c r="E2071" t="s">
        <v>25</v>
      </c>
      <c r="F2071">
        <v>828.63</v>
      </c>
      <c r="G2071">
        <v>12.3</v>
      </c>
      <c r="K2071">
        <v>0.1</v>
      </c>
      <c r="L2071">
        <v>7</v>
      </c>
      <c r="M2071">
        <v>111.1</v>
      </c>
    </row>
    <row r="2072" spans="2:13" x14ac:dyDescent="0.2">
      <c r="C2072" t="s">
        <v>27</v>
      </c>
    </row>
    <row r="2073" spans="2:13" x14ac:dyDescent="0.2">
      <c r="C2073" t="s">
        <v>28</v>
      </c>
      <c r="D2073" t="s">
        <v>16</v>
      </c>
      <c r="E2073" t="s">
        <v>29</v>
      </c>
      <c r="F2073" t="s">
        <v>18</v>
      </c>
    </row>
    <row r="2074" spans="2:13" x14ac:dyDescent="0.2">
      <c r="C2074" t="b">
        <v>0</v>
      </c>
      <c r="D2074">
        <v>700.04</v>
      </c>
      <c r="E2074" t="s">
        <v>30</v>
      </c>
    </row>
    <row r="2075" spans="2:13" x14ac:dyDescent="0.2">
      <c r="C2075" t="b">
        <v>0</v>
      </c>
      <c r="D2075">
        <v>790.05</v>
      </c>
      <c r="E2075" t="s">
        <v>30</v>
      </c>
    </row>
    <row r="2076" spans="2:13" x14ac:dyDescent="0.2">
      <c r="C2076" t="b">
        <v>0</v>
      </c>
      <c r="D2076">
        <v>760.04</v>
      </c>
      <c r="E2076" t="s">
        <v>30</v>
      </c>
    </row>
    <row r="2077" spans="2:13" x14ac:dyDescent="0.2">
      <c r="C2077" t="b">
        <v>0</v>
      </c>
      <c r="D2077">
        <v>940.06</v>
      </c>
      <c r="E2077" t="s">
        <v>30</v>
      </c>
    </row>
    <row r="2078" spans="2:13" x14ac:dyDescent="0.2">
      <c r="C2078" t="b">
        <v>0</v>
      </c>
      <c r="D2078">
        <v>820.06</v>
      </c>
      <c r="E2078" t="s">
        <v>30</v>
      </c>
    </row>
    <row r="2079" spans="2:13" x14ac:dyDescent="0.2">
      <c r="C2079" t="b">
        <v>0</v>
      </c>
      <c r="D2079">
        <v>800.06</v>
      </c>
      <c r="E2079" t="s">
        <v>30</v>
      </c>
    </row>
    <row r="2080" spans="2:13" x14ac:dyDescent="0.2">
      <c r="C2080" t="b">
        <v>0</v>
      </c>
      <c r="D2080">
        <v>990.07</v>
      </c>
      <c r="E2080" t="s">
        <v>30</v>
      </c>
    </row>
    <row r="2081" spans="1:13" x14ac:dyDescent="0.2">
      <c r="B2081" t="s">
        <v>11</v>
      </c>
    </row>
    <row r="2082" spans="1:13" x14ac:dyDescent="0.2">
      <c r="B2082" t="s">
        <v>12</v>
      </c>
      <c r="C2082" t="s">
        <v>13</v>
      </c>
      <c r="D2082" t="s">
        <v>14</v>
      </c>
      <c r="E2082" t="s">
        <v>15</v>
      </c>
      <c r="F2082" t="s">
        <v>16</v>
      </c>
      <c r="G2082" t="s">
        <v>17</v>
      </c>
      <c r="H2082" t="s">
        <v>18</v>
      </c>
      <c r="I2082" t="s">
        <v>19</v>
      </c>
      <c r="J2082" t="s">
        <v>20</v>
      </c>
      <c r="K2082" t="s">
        <v>21</v>
      </c>
      <c r="L2082" t="s">
        <v>22</v>
      </c>
      <c r="M2082" t="s">
        <v>23</v>
      </c>
    </row>
    <row r="2083" spans="1:13" x14ac:dyDescent="0.2">
      <c r="B2083" t="s">
        <v>33</v>
      </c>
      <c r="C2083">
        <v>89</v>
      </c>
      <c r="E2083" t="s">
        <v>25</v>
      </c>
      <c r="F2083">
        <v>4538.0600000000004</v>
      </c>
      <c r="G2083">
        <v>3.4</v>
      </c>
      <c r="K2083">
        <v>0.1</v>
      </c>
      <c r="L2083">
        <v>7</v>
      </c>
      <c r="M2083">
        <v>115</v>
      </c>
    </row>
    <row r="2084" spans="1:13" x14ac:dyDescent="0.2">
      <c r="C2084" t="s">
        <v>27</v>
      </c>
    </row>
    <row r="2085" spans="1:13" x14ac:dyDescent="0.2">
      <c r="C2085" t="s">
        <v>28</v>
      </c>
      <c r="D2085" t="s">
        <v>16</v>
      </c>
      <c r="E2085" t="s">
        <v>29</v>
      </c>
      <c r="F2085" t="s">
        <v>18</v>
      </c>
    </row>
    <row r="2086" spans="1:13" x14ac:dyDescent="0.2">
      <c r="C2086" t="b">
        <v>0</v>
      </c>
      <c r="D2086">
        <v>4380.8599999999997</v>
      </c>
      <c r="E2086" t="s">
        <v>30</v>
      </c>
    </row>
    <row r="2087" spans="1:13" x14ac:dyDescent="0.2">
      <c r="C2087" t="b">
        <v>0</v>
      </c>
      <c r="D2087">
        <v>4510.91</v>
      </c>
      <c r="E2087" t="s">
        <v>30</v>
      </c>
    </row>
    <row r="2088" spans="1:13" x14ac:dyDescent="0.2">
      <c r="C2088" t="b">
        <v>0</v>
      </c>
      <c r="D2088">
        <v>4460.8999999999996</v>
      </c>
      <c r="E2088" t="s">
        <v>30</v>
      </c>
    </row>
    <row r="2089" spans="1:13" x14ac:dyDescent="0.2">
      <c r="C2089" t="b">
        <v>0</v>
      </c>
      <c r="D2089">
        <v>4680.9399999999996</v>
      </c>
      <c r="E2089" t="s">
        <v>30</v>
      </c>
    </row>
    <row r="2090" spans="1:13" x14ac:dyDescent="0.2">
      <c r="C2090" t="b">
        <v>0</v>
      </c>
      <c r="D2090">
        <v>4811</v>
      </c>
      <c r="E2090" t="s">
        <v>30</v>
      </c>
    </row>
    <row r="2091" spans="1:13" x14ac:dyDescent="0.2">
      <c r="C2091" t="b">
        <v>0</v>
      </c>
      <c r="D2091">
        <v>4440.92</v>
      </c>
      <c r="E2091" t="s">
        <v>30</v>
      </c>
    </row>
    <row r="2092" spans="1:13" x14ac:dyDescent="0.2">
      <c r="C2092" t="b">
        <v>0</v>
      </c>
      <c r="D2092">
        <v>4480.8999999999996</v>
      </c>
      <c r="E2092" t="s">
        <v>30</v>
      </c>
    </row>
    <row r="2093" spans="1:13" x14ac:dyDescent="0.2">
      <c r="A2093" t="s">
        <v>0</v>
      </c>
    </row>
    <row r="2094" spans="1:13" x14ac:dyDescent="0.2"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t="s">
        <v>6</v>
      </c>
    </row>
    <row r="2095" spans="1:13" x14ac:dyDescent="0.2">
      <c r="B2095" t="b">
        <v>0</v>
      </c>
      <c r="C2095" t="s">
        <v>161</v>
      </c>
      <c r="D2095" t="s">
        <v>162</v>
      </c>
      <c r="E2095" t="s">
        <v>0</v>
      </c>
      <c r="G2095" t="s">
        <v>163</v>
      </c>
    </row>
    <row r="2096" spans="1:13" x14ac:dyDescent="0.2">
      <c r="B2096" t="s">
        <v>11</v>
      </c>
    </row>
    <row r="2097" spans="2:13" x14ac:dyDescent="0.2">
      <c r="B2097" t="s">
        <v>12</v>
      </c>
      <c r="C2097" t="s">
        <v>13</v>
      </c>
      <c r="D2097" t="s">
        <v>14</v>
      </c>
      <c r="E2097" t="s">
        <v>15</v>
      </c>
      <c r="F2097" t="s">
        <v>16</v>
      </c>
      <c r="G2097" t="s">
        <v>17</v>
      </c>
      <c r="H2097" t="s">
        <v>18</v>
      </c>
      <c r="I2097" t="s">
        <v>19</v>
      </c>
      <c r="J2097" t="s">
        <v>20</v>
      </c>
      <c r="K2097" t="s">
        <v>21</v>
      </c>
      <c r="L2097" t="s">
        <v>22</v>
      </c>
      <c r="M2097" t="s">
        <v>23</v>
      </c>
    </row>
    <row r="2098" spans="2:13" x14ac:dyDescent="0.2">
      <c r="B2098" t="s">
        <v>24</v>
      </c>
      <c r="C2098">
        <v>59</v>
      </c>
      <c r="E2098" t="s">
        <v>25</v>
      </c>
      <c r="F2098">
        <v>1053217.02</v>
      </c>
      <c r="G2098">
        <v>1</v>
      </c>
      <c r="H2098">
        <v>0.46800000000000003</v>
      </c>
      <c r="I2098" t="s">
        <v>26</v>
      </c>
      <c r="J2098">
        <v>1</v>
      </c>
      <c r="K2098">
        <v>0.1</v>
      </c>
      <c r="L2098">
        <v>7</v>
      </c>
    </row>
    <row r="2099" spans="2:13" x14ac:dyDescent="0.2">
      <c r="C2099" t="s">
        <v>27</v>
      </c>
    </row>
    <row r="2100" spans="2:13" x14ac:dyDescent="0.2">
      <c r="C2100" t="s">
        <v>28</v>
      </c>
      <c r="D2100" t="s">
        <v>16</v>
      </c>
      <c r="E2100" t="s">
        <v>29</v>
      </c>
      <c r="F2100" t="s">
        <v>18</v>
      </c>
    </row>
    <row r="2101" spans="2:13" x14ac:dyDescent="0.2">
      <c r="C2101" t="b">
        <v>0</v>
      </c>
      <c r="D2101">
        <v>1061849.05</v>
      </c>
      <c r="E2101" t="s">
        <v>30</v>
      </c>
      <c r="F2101">
        <v>0.47199999999999998</v>
      </c>
    </row>
    <row r="2102" spans="2:13" x14ac:dyDescent="0.2">
      <c r="C2102" t="b">
        <v>0</v>
      </c>
      <c r="D2102">
        <v>1069581.78</v>
      </c>
      <c r="E2102" t="s">
        <v>30</v>
      </c>
      <c r="F2102">
        <v>0.47599999999999998</v>
      </c>
    </row>
    <row r="2103" spans="2:13" x14ac:dyDescent="0.2">
      <c r="C2103" t="b">
        <v>0</v>
      </c>
      <c r="D2103">
        <v>1053388.73</v>
      </c>
      <c r="E2103" t="s">
        <v>30</v>
      </c>
      <c r="F2103">
        <v>0.46899999999999997</v>
      </c>
    </row>
    <row r="2104" spans="2:13" x14ac:dyDescent="0.2">
      <c r="C2104" t="b">
        <v>0</v>
      </c>
      <c r="D2104">
        <v>1052697.95</v>
      </c>
      <c r="E2104" t="s">
        <v>30</v>
      </c>
      <c r="F2104">
        <v>0.46800000000000003</v>
      </c>
    </row>
    <row r="2105" spans="2:13" x14ac:dyDescent="0.2">
      <c r="C2105" t="b">
        <v>0</v>
      </c>
      <c r="D2105">
        <v>1049419.75</v>
      </c>
      <c r="E2105" t="s">
        <v>30</v>
      </c>
      <c r="F2105">
        <v>0.46700000000000003</v>
      </c>
    </row>
    <row r="2106" spans="2:13" x14ac:dyDescent="0.2">
      <c r="C2106" t="b">
        <v>0</v>
      </c>
      <c r="D2106">
        <v>1038245.69</v>
      </c>
      <c r="E2106" t="s">
        <v>30</v>
      </c>
      <c r="F2106">
        <v>0.46200000000000002</v>
      </c>
    </row>
    <row r="2107" spans="2:13" x14ac:dyDescent="0.2">
      <c r="C2107" t="b">
        <v>0</v>
      </c>
      <c r="D2107">
        <v>1047336.16</v>
      </c>
      <c r="E2107" t="s">
        <v>30</v>
      </c>
      <c r="F2107">
        <v>0.46600000000000003</v>
      </c>
    </row>
    <row r="2108" spans="2:13" x14ac:dyDescent="0.2">
      <c r="B2108" t="s">
        <v>11</v>
      </c>
    </row>
    <row r="2109" spans="2:13" x14ac:dyDescent="0.2">
      <c r="B2109" t="s">
        <v>12</v>
      </c>
      <c r="C2109" t="s">
        <v>13</v>
      </c>
      <c r="D2109" t="s">
        <v>14</v>
      </c>
      <c r="E2109" t="s">
        <v>15</v>
      </c>
      <c r="F2109" t="s">
        <v>16</v>
      </c>
      <c r="G2109" t="s">
        <v>17</v>
      </c>
      <c r="H2109" t="s">
        <v>18</v>
      </c>
      <c r="I2109" t="s">
        <v>19</v>
      </c>
      <c r="J2109" t="s">
        <v>20</v>
      </c>
      <c r="K2109" t="s">
        <v>21</v>
      </c>
      <c r="L2109" t="s">
        <v>22</v>
      </c>
      <c r="M2109" t="s">
        <v>23</v>
      </c>
    </row>
    <row r="2110" spans="2:13" x14ac:dyDescent="0.2">
      <c r="B2110" t="s">
        <v>31</v>
      </c>
      <c r="C2110">
        <v>45</v>
      </c>
      <c r="E2110" t="s">
        <v>25</v>
      </c>
      <c r="F2110">
        <v>872.92</v>
      </c>
      <c r="G2110">
        <v>11.5</v>
      </c>
      <c r="K2110">
        <v>0.1</v>
      </c>
      <c r="L2110">
        <v>7</v>
      </c>
      <c r="M2110">
        <v>84.5</v>
      </c>
    </row>
    <row r="2111" spans="2:13" x14ac:dyDescent="0.2">
      <c r="C2111" t="s">
        <v>27</v>
      </c>
    </row>
    <row r="2112" spans="2:13" x14ac:dyDescent="0.2">
      <c r="C2112" t="s">
        <v>28</v>
      </c>
      <c r="D2112" t="s">
        <v>16</v>
      </c>
      <c r="E2112" t="s">
        <v>29</v>
      </c>
      <c r="F2112" t="s">
        <v>18</v>
      </c>
    </row>
    <row r="2113" spans="2:13" x14ac:dyDescent="0.2">
      <c r="C2113" t="b">
        <v>0</v>
      </c>
      <c r="D2113">
        <v>720.05</v>
      </c>
      <c r="E2113" t="s">
        <v>30</v>
      </c>
    </row>
    <row r="2114" spans="2:13" x14ac:dyDescent="0.2">
      <c r="C2114" t="b">
        <v>0</v>
      </c>
      <c r="D2114">
        <v>980.07</v>
      </c>
      <c r="E2114" t="s">
        <v>30</v>
      </c>
    </row>
    <row r="2115" spans="2:13" x14ac:dyDescent="0.2">
      <c r="C2115" t="b">
        <v>0</v>
      </c>
      <c r="D2115">
        <v>990.07</v>
      </c>
      <c r="E2115" t="s">
        <v>30</v>
      </c>
    </row>
    <row r="2116" spans="2:13" x14ac:dyDescent="0.2">
      <c r="C2116" t="b">
        <v>0</v>
      </c>
      <c r="D2116">
        <v>780.05</v>
      </c>
      <c r="E2116" t="s">
        <v>30</v>
      </c>
    </row>
    <row r="2117" spans="2:13" x14ac:dyDescent="0.2">
      <c r="C2117" t="b">
        <v>0</v>
      </c>
      <c r="D2117">
        <v>910.07</v>
      </c>
      <c r="E2117" t="s">
        <v>30</v>
      </c>
    </row>
    <row r="2118" spans="2:13" x14ac:dyDescent="0.2">
      <c r="C2118" t="b">
        <v>0</v>
      </c>
      <c r="D2118">
        <v>890.06</v>
      </c>
      <c r="E2118" t="s">
        <v>30</v>
      </c>
    </row>
    <row r="2119" spans="2:13" x14ac:dyDescent="0.2">
      <c r="C2119" t="b">
        <v>0</v>
      </c>
      <c r="D2119">
        <v>840.06</v>
      </c>
      <c r="E2119" t="s">
        <v>30</v>
      </c>
    </row>
    <row r="2120" spans="2:13" x14ac:dyDescent="0.2">
      <c r="B2120" t="s">
        <v>11</v>
      </c>
    </row>
    <row r="2121" spans="2:13" x14ac:dyDescent="0.2">
      <c r="B2121" t="s">
        <v>12</v>
      </c>
      <c r="C2121" t="s">
        <v>13</v>
      </c>
      <c r="D2121" t="s">
        <v>14</v>
      </c>
      <c r="E2121" t="s">
        <v>15</v>
      </c>
      <c r="F2121" t="s">
        <v>16</v>
      </c>
      <c r="G2121" t="s">
        <v>17</v>
      </c>
      <c r="H2121" t="s">
        <v>18</v>
      </c>
      <c r="I2121" t="s">
        <v>19</v>
      </c>
      <c r="J2121" t="s">
        <v>20</v>
      </c>
      <c r="K2121" t="s">
        <v>21</v>
      </c>
      <c r="L2121" t="s">
        <v>22</v>
      </c>
      <c r="M2121" t="s">
        <v>23</v>
      </c>
    </row>
    <row r="2122" spans="2:13" x14ac:dyDescent="0.2">
      <c r="B2122" t="s">
        <v>32</v>
      </c>
      <c r="C2122">
        <v>72</v>
      </c>
      <c r="E2122" t="s">
        <v>25</v>
      </c>
      <c r="F2122">
        <v>760.05</v>
      </c>
      <c r="G2122">
        <v>6.5</v>
      </c>
      <c r="K2122">
        <v>0.1</v>
      </c>
      <c r="L2122">
        <v>7</v>
      </c>
      <c r="M2122">
        <v>101.9</v>
      </c>
    </row>
    <row r="2123" spans="2:13" x14ac:dyDescent="0.2">
      <c r="C2123" t="s">
        <v>27</v>
      </c>
    </row>
    <row r="2124" spans="2:13" x14ac:dyDescent="0.2">
      <c r="C2124" t="s">
        <v>28</v>
      </c>
      <c r="D2124" t="s">
        <v>16</v>
      </c>
      <c r="E2124" t="s">
        <v>29</v>
      </c>
      <c r="F2124" t="s">
        <v>18</v>
      </c>
    </row>
    <row r="2125" spans="2:13" x14ac:dyDescent="0.2">
      <c r="C2125" t="b">
        <v>0</v>
      </c>
      <c r="D2125">
        <v>750.05</v>
      </c>
      <c r="E2125" t="s">
        <v>30</v>
      </c>
    </row>
    <row r="2126" spans="2:13" x14ac:dyDescent="0.2">
      <c r="C2126" t="b">
        <v>0</v>
      </c>
      <c r="D2126">
        <v>820.06</v>
      </c>
      <c r="E2126" t="s">
        <v>30</v>
      </c>
    </row>
    <row r="2127" spans="2:13" x14ac:dyDescent="0.2">
      <c r="C2127" t="b">
        <v>0</v>
      </c>
      <c r="D2127">
        <v>710.05</v>
      </c>
      <c r="E2127" t="s">
        <v>30</v>
      </c>
    </row>
    <row r="2128" spans="2:13" x14ac:dyDescent="0.2">
      <c r="C2128" t="b">
        <v>0</v>
      </c>
      <c r="D2128">
        <v>810.05</v>
      </c>
      <c r="E2128" t="s">
        <v>30</v>
      </c>
    </row>
    <row r="2129" spans="1:13" x14ac:dyDescent="0.2">
      <c r="C2129" t="b">
        <v>0</v>
      </c>
      <c r="D2129">
        <v>690.04</v>
      </c>
      <c r="E2129" t="s">
        <v>30</v>
      </c>
    </row>
    <row r="2130" spans="1:13" x14ac:dyDescent="0.2">
      <c r="C2130" t="b">
        <v>0</v>
      </c>
      <c r="D2130">
        <v>750.04</v>
      </c>
      <c r="E2130" t="s">
        <v>30</v>
      </c>
    </row>
    <row r="2131" spans="1:13" x14ac:dyDescent="0.2">
      <c r="C2131" t="b">
        <v>0</v>
      </c>
      <c r="D2131">
        <v>790.06</v>
      </c>
      <c r="E2131" t="s">
        <v>30</v>
      </c>
    </row>
    <row r="2132" spans="1:13" x14ac:dyDescent="0.2">
      <c r="B2132" t="s">
        <v>11</v>
      </c>
    </row>
    <row r="2133" spans="1:13" x14ac:dyDescent="0.2">
      <c r="B2133" t="s">
        <v>12</v>
      </c>
      <c r="C2133" t="s">
        <v>13</v>
      </c>
      <c r="D2133" t="s">
        <v>14</v>
      </c>
      <c r="E2133" t="s">
        <v>15</v>
      </c>
      <c r="F2133" t="s">
        <v>16</v>
      </c>
      <c r="G2133" t="s">
        <v>17</v>
      </c>
      <c r="H2133" t="s">
        <v>18</v>
      </c>
      <c r="I2133" t="s">
        <v>19</v>
      </c>
      <c r="J2133" t="s">
        <v>20</v>
      </c>
      <c r="K2133" t="s">
        <v>21</v>
      </c>
      <c r="L2133" t="s">
        <v>22</v>
      </c>
      <c r="M2133" t="s">
        <v>23</v>
      </c>
    </row>
    <row r="2134" spans="1:13" x14ac:dyDescent="0.2">
      <c r="B2134" t="s">
        <v>33</v>
      </c>
      <c r="C2134">
        <v>89</v>
      </c>
      <c r="E2134" t="s">
        <v>25</v>
      </c>
      <c r="F2134">
        <v>3439.13</v>
      </c>
      <c r="G2134">
        <v>8.3000000000000007</v>
      </c>
      <c r="K2134">
        <v>0.1</v>
      </c>
      <c r="L2134">
        <v>7</v>
      </c>
      <c r="M2134">
        <v>87.2</v>
      </c>
    </row>
    <row r="2135" spans="1:13" x14ac:dyDescent="0.2">
      <c r="C2135" t="s">
        <v>27</v>
      </c>
    </row>
    <row r="2136" spans="1:13" x14ac:dyDescent="0.2">
      <c r="C2136" t="s">
        <v>28</v>
      </c>
      <c r="D2136" t="s">
        <v>16</v>
      </c>
      <c r="E2136" t="s">
        <v>29</v>
      </c>
      <c r="F2136" t="s">
        <v>18</v>
      </c>
    </row>
    <row r="2137" spans="1:13" x14ac:dyDescent="0.2">
      <c r="C2137" t="b">
        <v>0</v>
      </c>
      <c r="D2137">
        <v>3410.54</v>
      </c>
      <c r="E2137" t="s">
        <v>30</v>
      </c>
    </row>
    <row r="2138" spans="1:13" x14ac:dyDescent="0.2">
      <c r="C2138" t="b">
        <v>0</v>
      </c>
      <c r="D2138">
        <v>3200.52</v>
      </c>
      <c r="E2138" t="s">
        <v>30</v>
      </c>
    </row>
    <row r="2139" spans="1:13" x14ac:dyDescent="0.2">
      <c r="C2139" t="b">
        <v>0</v>
      </c>
      <c r="D2139">
        <v>3520.57</v>
      </c>
      <c r="E2139" t="s">
        <v>30</v>
      </c>
    </row>
    <row r="2140" spans="1:13" x14ac:dyDescent="0.2">
      <c r="C2140" t="b">
        <v>0</v>
      </c>
      <c r="D2140">
        <v>3180.48</v>
      </c>
      <c r="E2140" t="s">
        <v>30</v>
      </c>
    </row>
    <row r="2141" spans="1:13" x14ac:dyDescent="0.2">
      <c r="C2141" t="b">
        <v>0</v>
      </c>
      <c r="D2141">
        <v>3150.48</v>
      </c>
      <c r="E2141" t="s">
        <v>30</v>
      </c>
    </row>
    <row r="2142" spans="1:13" x14ac:dyDescent="0.2">
      <c r="C2142" t="b">
        <v>0</v>
      </c>
      <c r="D2142">
        <v>3830.66</v>
      </c>
      <c r="E2142" t="s">
        <v>30</v>
      </c>
    </row>
    <row r="2143" spans="1:13" x14ac:dyDescent="0.2">
      <c r="C2143" t="b">
        <v>0</v>
      </c>
      <c r="D2143">
        <v>3780.66</v>
      </c>
      <c r="E2143" t="s">
        <v>30</v>
      </c>
    </row>
    <row r="2144" spans="1:13" x14ac:dyDescent="0.2">
      <c r="A2144" t="s">
        <v>0</v>
      </c>
    </row>
    <row r="2145" spans="1:13" x14ac:dyDescent="0.2"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t="s">
        <v>6</v>
      </c>
    </row>
    <row r="2146" spans="1:13" x14ac:dyDescent="0.2">
      <c r="A2146" t="s">
        <v>164</v>
      </c>
      <c r="B2146" t="b">
        <v>0</v>
      </c>
      <c r="C2146" t="s">
        <v>165</v>
      </c>
      <c r="D2146" t="s">
        <v>166</v>
      </c>
      <c r="E2146" t="s">
        <v>0</v>
      </c>
      <c r="G2146" t="s">
        <v>167</v>
      </c>
    </row>
    <row r="2147" spans="1:13" x14ac:dyDescent="0.2">
      <c r="B2147" t="s">
        <v>11</v>
      </c>
    </row>
    <row r="2148" spans="1:13" x14ac:dyDescent="0.2">
      <c r="B2148" t="s">
        <v>12</v>
      </c>
      <c r="C2148" t="s">
        <v>13</v>
      </c>
      <c r="D2148" t="s">
        <v>14</v>
      </c>
      <c r="E2148" t="s">
        <v>15</v>
      </c>
      <c r="F2148" t="s">
        <v>16</v>
      </c>
      <c r="G2148" t="s">
        <v>17</v>
      </c>
      <c r="H2148" t="s">
        <v>18</v>
      </c>
      <c r="I2148" t="s">
        <v>19</v>
      </c>
      <c r="J2148" t="s">
        <v>20</v>
      </c>
      <c r="K2148" t="s">
        <v>21</v>
      </c>
      <c r="L2148" t="s">
        <v>22</v>
      </c>
      <c r="M2148" t="s">
        <v>23</v>
      </c>
    </row>
    <row r="2149" spans="1:13" x14ac:dyDescent="0.2">
      <c r="B2149" t="s">
        <v>24</v>
      </c>
      <c r="C2149">
        <v>59</v>
      </c>
      <c r="E2149" t="s">
        <v>25</v>
      </c>
      <c r="F2149">
        <v>1078157.02</v>
      </c>
      <c r="G2149">
        <v>1.1000000000000001</v>
      </c>
      <c r="H2149">
        <v>0.48</v>
      </c>
      <c r="I2149" t="s">
        <v>26</v>
      </c>
      <c r="J2149">
        <v>1.1000000000000001</v>
      </c>
      <c r="K2149">
        <v>0.1</v>
      </c>
      <c r="L2149">
        <v>7</v>
      </c>
    </row>
    <row r="2150" spans="1:13" x14ac:dyDescent="0.2">
      <c r="C2150" t="s">
        <v>27</v>
      </c>
    </row>
    <row r="2151" spans="1:13" x14ac:dyDescent="0.2">
      <c r="C2151" t="s">
        <v>28</v>
      </c>
      <c r="D2151" t="s">
        <v>16</v>
      </c>
      <c r="E2151" t="s">
        <v>29</v>
      </c>
      <c r="F2151" t="s">
        <v>18</v>
      </c>
    </row>
    <row r="2152" spans="1:13" x14ac:dyDescent="0.2">
      <c r="C2152" t="b">
        <v>0</v>
      </c>
      <c r="D2152">
        <v>1080042.95</v>
      </c>
      <c r="E2152" t="s">
        <v>30</v>
      </c>
      <c r="F2152">
        <v>0.48</v>
      </c>
    </row>
    <row r="2153" spans="1:13" x14ac:dyDescent="0.2">
      <c r="C2153" t="b">
        <v>0</v>
      </c>
      <c r="D2153">
        <v>1071442.02</v>
      </c>
      <c r="E2153" t="s">
        <v>30</v>
      </c>
      <c r="F2153">
        <v>0.47699999999999998</v>
      </c>
    </row>
    <row r="2154" spans="1:13" x14ac:dyDescent="0.2">
      <c r="C2154" t="b">
        <v>0</v>
      </c>
      <c r="D2154">
        <v>1080068.58</v>
      </c>
      <c r="E2154" t="s">
        <v>30</v>
      </c>
      <c r="F2154">
        <v>0.48</v>
      </c>
    </row>
    <row r="2155" spans="1:13" x14ac:dyDescent="0.2">
      <c r="C2155" t="b">
        <v>0</v>
      </c>
      <c r="D2155">
        <v>1095743.73</v>
      </c>
      <c r="E2155" t="s">
        <v>30</v>
      </c>
      <c r="F2155">
        <v>0.48699999999999999</v>
      </c>
    </row>
    <row r="2156" spans="1:13" x14ac:dyDescent="0.2">
      <c r="C2156" t="b">
        <v>0</v>
      </c>
      <c r="D2156">
        <v>1077248.1100000001</v>
      </c>
      <c r="E2156" t="s">
        <v>30</v>
      </c>
      <c r="F2156">
        <v>0.47899999999999998</v>
      </c>
    </row>
    <row r="2157" spans="1:13" x14ac:dyDescent="0.2">
      <c r="C2157" t="b">
        <v>0</v>
      </c>
      <c r="D2157">
        <v>1056959.67</v>
      </c>
      <c r="E2157" t="s">
        <v>30</v>
      </c>
      <c r="F2157">
        <v>0.47</v>
      </c>
    </row>
    <row r="2158" spans="1:13" x14ac:dyDescent="0.2">
      <c r="C2158" t="b">
        <v>0</v>
      </c>
      <c r="D2158">
        <v>1085594.05</v>
      </c>
      <c r="E2158" t="s">
        <v>30</v>
      </c>
      <c r="F2158">
        <v>0.48299999999999998</v>
      </c>
    </row>
    <row r="2159" spans="1:13" x14ac:dyDescent="0.2">
      <c r="B2159" t="s">
        <v>11</v>
      </c>
    </row>
    <row r="2160" spans="1:13" x14ac:dyDescent="0.2">
      <c r="B2160" t="s">
        <v>12</v>
      </c>
      <c r="C2160" t="s">
        <v>13</v>
      </c>
      <c r="D2160" t="s">
        <v>14</v>
      </c>
      <c r="E2160" t="s">
        <v>15</v>
      </c>
      <c r="F2160" t="s">
        <v>16</v>
      </c>
      <c r="G2160" t="s">
        <v>17</v>
      </c>
      <c r="H2160" t="s">
        <v>18</v>
      </c>
      <c r="I2160" t="s">
        <v>19</v>
      </c>
      <c r="J2160" t="s">
        <v>20</v>
      </c>
      <c r="K2160" t="s">
        <v>21</v>
      </c>
      <c r="L2160" t="s">
        <v>22</v>
      </c>
      <c r="M2160" t="s">
        <v>23</v>
      </c>
    </row>
    <row r="2161" spans="2:13" x14ac:dyDescent="0.2">
      <c r="B2161" t="s">
        <v>31</v>
      </c>
      <c r="C2161">
        <v>45</v>
      </c>
      <c r="E2161" t="s">
        <v>25</v>
      </c>
      <c r="F2161">
        <v>1341.54</v>
      </c>
      <c r="G2161">
        <v>7.2</v>
      </c>
      <c r="K2161">
        <v>0.1</v>
      </c>
      <c r="L2161">
        <v>7</v>
      </c>
      <c r="M2161">
        <v>129.9</v>
      </c>
    </row>
    <row r="2162" spans="2:13" x14ac:dyDescent="0.2">
      <c r="C2162" t="s">
        <v>27</v>
      </c>
    </row>
    <row r="2163" spans="2:13" x14ac:dyDescent="0.2">
      <c r="C2163" t="s">
        <v>28</v>
      </c>
      <c r="D2163" t="s">
        <v>16</v>
      </c>
      <c r="E2163" t="s">
        <v>29</v>
      </c>
      <c r="F2163" t="s">
        <v>18</v>
      </c>
    </row>
    <row r="2164" spans="2:13" x14ac:dyDescent="0.2">
      <c r="C2164" t="b">
        <v>0</v>
      </c>
      <c r="D2164">
        <v>1330.11</v>
      </c>
      <c r="E2164" t="s">
        <v>30</v>
      </c>
    </row>
    <row r="2165" spans="2:13" x14ac:dyDescent="0.2">
      <c r="C2165" t="b">
        <v>0</v>
      </c>
      <c r="D2165">
        <v>1190.0899999999999</v>
      </c>
      <c r="E2165" t="s">
        <v>30</v>
      </c>
    </row>
    <row r="2166" spans="2:13" x14ac:dyDescent="0.2">
      <c r="C2166" t="b">
        <v>0</v>
      </c>
      <c r="D2166">
        <v>1510.14</v>
      </c>
      <c r="E2166" t="s">
        <v>30</v>
      </c>
    </row>
    <row r="2167" spans="2:13" x14ac:dyDescent="0.2">
      <c r="C2167" t="b">
        <v>0</v>
      </c>
      <c r="D2167">
        <v>1280.1099999999999</v>
      </c>
      <c r="E2167" t="s">
        <v>30</v>
      </c>
    </row>
    <row r="2168" spans="2:13" x14ac:dyDescent="0.2">
      <c r="C2168" t="b">
        <v>0</v>
      </c>
      <c r="D2168">
        <v>1360.11</v>
      </c>
      <c r="E2168" t="s">
        <v>30</v>
      </c>
    </row>
    <row r="2169" spans="2:13" x14ac:dyDescent="0.2">
      <c r="C2169" t="b">
        <v>0</v>
      </c>
      <c r="D2169">
        <v>1350.11</v>
      </c>
      <c r="E2169" t="s">
        <v>30</v>
      </c>
    </row>
    <row r="2170" spans="2:13" x14ac:dyDescent="0.2">
      <c r="C2170" t="b">
        <v>0</v>
      </c>
      <c r="D2170">
        <v>1370.11</v>
      </c>
      <c r="E2170" t="s">
        <v>30</v>
      </c>
    </row>
    <row r="2171" spans="2:13" x14ac:dyDescent="0.2">
      <c r="B2171" t="s">
        <v>11</v>
      </c>
    </row>
    <row r="2172" spans="2:13" x14ac:dyDescent="0.2">
      <c r="B2172" t="s">
        <v>12</v>
      </c>
      <c r="C2172" t="s">
        <v>13</v>
      </c>
      <c r="D2172" t="s">
        <v>14</v>
      </c>
      <c r="E2172" t="s">
        <v>15</v>
      </c>
      <c r="F2172" t="s">
        <v>16</v>
      </c>
      <c r="G2172" t="s">
        <v>17</v>
      </c>
      <c r="H2172" t="s">
        <v>18</v>
      </c>
      <c r="I2172" t="s">
        <v>19</v>
      </c>
      <c r="J2172" t="s">
        <v>20</v>
      </c>
      <c r="K2172" t="s">
        <v>21</v>
      </c>
      <c r="L2172" t="s">
        <v>22</v>
      </c>
      <c r="M2172" t="s">
        <v>23</v>
      </c>
    </row>
    <row r="2173" spans="2:13" x14ac:dyDescent="0.2">
      <c r="B2173" t="s">
        <v>32</v>
      </c>
      <c r="C2173">
        <v>72</v>
      </c>
      <c r="E2173" t="s">
        <v>25</v>
      </c>
      <c r="F2173">
        <v>822.91</v>
      </c>
      <c r="G2173">
        <v>16.899999999999999</v>
      </c>
      <c r="K2173">
        <v>0.1</v>
      </c>
      <c r="L2173">
        <v>7</v>
      </c>
      <c r="M2173">
        <v>110.3</v>
      </c>
    </row>
    <row r="2174" spans="2:13" x14ac:dyDescent="0.2">
      <c r="C2174" t="s">
        <v>27</v>
      </c>
    </row>
    <row r="2175" spans="2:13" x14ac:dyDescent="0.2">
      <c r="C2175" t="s">
        <v>28</v>
      </c>
      <c r="D2175" t="s">
        <v>16</v>
      </c>
      <c r="E2175" t="s">
        <v>29</v>
      </c>
      <c r="F2175" t="s">
        <v>18</v>
      </c>
    </row>
    <row r="2176" spans="2:13" x14ac:dyDescent="0.2">
      <c r="C2176" t="b">
        <v>0</v>
      </c>
      <c r="D2176">
        <v>610.04</v>
      </c>
      <c r="E2176" t="s">
        <v>30</v>
      </c>
    </row>
    <row r="2177" spans="2:13" x14ac:dyDescent="0.2">
      <c r="C2177" t="b">
        <v>0</v>
      </c>
      <c r="D2177">
        <v>990.07</v>
      </c>
      <c r="E2177" t="s">
        <v>30</v>
      </c>
    </row>
    <row r="2178" spans="2:13" x14ac:dyDescent="0.2">
      <c r="C2178" t="b">
        <v>0</v>
      </c>
      <c r="D2178">
        <v>710.04</v>
      </c>
      <c r="E2178" t="s">
        <v>30</v>
      </c>
    </row>
    <row r="2179" spans="2:13" x14ac:dyDescent="0.2">
      <c r="C2179" t="b">
        <v>0</v>
      </c>
      <c r="D2179">
        <v>950.08</v>
      </c>
      <c r="E2179" t="s">
        <v>30</v>
      </c>
    </row>
    <row r="2180" spans="2:13" x14ac:dyDescent="0.2">
      <c r="C2180" t="b">
        <v>0</v>
      </c>
      <c r="D2180">
        <v>880.06</v>
      </c>
      <c r="E2180" t="s">
        <v>30</v>
      </c>
    </row>
    <row r="2181" spans="2:13" x14ac:dyDescent="0.2">
      <c r="C2181" t="b">
        <v>0</v>
      </c>
      <c r="D2181">
        <v>740.05</v>
      </c>
      <c r="E2181" t="s">
        <v>30</v>
      </c>
    </row>
    <row r="2182" spans="2:13" x14ac:dyDescent="0.2">
      <c r="C2182" t="b">
        <v>0</v>
      </c>
      <c r="D2182">
        <v>880.06</v>
      </c>
      <c r="E2182" t="s">
        <v>30</v>
      </c>
    </row>
    <row r="2183" spans="2:13" x14ac:dyDescent="0.2">
      <c r="B2183" t="s">
        <v>11</v>
      </c>
    </row>
    <row r="2184" spans="2:13" x14ac:dyDescent="0.2">
      <c r="B2184" t="s">
        <v>12</v>
      </c>
      <c r="C2184" t="s">
        <v>13</v>
      </c>
      <c r="D2184" t="s">
        <v>14</v>
      </c>
      <c r="E2184" t="s">
        <v>15</v>
      </c>
      <c r="F2184" t="s">
        <v>16</v>
      </c>
      <c r="G2184" t="s">
        <v>17</v>
      </c>
      <c r="H2184" t="s">
        <v>18</v>
      </c>
      <c r="I2184" t="s">
        <v>19</v>
      </c>
      <c r="J2184" t="s">
        <v>20</v>
      </c>
      <c r="K2184" t="s">
        <v>21</v>
      </c>
      <c r="L2184" t="s">
        <v>22</v>
      </c>
      <c r="M2184" t="s">
        <v>23</v>
      </c>
    </row>
    <row r="2185" spans="2:13" x14ac:dyDescent="0.2">
      <c r="B2185" t="s">
        <v>33</v>
      </c>
      <c r="C2185">
        <v>89</v>
      </c>
      <c r="E2185" t="s">
        <v>25</v>
      </c>
      <c r="F2185">
        <v>4303.68</v>
      </c>
      <c r="G2185">
        <v>3.5</v>
      </c>
      <c r="K2185">
        <v>0.1</v>
      </c>
      <c r="L2185">
        <v>7</v>
      </c>
      <c r="M2185">
        <v>109.1</v>
      </c>
    </row>
    <row r="2186" spans="2:13" x14ac:dyDescent="0.2">
      <c r="C2186" t="s">
        <v>27</v>
      </c>
    </row>
    <row r="2187" spans="2:13" x14ac:dyDescent="0.2">
      <c r="C2187" t="s">
        <v>28</v>
      </c>
      <c r="D2187" t="s">
        <v>16</v>
      </c>
      <c r="E2187" t="s">
        <v>29</v>
      </c>
      <c r="F2187" t="s">
        <v>18</v>
      </c>
    </row>
    <row r="2188" spans="2:13" x14ac:dyDescent="0.2">
      <c r="C2188" t="b">
        <v>0</v>
      </c>
      <c r="D2188">
        <v>4190.78</v>
      </c>
      <c r="E2188" t="s">
        <v>30</v>
      </c>
    </row>
    <row r="2189" spans="2:13" x14ac:dyDescent="0.2">
      <c r="C2189" t="b">
        <v>0</v>
      </c>
      <c r="D2189">
        <v>4140.7700000000004</v>
      </c>
      <c r="E2189" t="s">
        <v>30</v>
      </c>
    </row>
    <row r="2190" spans="2:13" x14ac:dyDescent="0.2">
      <c r="C2190" t="b">
        <v>0</v>
      </c>
      <c r="D2190">
        <v>4180.76</v>
      </c>
      <c r="E2190" t="s">
        <v>30</v>
      </c>
    </row>
    <row r="2191" spans="2:13" x14ac:dyDescent="0.2">
      <c r="C2191" t="b">
        <v>0</v>
      </c>
      <c r="D2191">
        <v>4460.92</v>
      </c>
      <c r="E2191" t="s">
        <v>30</v>
      </c>
    </row>
    <row r="2192" spans="2:13" x14ac:dyDescent="0.2">
      <c r="C2192" t="b">
        <v>0</v>
      </c>
      <c r="D2192">
        <v>4430.87</v>
      </c>
      <c r="E2192" t="s">
        <v>30</v>
      </c>
    </row>
    <row r="2193" spans="1:13" x14ac:dyDescent="0.2">
      <c r="C2193" t="b">
        <v>0</v>
      </c>
      <c r="D2193">
        <v>4490.8900000000003</v>
      </c>
      <c r="E2193" t="s">
        <v>30</v>
      </c>
    </row>
    <row r="2194" spans="1:13" x14ac:dyDescent="0.2">
      <c r="C2194" t="b">
        <v>0</v>
      </c>
      <c r="D2194">
        <v>4230.79</v>
      </c>
      <c r="E2194" t="s">
        <v>30</v>
      </c>
    </row>
    <row r="2195" spans="1:13" x14ac:dyDescent="0.2">
      <c r="A2195" t="s">
        <v>0</v>
      </c>
    </row>
    <row r="2196" spans="1:13" x14ac:dyDescent="0.2"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</row>
    <row r="2197" spans="1:13" x14ac:dyDescent="0.2">
      <c r="B2197" t="b">
        <v>0</v>
      </c>
      <c r="C2197" t="s">
        <v>168</v>
      </c>
      <c r="D2197" t="s">
        <v>169</v>
      </c>
      <c r="E2197" t="s">
        <v>0</v>
      </c>
      <c r="G2197" t="s">
        <v>170</v>
      </c>
    </row>
    <row r="2198" spans="1:13" x14ac:dyDescent="0.2">
      <c r="B2198" t="s">
        <v>11</v>
      </c>
    </row>
    <row r="2199" spans="1:13" x14ac:dyDescent="0.2">
      <c r="B2199" t="s">
        <v>12</v>
      </c>
      <c r="C2199" t="s">
        <v>13</v>
      </c>
      <c r="D2199" t="s">
        <v>14</v>
      </c>
      <c r="E2199" t="s">
        <v>15</v>
      </c>
      <c r="F2199" t="s">
        <v>16</v>
      </c>
      <c r="G2199" t="s">
        <v>17</v>
      </c>
      <c r="H2199" t="s">
        <v>18</v>
      </c>
      <c r="I2199" t="s">
        <v>19</v>
      </c>
      <c r="J2199" t="s">
        <v>20</v>
      </c>
      <c r="K2199" t="s">
        <v>21</v>
      </c>
      <c r="L2199" t="s">
        <v>22</v>
      </c>
      <c r="M2199" t="s">
        <v>23</v>
      </c>
    </row>
    <row r="2200" spans="1:13" x14ac:dyDescent="0.2">
      <c r="B2200" t="s">
        <v>24</v>
      </c>
      <c r="C2200">
        <v>59</v>
      </c>
      <c r="E2200" t="s">
        <v>25</v>
      </c>
      <c r="F2200">
        <v>1037757.96</v>
      </c>
      <c r="G2200">
        <v>0.8</v>
      </c>
      <c r="H2200">
        <v>0.46200000000000002</v>
      </c>
      <c r="I2200" t="s">
        <v>26</v>
      </c>
      <c r="J2200">
        <v>0.8</v>
      </c>
      <c r="K2200">
        <v>0.1</v>
      </c>
      <c r="L2200">
        <v>7</v>
      </c>
    </row>
    <row r="2201" spans="1:13" x14ac:dyDescent="0.2">
      <c r="C2201" t="s">
        <v>27</v>
      </c>
    </row>
    <row r="2202" spans="1:13" x14ac:dyDescent="0.2">
      <c r="C2202" t="s">
        <v>28</v>
      </c>
      <c r="D2202" t="s">
        <v>16</v>
      </c>
      <c r="E2202" t="s">
        <v>29</v>
      </c>
      <c r="F2202" t="s">
        <v>18</v>
      </c>
    </row>
    <row r="2203" spans="1:13" x14ac:dyDescent="0.2">
      <c r="C2203" t="b">
        <v>0</v>
      </c>
      <c r="D2203">
        <v>1030884.36</v>
      </c>
      <c r="E2203" t="s">
        <v>30</v>
      </c>
      <c r="F2203">
        <v>0.45900000000000002</v>
      </c>
    </row>
    <row r="2204" spans="1:13" x14ac:dyDescent="0.2">
      <c r="C2204" t="b">
        <v>0</v>
      </c>
      <c r="D2204">
        <v>1039432.8</v>
      </c>
      <c r="E2204" t="s">
        <v>30</v>
      </c>
      <c r="F2204">
        <v>0.46200000000000002</v>
      </c>
    </row>
    <row r="2205" spans="1:13" x14ac:dyDescent="0.2">
      <c r="C2205" t="b">
        <v>0</v>
      </c>
      <c r="D2205">
        <v>1027656.55</v>
      </c>
      <c r="E2205" t="s">
        <v>30</v>
      </c>
      <c r="F2205">
        <v>0.45700000000000002</v>
      </c>
    </row>
    <row r="2206" spans="1:13" x14ac:dyDescent="0.2">
      <c r="C2206" t="b">
        <v>0</v>
      </c>
      <c r="D2206">
        <v>1050670.3700000001</v>
      </c>
      <c r="E2206" t="s">
        <v>30</v>
      </c>
      <c r="F2206">
        <v>0.46700000000000003</v>
      </c>
    </row>
    <row r="2207" spans="1:13" x14ac:dyDescent="0.2">
      <c r="C2207" t="b">
        <v>0</v>
      </c>
      <c r="D2207">
        <v>1045036.94</v>
      </c>
      <c r="E2207" t="s">
        <v>30</v>
      </c>
      <c r="F2207">
        <v>0.46500000000000002</v>
      </c>
    </row>
    <row r="2208" spans="1:13" x14ac:dyDescent="0.2">
      <c r="C2208" t="b">
        <v>0</v>
      </c>
      <c r="D2208">
        <v>1039913.03</v>
      </c>
      <c r="E2208" t="s">
        <v>30</v>
      </c>
      <c r="F2208">
        <v>0.46300000000000002</v>
      </c>
    </row>
    <row r="2209" spans="2:13" x14ac:dyDescent="0.2">
      <c r="C2209" t="b">
        <v>0</v>
      </c>
      <c r="D2209">
        <v>1030711.7</v>
      </c>
      <c r="E2209" t="s">
        <v>30</v>
      </c>
      <c r="F2209">
        <v>0.45800000000000002</v>
      </c>
    </row>
    <row r="2210" spans="2:13" x14ac:dyDescent="0.2">
      <c r="B2210" t="s">
        <v>11</v>
      </c>
    </row>
    <row r="2211" spans="2:13" x14ac:dyDescent="0.2">
      <c r="B2211" t="s">
        <v>12</v>
      </c>
      <c r="C2211" t="s">
        <v>13</v>
      </c>
      <c r="D2211" t="s">
        <v>14</v>
      </c>
      <c r="E2211" t="s">
        <v>15</v>
      </c>
      <c r="F2211" t="s">
        <v>16</v>
      </c>
      <c r="G2211" t="s">
        <v>17</v>
      </c>
      <c r="H2211" t="s">
        <v>18</v>
      </c>
      <c r="I2211" t="s">
        <v>19</v>
      </c>
      <c r="J2211" t="s">
        <v>20</v>
      </c>
      <c r="K2211" t="s">
        <v>21</v>
      </c>
      <c r="L2211" t="s">
        <v>22</v>
      </c>
      <c r="M2211" t="s">
        <v>23</v>
      </c>
    </row>
    <row r="2212" spans="2:13" x14ac:dyDescent="0.2">
      <c r="B2212" t="s">
        <v>31</v>
      </c>
      <c r="C2212">
        <v>45</v>
      </c>
      <c r="E2212" t="s">
        <v>25</v>
      </c>
      <c r="F2212">
        <v>945.78</v>
      </c>
      <c r="G2212">
        <v>8.4</v>
      </c>
      <c r="K2212">
        <v>0.1</v>
      </c>
      <c r="L2212">
        <v>7</v>
      </c>
      <c r="M2212">
        <v>91.6</v>
      </c>
    </row>
    <row r="2213" spans="2:13" x14ac:dyDescent="0.2">
      <c r="C2213" t="s">
        <v>27</v>
      </c>
    </row>
    <row r="2214" spans="2:13" x14ac:dyDescent="0.2">
      <c r="C2214" t="s">
        <v>28</v>
      </c>
      <c r="D2214" t="s">
        <v>16</v>
      </c>
      <c r="E2214" t="s">
        <v>29</v>
      </c>
      <c r="F2214" t="s">
        <v>18</v>
      </c>
    </row>
    <row r="2215" spans="2:13" x14ac:dyDescent="0.2">
      <c r="C2215" t="b">
        <v>0</v>
      </c>
      <c r="D2215">
        <v>960.07</v>
      </c>
      <c r="E2215" t="s">
        <v>30</v>
      </c>
    </row>
    <row r="2216" spans="2:13" x14ac:dyDescent="0.2">
      <c r="C2216" t="b">
        <v>0</v>
      </c>
      <c r="D2216">
        <v>810.06</v>
      </c>
      <c r="E2216" t="s">
        <v>30</v>
      </c>
    </row>
    <row r="2217" spans="2:13" x14ac:dyDescent="0.2">
      <c r="C2217" t="b">
        <v>0</v>
      </c>
      <c r="D2217">
        <v>890.06</v>
      </c>
      <c r="E2217" t="s">
        <v>30</v>
      </c>
    </row>
    <row r="2218" spans="2:13" x14ac:dyDescent="0.2">
      <c r="C2218" t="b">
        <v>0</v>
      </c>
      <c r="D2218">
        <v>940.07</v>
      </c>
      <c r="E2218" t="s">
        <v>30</v>
      </c>
    </row>
    <row r="2219" spans="2:13" x14ac:dyDescent="0.2">
      <c r="C2219" t="b">
        <v>0</v>
      </c>
      <c r="D2219">
        <v>1050.07</v>
      </c>
      <c r="E2219" t="s">
        <v>30</v>
      </c>
    </row>
    <row r="2220" spans="2:13" x14ac:dyDescent="0.2">
      <c r="C2220" t="b">
        <v>0</v>
      </c>
      <c r="D2220">
        <v>1020.07</v>
      </c>
      <c r="E2220" t="s">
        <v>30</v>
      </c>
    </row>
    <row r="2221" spans="2:13" x14ac:dyDescent="0.2">
      <c r="C2221" t="b">
        <v>0</v>
      </c>
      <c r="D2221">
        <v>950.07</v>
      </c>
      <c r="E2221" t="s">
        <v>30</v>
      </c>
    </row>
    <row r="2222" spans="2:13" x14ac:dyDescent="0.2">
      <c r="B2222" t="s">
        <v>11</v>
      </c>
    </row>
    <row r="2223" spans="2:13" x14ac:dyDescent="0.2">
      <c r="B2223" t="s">
        <v>12</v>
      </c>
      <c r="C2223" t="s">
        <v>13</v>
      </c>
      <c r="D2223" t="s">
        <v>14</v>
      </c>
      <c r="E2223" t="s">
        <v>15</v>
      </c>
      <c r="F2223" t="s">
        <v>16</v>
      </c>
      <c r="G2223" t="s">
        <v>17</v>
      </c>
      <c r="H2223" t="s">
        <v>18</v>
      </c>
      <c r="I2223" t="s">
        <v>19</v>
      </c>
      <c r="J2223" t="s">
        <v>20</v>
      </c>
      <c r="K2223" t="s">
        <v>21</v>
      </c>
      <c r="L2223" t="s">
        <v>22</v>
      </c>
      <c r="M2223" t="s">
        <v>23</v>
      </c>
    </row>
    <row r="2224" spans="2:13" x14ac:dyDescent="0.2">
      <c r="B2224" t="s">
        <v>32</v>
      </c>
      <c r="C2224">
        <v>72</v>
      </c>
      <c r="E2224" t="s">
        <v>25</v>
      </c>
      <c r="F2224">
        <v>761.48</v>
      </c>
      <c r="G2224">
        <v>8.9</v>
      </c>
      <c r="K2224">
        <v>0.1</v>
      </c>
      <c r="L2224">
        <v>7</v>
      </c>
      <c r="M2224">
        <v>102.1</v>
      </c>
    </row>
    <row r="2225" spans="2:13" x14ac:dyDescent="0.2">
      <c r="C2225" t="s">
        <v>27</v>
      </c>
    </row>
    <row r="2226" spans="2:13" x14ac:dyDescent="0.2">
      <c r="C2226" t="s">
        <v>28</v>
      </c>
      <c r="D2226" t="s">
        <v>16</v>
      </c>
      <c r="E2226" t="s">
        <v>29</v>
      </c>
      <c r="F2226" t="s">
        <v>18</v>
      </c>
    </row>
    <row r="2227" spans="2:13" x14ac:dyDescent="0.2">
      <c r="C2227" t="b">
        <v>0</v>
      </c>
      <c r="D2227">
        <v>700.04</v>
      </c>
      <c r="E2227" t="s">
        <v>30</v>
      </c>
    </row>
    <row r="2228" spans="2:13" x14ac:dyDescent="0.2">
      <c r="C2228" t="b">
        <v>0</v>
      </c>
      <c r="D2228">
        <v>790.06</v>
      </c>
      <c r="E2228" t="s">
        <v>30</v>
      </c>
    </row>
    <row r="2229" spans="2:13" x14ac:dyDescent="0.2">
      <c r="C2229" t="b">
        <v>0</v>
      </c>
      <c r="D2229">
        <v>800.06</v>
      </c>
      <c r="E2229" t="s">
        <v>30</v>
      </c>
    </row>
    <row r="2230" spans="2:13" x14ac:dyDescent="0.2">
      <c r="C2230" t="b">
        <v>0</v>
      </c>
      <c r="D2230">
        <v>820.06</v>
      </c>
      <c r="E2230" t="s">
        <v>30</v>
      </c>
    </row>
    <row r="2231" spans="2:13" x14ac:dyDescent="0.2">
      <c r="C2231" t="b">
        <v>0</v>
      </c>
      <c r="D2231">
        <v>720.04</v>
      </c>
      <c r="E2231" t="s">
        <v>30</v>
      </c>
    </row>
    <row r="2232" spans="2:13" x14ac:dyDescent="0.2">
      <c r="C2232" t="b">
        <v>0</v>
      </c>
      <c r="D2232">
        <v>660.03</v>
      </c>
      <c r="E2232" t="s">
        <v>30</v>
      </c>
    </row>
    <row r="2233" spans="2:13" x14ac:dyDescent="0.2">
      <c r="C2233" t="b">
        <v>0</v>
      </c>
      <c r="D2233">
        <v>840.05</v>
      </c>
      <c r="E2233" t="s">
        <v>30</v>
      </c>
    </row>
    <row r="2234" spans="2:13" x14ac:dyDescent="0.2">
      <c r="B2234" t="s">
        <v>11</v>
      </c>
    </row>
    <row r="2235" spans="2:13" x14ac:dyDescent="0.2">
      <c r="B2235" t="s">
        <v>12</v>
      </c>
      <c r="C2235" t="s">
        <v>13</v>
      </c>
      <c r="D2235" t="s">
        <v>14</v>
      </c>
      <c r="E2235" t="s">
        <v>15</v>
      </c>
      <c r="F2235" t="s">
        <v>16</v>
      </c>
      <c r="G2235" t="s">
        <v>17</v>
      </c>
      <c r="H2235" t="s">
        <v>18</v>
      </c>
      <c r="I2235" t="s">
        <v>19</v>
      </c>
      <c r="J2235" t="s">
        <v>20</v>
      </c>
      <c r="K2235" t="s">
        <v>21</v>
      </c>
      <c r="L2235" t="s">
        <v>22</v>
      </c>
      <c r="M2235" t="s">
        <v>23</v>
      </c>
    </row>
    <row r="2236" spans="2:13" x14ac:dyDescent="0.2">
      <c r="B2236" t="s">
        <v>33</v>
      </c>
      <c r="C2236">
        <v>89</v>
      </c>
      <c r="E2236" t="s">
        <v>25</v>
      </c>
      <c r="F2236">
        <v>4065.03</v>
      </c>
      <c r="G2236">
        <v>5.7</v>
      </c>
      <c r="K2236">
        <v>0.1</v>
      </c>
      <c r="L2236">
        <v>7</v>
      </c>
      <c r="M2236">
        <v>103</v>
      </c>
    </row>
    <row r="2237" spans="2:13" x14ac:dyDescent="0.2">
      <c r="C2237" t="s">
        <v>27</v>
      </c>
    </row>
    <row r="2238" spans="2:13" x14ac:dyDescent="0.2">
      <c r="C2238" t="s">
        <v>28</v>
      </c>
      <c r="D2238" t="s">
        <v>16</v>
      </c>
      <c r="E2238" t="s">
        <v>29</v>
      </c>
      <c r="F2238" t="s">
        <v>18</v>
      </c>
    </row>
    <row r="2239" spans="2:13" x14ac:dyDescent="0.2">
      <c r="C2239" t="b">
        <v>0</v>
      </c>
      <c r="D2239">
        <v>3790.65</v>
      </c>
      <c r="E2239" t="s">
        <v>30</v>
      </c>
    </row>
    <row r="2240" spans="2:13" x14ac:dyDescent="0.2">
      <c r="C2240" t="b">
        <v>0</v>
      </c>
      <c r="D2240">
        <v>4140.75</v>
      </c>
      <c r="E2240" t="s">
        <v>30</v>
      </c>
    </row>
    <row r="2241" spans="1:13" x14ac:dyDescent="0.2">
      <c r="C2241" t="b">
        <v>0</v>
      </c>
      <c r="D2241">
        <v>3730.63</v>
      </c>
      <c r="E2241" t="s">
        <v>30</v>
      </c>
    </row>
    <row r="2242" spans="1:13" x14ac:dyDescent="0.2">
      <c r="C2242" t="b">
        <v>0</v>
      </c>
      <c r="D2242">
        <v>4200.8100000000004</v>
      </c>
      <c r="E2242" t="s">
        <v>30</v>
      </c>
    </row>
    <row r="2243" spans="1:13" x14ac:dyDescent="0.2">
      <c r="C2243" t="b">
        <v>0</v>
      </c>
      <c r="D2243">
        <v>4340.8100000000004</v>
      </c>
      <c r="E2243" t="s">
        <v>30</v>
      </c>
    </row>
    <row r="2244" spans="1:13" x14ac:dyDescent="0.2">
      <c r="C2244" t="b">
        <v>0</v>
      </c>
      <c r="D2244">
        <v>4010.72</v>
      </c>
      <c r="E2244" t="s">
        <v>30</v>
      </c>
    </row>
    <row r="2245" spans="1:13" x14ac:dyDescent="0.2">
      <c r="C2245" t="b">
        <v>0</v>
      </c>
      <c r="D2245">
        <v>4240.8500000000004</v>
      </c>
      <c r="E2245" t="s">
        <v>30</v>
      </c>
    </row>
    <row r="2246" spans="1:13" x14ac:dyDescent="0.2">
      <c r="A2246" t="s">
        <v>0</v>
      </c>
    </row>
    <row r="2247" spans="1:13" x14ac:dyDescent="0.2"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6</v>
      </c>
    </row>
    <row r="2248" spans="1:13" x14ac:dyDescent="0.2">
      <c r="B2248" t="b">
        <v>0</v>
      </c>
      <c r="C2248" t="s">
        <v>171</v>
      </c>
      <c r="D2248" t="s">
        <v>172</v>
      </c>
      <c r="E2248" t="s">
        <v>0</v>
      </c>
      <c r="G2248" t="s">
        <v>173</v>
      </c>
    </row>
    <row r="2249" spans="1:13" x14ac:dyDescent="0.2">
      <c r="B2249" t="s">
        <v>11</v>
      </c>
    </row>
    <row r="2250" spans="1:13" x14ac:dyDescent="0.2">
      <c r="B2250" t="s">
        <v>12</v>
      </c>
      <c r="C2250" t="s">
        <v>13</v>
      </c>
      <c r="D2250" t="s">
        <v>14</v>
      </c>
      <c r="E2250" t="s">
        <v>15</v>
      </c>
      <c r="F2250" t="s">
        <v>16</v>
      </c>
      <c r="G2250" t="s">
        <v>17</v>
      </c>
      <c r="H2250" t="s">
        <v>18</v>
      </c>
      <c r="I2250" t="s">
        <v>19</v>
      </c>
      <c r="J2250" t="s">
        <v>20</v>
      </c>
      <c r="K2250" t="s">
        <v>21</v>
      </c>
      <c r="L2250" t="s">
        <v>22</v>
      </c>
      <c r="M2250" t="s">
        <v>23</v>
      </c>
    </row>
    <row r="2251" spans="1:13" x14ac:dyDescent="0.2">
      <c r="B2251" t="s">
        <v>24</v>
      </c>
      <c r="C2251">
        <v>59</v>
      </c>
      <c r="E2251" t="s">
        <v>25</v>
      </c>
      <c r="F2251">
        <v>1054590.45</v>
      </c>
      <c r="G2251">
        <v>0.9</v>
      </c>
      <c r="H2251">
        <v>0.46899999999999997</v>
      </c>
      <c r="I2251" t="s">
        <v>26</v>
      </c>
      <c r="J2251">
        <v>0.9</v>
      </c>
      <c r="K2251">
        <v>0.1</v>
      </c>
      <c r="L2251">
        <v>7</v>
      </c>
    </row>
    <row r="2252" spans="1:13" x14ac:dyDescent="0.2">
      <c r="C2252" t="s">
        <v>27</v>
      </c>
    </row>
    <row r="2253" spans="1:13" x14ac:dyDescent="0.2">
      <c r="C2253" t="s">
        <v>28</v>
      </c>
      <c r="D2253" t="s">
        <v>16</v>
      </c>
      <c r="E2253" t="s">
        <v>29</v>
      </c>
      <c r="F2253" t="s">
        <v>18</v>
      </c>
    </row>
    <row r="2254" spans="1:13" x14ac:dyDescent="0.2">
      <c r="C2254" t="b">
        <v>0</v>
      </c>
      <c r="D2254">
        <v>1048288.66</v>
      </c>
      <c r="E2254" t="s">
        <v>30</v>
      </c>
      <c r="F2254">
        <v>0.46600000000000003</v>
      </c>
    </row>
    <row r="2255" spans="1:13" x14ac:dyDescent="0.2">
      <c r="C2255" t="b">
        <v>0</v>
      </c>
      <c r="D2255">
        <v>1053712.8700000001</v>
      </c>
      <c r="E2255" t="s">
        <v>30</v>
      </c>
      <c r="F2255">
        <v>0.46899999999999997</v>
      </c>
    </row>
    <row r="2256" spans="1:13" x14ac:dyDescent="0.2">
      <c r="C2256" t="b">
        <v>0</v>
      </c>
      <c r="D2256">
        <v>1036718.97</v>
      </c>
      <c r="E2256" t="s">
        <v>30</v>
      </c>
      <c r="F2256">
        <v>0.46100000000000002</v>
      </c>
    </row>
    <row r="2257" spans="2:13" x14ac:dyDescent="0.2">
      <c r="C2257" t="b">
        <v>0</v>
      </c>
      <c r="D2257">
        <v>1059236.55</v>
      </c>
      <c r="E2257" t="s">
        <v>30</v>
      </c>
      <c r="F2257">
        <v>0.47099999999999997</v>
      </c>
    </row>
    <row r="2258" spans="2:13" x14ac:dyDescent="0.2">
      <c r="C2258" t="b">
        <v>0</v>
      </c>
      <c r="D2258">
        <v>1063183.1100000001</v>
      </c>
      <c r="E2258" t="s">
        <v>30</v>
      </c>
      <c r="F2258">
        <v>0.47299999999999998</v>
      </c>
    </row>
    <row r="2259" spans="2:13" x14ac:dyDescent="0.2">
      <c r="C2259" t="b">
        <v>0</v>
      </c>
      <c r="D2259">
        <v>1057978.81</v>
      </c>
      <c r="E2259" t="s">
        <v>30</v>
      </c>
      <c r="F2259">
        <v>0.47099999999999997</v>
      </c>
    </row>
    <row r="2260" spans="2:13" x14ac:dyDescent="0.2">
      <c r="C2260" t="b">
        <v>0</v>
      </c>
      <c r="D2260">
        <v>1063014.2</v>
      </c>
      <c r="E2260" t="s">
        <v>30</v>
      </c>
      <c r="F2260">
        <v>0.47299999999999998</v>
      </c>
    </row>
    <row r="2261" spans="2:13" x14ac:dyDescent="0.2">
      <c r="B2261" t="s">
        <v>11</v>
      </c>
    </row>
    <row r="2262" spans="2:13" x14ac:dyDescent="0.2">
      <c r="B2262" t="s">
        <v>12</v>
      </c>
      <c r="C2262" t="s">
        <v>13</v>
      </c>
      <c r="D2262" t="s">
        <v>14</v>
      </c>
      <c r="E2262" t="s">
        <v>15</v>
      </c>
      <c r="F2262" t="s">
        <v>16</v>
      </c>
      <c r="G2262" t="s">
        <v>17</v>
      </c>
      <c r="H2262" t="s">
        <v>18</v>
      </c>
      <c r="I2262" t="s">
        <v>19</v>
      </c>
      <c r="J2262" t="s">
        <v>20</v>
      </c>
      <c r="K2262" t="s">
        <v>21</v>
      </c>
      <c r="L2262" t="s">
        <v>22</v>
      </c>
      <c r="M2262" t="s">
        <v>23</v>
      </c>
    </row>
    <row r="2263" spans="2:13" x14ac:dyDescent="0.2">
      <c r="B2263" t="s">
        <v>31</v>
      </c>
      <c r="C2263">
        <v>45</v>
      </c>
      <c r="E2263" t="s">
        <v>25</v>
      </c>
      <c r="F2263">
        <v>1184.3800000000001</v>
      </c>
      <c r="G2263">
        <v>9.1</v>
      </c>
      <c r="K2263">
        <v>0.1</v>
      </c>
      <c r="L2263">
        <v>7</v>
      </c>
      <c r="M2263">
        <v>114.7</v>
      </c>
    </row>
    <row r="2264" spans="2:13" x14ac:dyDescent="0.2">
      <c r="C2264" t="s">
        <v>27</v>
      </c>
    </row>
    <row r="2265" spans="2:13" x14ac:dyDescent="0.2">
      <c r="C2265" t="s">
        <v>28</v>
      </c>
      <c r="D2265" t="s">
        <v>16</v>
      </c>
      <c r="E2265" t="s">
        <v>29</v>
      </c>
      <c r="F2265" t="s">
        <v>18</v>
      </c>
    </row>
    <row r="2266" spans="2:13" x14ac:dyDescent="0.2">
      <c r="C2266" t="b">
        <v>0</v>
      </c>
      <c r="D2266">
        <v>1320.12</v>
      </c>
      <c r="E2266" t="s">
        <v>30</v>
      </c>
    </row>
    <row r="2267" spans="2:13" x14ac:dyDescent="0.2">
      <c r="C2267" t="b">
        <v>0</v>
      </c>
      <c r="D2267">
        <v>1050.08</v>
      </c>
      <c r="E2267" t="s">
        <v>30</v>
      </c>
    </row>
    <row r="2268" spans="2:13" x14ac:dyDescent="0.2">
      <c r="C2268" t="b">
        <v>0</v>
      </c>
      <c r="D2268">
        <v>1150.0899999999999</v>
      </c>
      <c r="E2268" t="s">
        <v>30</v>
      </c>
    </row>
    <row r="2269" spans="2:13" x14ac:dyDescent="0.2">
      <c r="C2269" t="b">
        <v>0</v>
      </c>
      <c r="D2269">
        <v>1230.0999999999999</v>
      </c>
      <c r="E2269" t="s">
        <v>30</v>
      </c>
    </row>
    <row r="2270" spans="2:13" x14ac:dyDescent="0.2">
      <c r="C2270" t="b">
        <v>0</v>
      </c>
      <c r="D2270">
        <v>1230.0999999999999</v>
      </c>
      <c r="E2270" t="s">
        <v>30</v>
      </c>
    </row>
    <row r="2271" spans="2:13" x14ac:dyDescent="0.2">
      <c r="C2271" t="b">
        <v>0</v>
      </c>
      <c r="D2271">
        <v>1040.08</v>
      </c>
      <c r="E2271" t="s">
        <v>30</v>
      </c>
    </row>
    <row r="2272" spans="2:13" x14ac:dyDescent="0.2">
      <c r="C2272" t="b">
        <v>0</v>
      </c>
      <c r="D2272">
        <v>1270.0999999999999</v>
      </c>
      <c r="E2272" t="s">
        <v>30</v>
      </c>
    </row>
    <row r="2273" spans="2:13" x14ac:dyDescent="0.2">
      <c r="B2273" t="s">
        <v>11</v>
      </c>
    </row>
    <row r="2274" spans="2:13" x14ac:dyDescent="0.2">
      <c r="B2274" t="s">
        <v>12</v>
      </c>
      <c r="C2274" t="s">
        <v>13</v>
      </c>
      <c r="D2274" t="s">
        <v>14</v>
      </c>
      <c r="E2274" t="s">
        <v>15</v>
      </c>
      <c r="F2274" t="s">
        <v>16</v>
      </c>
      <c r="G2274" t="s">
        <v>17</v>
      </c>
      <c r="H2274" t="s">
        <v>18</v>
      </c>
      <c r="I2274" t="s">
        <v>19</v>
      </c>
      <c r="J2274" t="s">
        <v>20</v>
      </c>
      <c r="K2274" t="s">
        <v>21</v>
      </c>
      <c r="L2274" t="s">
        <v>22</v>
      </c>
      <c r="M2274" t="s">
        <v>23</v>
      </c>
    </row>
    <row r="2275" spans="2:13" x14ac:dyDescent="0.2">
      <c r="B2275" t="s">
        <v>32</v>
      </c>
      <c r="C2275">
        <v>72</v>
      </c>
      <c r="E2275" t="s">
        <v>25</v>
      </c>
      <c r="F2275">
        <v>701.47</v>
      </c>
      <c r="G2275">
        <v>8.6</v>
      </c>
      <c r="K2275">
        <v>0.1</v>
      </c>
      <c r="L2275">
        <v>7</v>
      </c>
      <c r="M2275">
        <v>94.1</v>
      </c>
    </row>
    <row r="2276" spans="2:13" x14ac:dyDescent="0.2">
      <c r="C2276" t="s">
        <v>27</v>
      </c>
    </row>
    <row r="2277" spans="2:13" x14ac:dyDescent="0.2">
      <c r="C2277" t="s">
        <v>28</v>
      </c>
      <c r="D2277" t="s">
        <v>16</v>
      </c>
      <c r="E2277" t="s">
        <v>29</v>
      </c>
      <c r="F2277" t="s">
        <v>18</v>
      </c>
    </row>
    <row r="2278" spans="2:13" x14ac:dyDescent="0.2">
      <c r="C2278" t="b">
        <v>0</v>
      </c>
      <c r="D2278">
        <v>620.04</v>
      </c>
      <c r="E2278" t="s">
        <v>30</v>
      </c>
    </row>
    <row r="2279" spans="2:13" x14ac:dyDescent="0.2">
      <c r="C2279" t="b">
        <v>0</v>
      </c>
      <c r="D2279">
        <v>660.04</v>
      </c>
      <c r="E2279" t="s">
        <v>30</v>
      </c>
    </row>
    <row r="2280" spans="2:13" x14ac:dyDescent="0.2">
      <c r="C2280" t="b">
        <v>0</v>
      </c>
      <c r="D2280">
        <v>710.04</v>
      </c>
      <c r="E2280" t="s">
        <v>30</v>
      </c>
    </row>
    <row r="2281" spans="2:13" x14ac:dyDescent="0.2">
      <c r="C2281" t="b">
        <v>0</v>
      </c>
      <c r="D2281">
        <v>710.05</v>
      </c>
      <c r="E2281" t="s">
        <v>30</v>
      </c>
    </row>
    <row r="2282" spans="2:13" x14ac:dyDescent="0.2">
      <c r="C2282" t="b">
        <v>0</v>
      </c>
      <c r="D2282">
        <v>810.04</v>
      </c>
      <c r="E2282" t="s">
        <v>30</v>
      </c>
    </row>
    <row r="2283" spans="2:13" x14ac:dyDescent="0.2">
      <c r="C2283" t="b">
        <v>0</v>
      </c>
      <c r="D2283">
        <v>730.04</v>
      </c>
      <c r="E2283" t="s">
        <v>30</v>
      </c>
    </row>
    <row r="2284" spans="2:13" x14ac:dyDescent="0.2">
      <c r="C2284" t="b">
        <v>0</v>
      </c>
      <c r="D2284">
        <v>670.04</v>
      </c>
      <c r="E2284" t="s">
        <v>30</v>
      </c>
    </row>
    <row r="2285" spans="2:13" x14ac:dyDescent="0.2">
      <c r="B2285" t="s">
        <v>11</v>
      </c>
    </row>
    <row r="2286" spans="2:13" x14ac:dyDescent="0.2">
      <c r="B2286" t="s">
        <v>12</v>
      </c>
      <c r="C2286" t="s">
        <v>13</v>
      </c>
      <c r="D2286" t="s">
        <v>14</v>
      </c>
      <c r="E2286" t="s">
        <v>15</v>
      </c>
      <c r="F2286" t="s">
        <v>16</v>
      </c>
      <c r="G2286" t="s">
        <v>17</v>
      </c>
      <c r="H2286" t="s">
        <v>18</v>
      </c>
      <c r="I2286" t="s">
        <v>19</v>
      </c>
      <c r="J2286" t="s">
        <v>20</v>
      </c>
      <c r="K2286" t="s">
        <v>21</v>
      </c>
      <c r="L2286" t="s">
        <v>22</v>
      </c>
      <c r="M2286" t="s">
        <v>23</v>
      </c>
    </row>
    <row r="2287" spans="2:13" x14ac:dyDescent="0.2">
      <c r="B2287" t="s">
        <v>33</v>
      </c>
      <c r="C2287">
        <v>89</v>
      </c>
      <c r="E2287" t="s">
        <v>25</v>
      </c>
      <c r="F2287">
        <v>3823.55</v>
      </c>
      <c r="G2287">
        <v>3.7</v>
      </c>
      <c r="K2287">
        <v>0.1</v>
      </c>
      <c r="L2287">
        <v>7</v>
      </c>
      <c r="M2287">
        <v>96.9</v>
      </c>
    </row>
    <row r="2288" spans="2:13" x14ac:dyDescent="0.2">
      <c r="C2288" t="s">
        <v>27</v>
      </c>
    </row>
    <row r="2289" spans="1:13" x14ac:dyDescent="0.2">
      <c r="C2289" t="s">
        <v>28</v>
      </c>
      <c r="D2289" t="s">
        <v>16</v>
      </c>
      <c r="E2289" t="s">
        <v>29</v>
      </c>
      <c r="F2289" t="s">
        <v>18</v>
      </c>
    </row>
    <row r="2290" spans="1:13" x14ac:dyDescent="0.2">
      <c r="C2290" t="b">
        <v>0</v>
      </c>
      <c r="D2290">
        <v>3740.64</v>
      </c>
      <c r="E2290" t="s">
        <v>30</v>
      </c>
    </row>
    <row r="2291" spans="1:13" x14ac:dyDescent="0.2">
      <c r="C2291" t="b">
        <v>0</v>
      </c>
      <c r="D2291">
        <v>3580.6</v>
      </c>
      <c r="E2291" t="s">
        <v>30</v>
      </c>
    </row>
    <row r="2292" spans="1:13" x14ac:dyDescent="0.2">
      <c r="C2292" t="b">
        <v>0</v>
      </c>
      <c r="D2292">
        <v>3940.75</v>
      </c>
      <c r="E2292" t="s">
        <v>30</v>
      </c>
    </row>
    <row r="2293" spans="1:13" x14ac:dyDescent="0.2">
      <c r="C2293" t="b">
        <v>0</v>
      </c>
      <c r="D2293">
        <v>3940.74</v>
      </c>
      <c r="E2293" t="s">
        <v>30</v>
      </c>
    </row>
    <row r="2294" spans="1:13" x14ac:dyDescent="0.2">
      <c r="C2294" t="b">
        <v>0</v>
      </c>
      <c r="D2294">
        <v>3900.73</v>
      </c>
      <c r="E2294" t="s">
        <v>30</v>
      </c>
    </row>
    <row r="2295" spans="1:13" x14ac:dyDescent="0.2">
      <c r="C2295" t="b">
        <v>0</v>
      </c>
      <c r="D2295">
        <v>3730.67</v>
      </c>
      <c r="E2295" t="s">
        <v>30</v>
      </c>
    </row>
    <row r="2296" spans="1:13" x14ac:dyDescent="0.2">
      <c r="C2296" t="b">
        <v>0</v>
      </c>
      <c r="D2296">
        <v>3930.7</v>
      </c>
      <c r="E2296" t="s">
        <v>30</v>
      </c>
    </row>
    <row r="2297" spans="1:13" x14ac:dyDescent="0.2">
      <c r="A2297" t="s">
        <v>0</v>
      </c>
    </row>
    <row r="2298" spans="1:13" x14ac:dyDescent="0.2">
      <c r="B2298" t="s">
        <v>1</v>
      </c>
      <c r="C2298" t="s">
        <v>2</v>
      </c>
      <c r="D2298" t="s">
        <v>3</v>
      </c>
      <c r="E2298" t="s">
        <v>4</v>
      </c>
      <c r="F2298" t="s">
        <v>5</v>
      </c>
      <c r="G2298" t="s">
        <v>6</v>
      </c>
    </row>
    <row r="2299" spans="1:13" x14ac:dyDescent="0.2">
      <c r="B2299" t="b">
        <v>0</v>
      </c>
      <c r="C2299" t="s">
        <v>174</v>
      </c>
      <c r="D2299" t="s">
        <v>175</v>
      </c>
      <c r="E2299" t="s">
        <v>0</v>
      </c>
      <c r="G2299" t="s">
        <v>176</v>
      </c>
    </row>
    <row r="2300" spans="1:13" x14ac:dyDescent="0.2">
      <c r="B2300" t="s">
        <v>11</v>
      </c>
    </row>
    <row r="2301" spans="1:13" x14ac:dyDescent="0.2">
      <c r="B2301" t="s">
        <v>12</v>
      </c>
      <c r="C2301" t="s">
        <v>13</v>
      </c>
      <c r="D2301" t="s">
        <v>14</v>
      </c>
      <c r="E2301" t="s">
        <v>15</v>
      </c>
      <c r="F2301" t="s">
        <v>16</v>
      </c>
      <c r="G2301" t="s">
        <v>17</v>
      </c>
      <c r="H2301" t="s">
        <v>18</v>
      </c>
      <c r="I2301" t="s">
        <v>19</v>
      </c>
      <c r="J2301" t="s">
        <v>20</v>
      </c>
      <c r="K2301" t="s">
        <v>21</v>
      </c>
      <c r="L2301" t="s">
        <v>22</v>
      </c>
      <c r="M2301" t="s">
        <v>23</v>
      </c>
    </row>
    <row r="2302" spans="1:13" x14ac:dyDescent="0.2">
      <c r="B2302" t="s">
        <v>24</v>
      </c>
      <c r="C2302">
        <v>59</v>
      </c>
      <c r="E2302" t="s">
        <v>25</v>
      </c>
      <c r="F2302">
        <v>8419250.5899999999</v>
      </c>
      <c r="G2302">
        <v>1.1000000000000001</v>
      </c>
      <c r="H2302">
        <v>3.7450000000000001</v>
      </c>
      <c r="I2302" t="s">
        <v>26</v>
      </c>
      <c r="J2302">
        <v>1.1000000000000001</v>
      </c>
      <c r="K2302">
        <v>0.1</v>
      </c>
      <c r="L2302">
        <v>7</v>
      </c>
    </row>
    <row r="2303" spans="1:13" x14ac:dyDescent="0.2">
      <c r="C2303" t="s">
        <v>27</v>
      </c>
    </row>
    <row r="2304" spans="1:13" x14ac:dyDescent="0.2">
      <c r="C2304" t="s">
        <v>28</v>
      </c>
      <c r="D2304" t="s">
        <v>16</v>
      </c>
      <c r="E2304" t="s">
        <v>29</v>
      </c>
      <c r="F2304" t="s">
        <v>18</v>
      </c>
    </row>
    <row r="2305" spans="2:13" x14ac:dyDescent="0.2">
      <c r="C2305" t="b">
        <v>0</v>
      </c>
      <c r="D2305">
        <v>8482514.25</v>
      </c>
      <c r="E2305" t="s">
        <v>67</v>
      </c>
      <c r="F2305">
        <v>3.7730000000000001</v>
      </c>
    </row>
    <row r="2306" spans="2:13" x14ac:dyDescent="0.2">
      <c r="C2306" t="b">
        <v>0</v>
      </c>
      <c r="D2306">
        <v>8342518.6299999999</v>
      </c>
      <c r="E2306" t="s">
        <v>67</v>
      </c>
      <c r="F2306">
        <v>3.7109999999999999</v>
      </c>
    </row>
    <row r="2307" spans="2:13" x14ac:dyDescent="0.2">
      <c r="C2307" t="b">
        <v>0</v>
      </c>
      <c r="D2307">
        <v>8445608</v>
      </c>
      <c r="E2307" t="s">
        <v>67</v>
      </c>
      <c r="F2307">
        <v>3.7570000000000001</v>
      </c>
    </row>
    <row r="2308" spans="2:13" x14ac:dyDescent="0.2">
      <c r="C2308" t="b">
        <v>0</v>
      </c>
      <c r="D2308">
        <v>8453701.1199999992</v>
      </c>
      <c r="E2308" t="s">
        <v>67</v>
      </c>
      <c r="F2308">
        <v>3.76</v>
      </c>
    </row>
    <row r="2309" spans="2:13" x14ac:dyDescent="0.2">
      <c r="C2309" t="b">
        <v>0</v>
      </c>
      <c r="D2309">
        <v>8556013</v>
      </c>
      <c r="E2309" t="s">
        <v>67</v>
      </c>
      <c r="F2309">
        <v>3.806</v>
      </c>
    </row>
    <row r="2310" spans="2:13" x14ac:dyDescent="0.2">
      <c r="C2310" t="b">
        <v>0</v>
      </c>
      <c r="D2310">
        <v>8296681.1299999999</v>
      </c>
      <c r="E2310" t="s">
        <v>67</v>
      </c>
      <c r="F2310">
        <v>3.69</v>
      </c>
    </row>
    <row r="2311" spans="2:13" x14ac:dyDescent="0.2">
      <c r="C2311" t="b">
        <v>0</v>
      </c>
      <c r="D2311">
        <v>8357718</v>
      </c>
      <c r="E2311" t="s">
        <v>67</v>
      </c>
      <c r="F2311">
        <v>3.718</v>
      </c>
    </row>
    <row r="2312" spans="2:13" x14ac:dyDescent="0.2">
      <c r="B2312" t="s">
        <v>11</v>
      </c>
    </row>
    <row r="2313" spans="2:13" x14ac:dyDescent="0.2">
      <c r="B2313" t="s">
        <v>12</v>
      </c>
      <c r="C2313" t="s">
        <v>13</v>
      </c>
      <c r="D2313" t="s">
        <v>14</v>
      </c>
      <c r="E2313" t="s">
        <v>15</v>
      </c>
      <c r="F2313" t="s">
        <v>16</v>
      </c>
      <c r="G2313" t="s">
        <v>17</v>
      </c>
      <c r="H2313" t="s">
        <v>18</v>
      </c>
      <c r="I2313" t="s">
        <v>19</v>
      </c>
      <c r="J2313" t="s">
        <v>20</v>
      </c>
      <c r="K2313" t="s">
        <v>21</v>
      </c>
      <c r="L2313" t="s">
        <v>22</v>
      </c>
      <c r="M2313" t="s">
        <v>23</v>
      </c>
    </row>
    <row r="2314" spans="2:13" x14ac:dyDescent="0.2">
      <c r="B2314" t="s">
        <v>31</v>
      </c>
      <c r="C2314">
        <v>45</v>
      </c>
      <c r="E2314" t="s">
        <v>25</v>
      </c>
      <c r="F2314">
        <v>945.78</v>
      </c>
      <c r="G2314">
        <v>7.9</v>
      </c>
      <c r="K2314">
        <v>0.1</v>
      </c>
      <c r="L2314">
        <v>7</v>
      </c>
      <c r="M2314">
        <v>91.6</v>
      </c>
    </row>
    <row r="2315" spans="2:13" x14ac:dyDescent="0.2">
      <c r="C2315" t="s">
        <v>27</v>
      </c>
    </row>
    <row r="2316" spans="2:13" x14ac:dyDescent="0.2">
      <c r="C2316" t="s">
        <v>28</v>
      </c>
      <c r="D2316" t="s">
        <v>16</v>
      </c>
      <c r="E2316" t="s">
        <v>29</v>
      </c>
      <c r="F2316" t="s">
        <v>18</v>
      </c>
    </row>
    <row r="2317" spans="2:13" x14ac:dyDescent="0.2">
      <c r="C2317" t="b">
        <v>0</v>
      </c>
      <c r="D2317">
        <v>840.05</v>
      </c>
      <c r="E2317" t="s">
        <v>30</v>
      </c>
    </row>
    <row r="2318" spans="2:13" x14ac:dyDescent="0.2">
      <c r="C2318" t="b">
        <v>0</v>
      </c>
      <c r="D2318">
        <v>920.06</v>
      </c>
      <c r="E2318" t="s">
        <v>30</v>
      </c>
    </row>
    <row r="2319" spans="2:13" x14ac:dyDescent="0.2">
      <c r="C2319" t="b">
        <v>0</v>
      </c>
      <c r="D2319">
        <v>930.06</v>
      </c>
      <c r="E2319" t="s">
        <v>30</v>
      </c>
    </row>
    <row r="2320" spans="2:13" x14ac:dyDescent="0.2">
      <c r="C2320" t="b">
        <v>0</v>
      </c>
      <c r="D2320">
        <v>1050.07</v>
      </c>
      <c r="E2320" t="s">
        <v>30</v>
      </c>
    </row>
    <row r="2321" spans="2:13" x14ac:dyDescent="0.2">
      <c r="C2321" t="b">
        <v>0</v>
      </c>
      <c r="D2321">
        <v>930.07</v>
      </c>
      <c r="E2321" t="s">
        <v>30</v>
      </c>
    </row>
    <row r="2322" spans="2:13" x14ac:dyDescent="0.2">
      <c r="C2322" t="b">
        <v>0</v>
      </c>
      <c r="D2322">
        <v>910.06</v>
      </c>
      <c r="E2322" t="s">
        <v>30</v>
      </c>
    </row>
    <row r="2323" spans="2:13" x14ac:dyDescent="0.2">
      <c r="C2323" t="b">
        <v>0</v>
      </c>
      <c r="D2323">
        <v>1040.07</v>
      </c>
      <c r="E2323" t="s">
        <v>30</v>
      </c>
    </row>
    <row r="2324" spans="2:13" x14ac:dyDescent="0.2">
      <c r="B2324" t="s">
        <v>11</v>
      </c>
    </row>
    <row r="2325" spans="2:13" x14ac:dyDescent="0.2">
      <c r="B2325" t="s">
        <v>12</v>
      </c>
      <c r="C2325" t="s">
        <v>13</v>
      </c>
      <c r="D2325" t="s">
        <v>14</v>
      </c>
      <c r="E2325" t="s">
        <v>15</v>
      </c>
      <c r="F2325" t="s">
        <v>16</v>
      </c>
      <c r="G2325" t="s">
        <v>17</v>
      </c>
      <c r="H2325" t="s">
        <v>18</v>
      </c>
      <c r="I2325" t="s">
        <v>19</v>
      </c>
      <c r="J2325" t="s">
        <v>20</v>
      </c>
      <c r="K2325" t="s">
        <v>21</v>
      </c>
      <c r="L2325" t="s">
        <v>22</v>
      </c>
      <c r="M2325" t="s">
        <v>23</v>
      </c>
    </row>
    <row r="2326" spans="2:13" x14ac:dyDescent="0.2">
      <c r="B2326" t="s">
        <v>32</v>
      </c>
      <c r="C2326">
        <v>72</v>
      </c>
      <c r="E2326" t="s">
        <v>25</v>
      </c>
      <c r="F2326">
        <v>772.91</v>
      </c>
      <c r="G2326">
        <v>8.6999999999999993</v>
      </c>
      <c r="K2326">
        <v>0.1</v>
      </c>
      <c r="L2326">
        <v>7</v>
      </c>
      <c r="M2326">
        <v>103.6</v>
      </c>
    </row>
    <row r="2327" spans="2:13" x14ac:dyDescent="0.2">
      <c r="C2327" t="s">
        <v>27</v>
      </c>
    </row>
    <row r="2328" spans="2:13" x14ac:dyDescent="0.2">
      <c r="C2328" t="s">
        <v>28</v>
      </c>
      <c r="D2328" t="s">
        <v>16</v>
      </c>
      <c r="E2328" t="s">
        <v>29</v>
      </c>
      <c r="F2328" t="s">
        <v>18</v>
      </c>
    </row>
    <row r="2329" spans="2:13" x14ac:dyDescent="0.2">
      <c r="C2329" t="b">
        <v>0</v>
      </c>
      <c r="D2329">
        <v>830.06</v>
      </c>
      <c r="E2329" t="s">
        <v>30</v>
      </c>
    </row>
    <row r="2330" spans="2:13" x14ac:dyDescent="0.2">
      <c r="C2330" t="b">
        <v>0</v>
      </c>
      <c r="D2330">
        <v>710.04</v>
      </c>
      <c r="E2330" t="s">
        <v>30</v>
      </c>
    </row>
    <row r="2331" spans="2:13" x14ac:dyDescent="0.2">
      <c r="C2331" t="b">
        <v>0</v>
      </c>
      <c r="D2331">
        <v>810.05</v>
      </c>
      <c r="E2331" t="s">
        <v>30</v>
      </c>
    </row>
    <row r="2332" spans="2:13" x14ac:dyDescent="0.2">
      <c r="C2332" t="b">
        <v>0</v>
      </c>
      <c r="D2332">
        <v>680.05</v>
      </c>
      <c r="E2332" t="s">
        <v>30</v>
      </c>
    </row>
    <row r="2333" spans="2:13" x14ac:dyDescent="0.2">
      <c r="C2333" t="b">
        <v>0</v>
      </c>
      <c r="D2333">
        <v>720.05</v>
      </c>
      <c r="E2333" t="s">
        <v>30</v>
      </c>
    </row>
    <row r="2334" spans="2:13" x14ac:dyDescent="0.2">
      <c r="C2334" t="b">
        <v>0</v>
      </c>
      <c r="D2334">
        <v>850.07</v>
      </c>
      <c r="E2334" t="s">
        <v>30</v>
      </c>
    </row>
    <row r="2335" spans="2:13" x14ac:dyDescent="0.2">
      <c r="C2335" t="b">
        <v>0</v>
      </c>
      <c r="D2335">
        <v>810.05</v>
      </c>
      <c r="E2335" t="s">
        <v>30</v>
      </c>
    </row>
    <row r="2336" spans="2:13" x14ac:dyDescent="0.2">
      <c r="B2336" t="s">
        <v>11</v>
      </c>
    </row>
    <row r="2337" spans="1:13" x14ac:dyDescent="0.2">
      <c r="B2337" t="s">
        <v>12</v>
      </c>
      <c r="C2337" t="s">
        <v>13</v>
      </c>
      <c r="D2337" t="s">
        <v>14</v>
      </c>
      <c r="E2337" t="s">
        <v>15</v>
      </c>
      <c r="F2337" t="s">
        <v>16</v>
      </c>
      <c r="G2337" t="s">
        <v>17</v>
      </c>
      <c r="H2337" t="s">
        <v>18</v>
      </c>
      <c r="I2337" t="s">
        <v>19</v>
      </c>
      <c r="J2337" t="s">
        <v>20</v>
      </c>
      <c r="K2337" t="s">
        <v>21</v>
      </c>
      <c r="L2337" t="s">
        <v>22</v>
      </c>
      <c r="M2337" t="s">
        <v>23</v>
      </c>
    </row>
    <row r="2338" spans="1:13" x14ac:dyDescent="0.2">
      <c r="B2338" t="s">
        <v>33</v>
      </c>
      <c r="C2338">
        <v>89</v>
      </c>
      <c r="E2338" t="s">
        <v>25</v>
      </c>
      <c r="F2338">
        <v>3650.64</v>
      </c>
      <c r="G2338">
        <v>7.2</v>
      </c>
      <c r="K2338">
        <v>0.1</v>
      </c>
      <c r="L2338">
        <v>7</v>
      </c>
      <c r="M2338">
        <v>92.5</v>
      </c>
    </row>
    <row r="2339" spans="1:13" x14ac:dyDescent="0.2">
      <c r="C2339" t="s">
        <v>27</v>
      </c>
    </row>
    <row r="2340" spans="1:13" x14ac:dyDescent="0.2">
      <c r="C2340" t="s">
        <v>28</v>
      </c>
      <c r="D2340" t="s">
        <v>16</v>
      </c>
      <c r="E2340" t="s">
        <v>29</v>
      </c>
      <c r="F2340" t="s">
        <v>18</v>
      </c>
    </row>
    <row r="2341" spans="1:13" x14ac:dyDescent="0.2">
      <c r="C2341" t="b">
        <v>0</v>
      </c>
      <c r="D2341">
        <v>3260.49</v>
      </c>
      <c r="E2341" t="s">
        <v>30</v>
      </c>
    </row>
    <row r="2342" spans="1:13" x14ac:dyDescent="0.2">
      <c r="C2342" t="b">
        <v>0</v>
      </c>
      <c r="D2342">
        <v>3690.64</v>
      </c>
      <c r="E2342" t="s">
        <v>30</v>
      </c>
    </row>
    <row r="2343" spans="1:13" x14ac:dyDescent="0.2">
      <c r="C2343" t="b">
        <v>0</v>
      </c>
      <c r="D2343">
        <v>3480.58</v>
      </c>
      <c r="E2343" t="s">
        <v>30</v>
      </c>
    </row>
    <row r="2344" spans="1:13" x14ac:dyDescent="0.2">
      <c r="C2344" t="b">
        <v>0</v>
      </c>
      <c r="D2344">
        <v>3710.66</v>
      </c>
      <c r="E2344" t="s">
        <v>30</v>
      </c>
    </row>
    <row r="2345" spans="1:13" x14ac:dyDescent="0.2">
      <c r="C2345" t="b">
        <v>0</v>
      </c>
      <c r="D2345">
        <v>3510.58</v>
      </c>
      <c r="E2345" t="s">
        <v>30</v>
      </c>
    </row>
    <row r="2346" spans="1:13" x14ac:dyDescent="0.2">
      <c r="C2346" t="b">
        <v>0</v>
      </c>
      <c r="D2346">
        <v>3820.72</v>
      </c>
      <c r="E2346" t="s">
        <v>30</v>
      </c>
    </row>
    <row r="2347" spans="1:13" x14ac:dyDescent="0.2">
      <c r="C2347" t="b">
        <v>0</v>
      </c>
      <c r="D2347">
        <v>4080.8</v>
      </c>
      <c r="E2347" t="s">
        <v>30</v>
      </c>
    </row>
    <row r="2348" spans="1:13" x14ac:dyDescent="0.2">
      <c r="A2348" t="s">
        <v>0</v>
      </c>
    </row>
    <row r="2349" spans="1:13" x14ac:dyDescent="0.2"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t="s">
        <v>6</v>
      </c>
    </row>
    <row r="2350" spans="1:13" x14ac:dyDescent="0.2">
      <c r="B2350" t="b">
        <v>0</v>
      </c>
      <c r="C2350" t="s">
        <v>177</v>
      </c>
      <c r="D2350" t="s">
        <v>178</v>
      </c>
      <c r="E2350" t="s">
        <v>0</v>
      </c>
      <c r="G2350" t="s">
        <v>179</v>
      </c>
    </row>
    <row r="2351" spans="1:13" x14ac:dyDescent="0.2">
      <c r="B2351" t="s">
        <v>11</v>
      </c>
    </row>
    <row r="2352" spans="1:13" x14ac:dyDescent="0.2">
      <c r="B2352" t="s">
        <v>12</v>
      </c>
      <c r="C2352" t="s">
        <v>13</v>
      </c>
      <c r="D2352" t="s">
        <v>14</v>
      </c>
      <c r="E2352" t="s">
        <v>15</v>
      </c>
      <c r="F2352" t="s">
        <v>16</v>
      </c>
      <c r="G2352" t="s">
        <v>17</v>
      </c>
      <c r="H2352" t="s">
        <v>18</v>
      </c>
      <c r="I2352" t="s">
        <v>19</v>
      </c>
      <c r="J2352" t="s">
        <v>20</v>
      </c>
      <c r="K2352" t="s">
        <v>21</v>
      </c>
      <c r="L2352" t="s">
        <v>22</v>
      </c>
      <c r="M2352" t="s">
        <v>23</v>
      </c>
    </row>
    <row r="2353" spans="2:13" x14ac:dyDescent="0.2">
      <c r="B2353" t="s">
        <v>24</v>
      </c>
      <c r="C2353">
        <v>59</v>
      </c>
      <c r="E2353" t="s">
        <v>25</v>
      </c>
      <c r="F2353">
        <v>10091077.710000001</v>
      </c>
      <c r="G2353">
        <v>0.8</v>
      </c>
      <c r="H2353">
        <v>4.4889999999999999</v>
      </c>
      <c r="I2353" t="s">
        <v>26</v>
      </c>
      <c r="J2353">
        <v>0.8</v>
      </c>
      <c r="K2353">
        <v>0.1</v>
      </c>
      <c r="L2353">
        <v>7</v>
      </c>
    </row>
    <row r="2354" spans="2:13" x14ac:dyDescent="0.2">
      <c r="C2354" t="s">
        <v>27</v>
      </c>
    </row>
    <row r="2355" spans="2:13" x14ac:dyDescent="0.2">
      <c r="C2355" t="s">
        <v>28</v>
      </c>
      <c r="D2355" t="s">
        <v>16</v>
      </c>
      <c r="E2355" t="s">
        <v>29</v>
      </c>
      <c r="F2355" t="s">
        <v>18</v>
      </c>
    </row>
    <row r="2356" spans="2:13" x14ac:dyDescent="0.2">
      <c r="C2356" t="b">
        <v>0</v>
      </c>
      <c r="D2356">
        <v>10186383.6</v>
      </c>
      <c r="E2356" t="s">
        <v>67</v>
      </c>
      <c r="F2356">
        <v>4.5309999999999997</v>
      </c>
    </row>
    <row r="2357" spans="2:13" x14ac:dyDescent="0.2">
      <c r="C2357" t="b">
        <v>0</v>
      </c>
      <c r="D2357">
        <v>10071116.720000001</v>
      </c>
      <c r="E2357" t="s">
        <v>67</v>
      </c>
      <c r="F2357">
        <v>4.4800000000000004</v>
      </c>
    </row>
    <row r="2358" spans="2:13" x14ac:dyDescent="0.2">
      <c r="C2358" t="b">
        <v>0</v>
      </c>
      <c r="D2358">
        <v>10055767.98</v>
      </c>
      <c r="E2358" t="s">
        <v>67</v>
      </c>
      <c r="F2358">
        <v>4.4729999999999999</v>
      </c>
    </row>
    <row r="2359" spans="2:13" x14ac:dyDescent="0.2">
      <c r="C2359" t="b">
        <v>0</v>
      </c>
      <c r="D2359">
        <v>10109144.85</v>
      </c>
      <c r="E2359" t="s">
        <v>67</v>
      </c>
      <c r="F2359">
        <v>4.4969999999999999</v>
      </c>
    </row>
    <row r="2360" spans="2:13" x14ac:dyDescent="0.2">
      <c r="C2360" t="b">
        <v>0</v>
      </c>
      <c r="D2360">
        <v>10077071.1</v>
      </c>
      <c r="E2360" t="s">
        <v>67</v>
      </c>
      <c r="F2360">
        <v>4.4820000000000002</v>
      </c>
    </row>
    <row r="2361" spans="2:13" x14ac:dyDescent="0.2">
      <c r="C2361" t="b">
        <v>0</v>
      </c>
      <c r="D2361">
        <v>10184722.970000001</v>
      </c>
      <c r="E2361" t="s">
        <v>67</v>
      </c>
      <c r="F2361">
        <v>4.53</v>
      </c>
    </row>
    <row r="2362" spans="2:13" x14ac:dyDescent="0.2">
      <c r="C2362" t="b">
        <v>0</v>
      </c>
      <c r="D2362">
        <v>9953336.7300000004</v>
      </c>
      <c r="E2362" t="s">
        <v>67</v>
      </c>
      <c r="F2362">
        <v>4.4269999999999996</v>
      </c>
    </row>
    <row r="2363" spans="2:13" x14ac:dyDescent="0.2">
      <c r="B2363" t="s">
        <v>11</v>
      </c>
    </row>
    <row r="2364" spans="2:13" x14ac:dyDescent="0.2">
      <c r="B2364" t="s">
        <v>12</v>
      </c>
      <c r="C2364" t="s">
        <v>13</v>
      </c>
      <c r="D2364" t="s">
        <v>14</v>
      </c>
      <c r="E2364" t="s">
        <v>15</v>
      </c>
      <c r="F2364" t="s">
        <v>16</v>
      </c>
      <c r="G2364" t="s">
        <v>17</v>
      </c>
      <c r="H2364" t="s">
        <v>18</v>
      </c>
      <c r="I2364" t="s">
        <v>19</v>
      </c>
      <c r="J2364" t="s">
        <v>20</v>
      </c>
      <c r="K2364" t="s">
        <v>21</v>
      </c>
      <c r="L2364" t="s">
        <v>22</v>
      </c>
      <c r="M2364" t="s">
        <v>23</v>
      </c>
    </row>
    <row r="2365" spans="2:13" x14ac:dyDescent="0.2">
      <c r="B2365" t="s">
        <v>31</v>
      </c>
      <c r="C2365">
        <v>45</v>
      </c>
      <c r="E2365" t="s">
        <v>25</v>
      </c>
      <c r="F2365">
        <v>920.07</v>
      </c>
      <c r="G2365">
        <v>11.3</v>
      </c>
      <c r="K2365">
        <v>0.1</v>
      </c>
      <c r="L2365">
        <v>7</v>
      </c>
      <c r="M2365">
        <v>89.1</v>
      </c>
    </row>
    <row r="2366" spans="2:13" x14ac:dyDescent="0.2">
      <c r="C2366" t="s">
        <v>27</v>
      </c>
    </row>
    <row r="2367" spans="2:13" x14ac:dyDescent="0.2">
      <c r="C2367" t="s">
        <v>28</v>
      </c>
      <c r="D2367" t="s">
        <v>16</v>
      </c>
      <c r="E2367" t="s">
        <v>29</v>
      </c>
      <c r="F2367" t="s">
        <v>18</v>
      </c>
    </row>
    <row r="2368" spans="2:13" x14ac:dyDescent="0.2">
      <c r="C2368" t="b">
        <v>0</v>
      </c>
      <c r="D2368">
        <v>890.06</v>
      </c>
      <c r="E2368" t="s">
        <v>30</v>
      </c>
    </row>
    <row r="2369" spans="2:13" x14ac:dyDescent="0.2">
      <c r="C2369" t="b">
        <v>0</v>
      </c>
      <c r="D2369">
        <v>1070.08</v>
      </c>
      <c r="E2369" t="s">
        <v>30</v>
      </c>
    </row>
    <row r="2370" spans="2:13" x14ac:dyDescent="0.2">
      <c r="C2370" t="b">
        <v>0</v>
      </c>
      <c r="D2370">
        <v>760.05</v>
      </c>
      <c r="E2370" t="s">
        <v>30</v>
      </c>
    </row>
    <row r="2371" spans="2:13" x14ac:dyDescent="0.2">
      <c r="C2371" t="b">
        <v>0</v>
      </c>
      <c r="D2371">
        <v>880.06</v>
      </c>
      <c r="E2371" t="s">
        <v>30</v>
      </c>
    </row>
    <row r="2372" spans="2:13" x14ac:dyDescent="0.2">
      <c r="C2372" t="b">
        <v>0</v>
      </c>
      <c r="D2372">
        <v>930.07</v>
      </c>
      <c r="E2372" t="s">
        <v>30</v>
      </c>
    </row>
    <row r="2373" spans="2:13" x14ac:dyDescent="0.2">
      <c r="C2373" t="b">
        <v>0</v>
      </c>
      <c r="D2373">
        <v>880.06</v>
      </c>
      <c r="E2373" t="s">
        <v>30</v>
      </c>
    </row>
    <row r="2374" spans="2:13" x14ac:dyDescent="0.2">
      <c r="C2374" t="b">
        <v>0</v>
      </c>
      <c r="D2374">
        <v>1030.0899999999999</v>
      </c>
      <c r="E2374" t="s">
        <v>30</v>
      </c>
    </row>
    <row r="2375" spans="2:13" x14ac:dyDescent="0.2">
      <c r="B2375" t="s">
        <v>11</v>
      </c>
    </row>
    <row r="2376" spans="2:13" x14ac:dyDescent="0.2">
      <c r="B2376" t="s">
        <v>12</v>
      </c>
      <c r="C2376" t="s">
        <v>13</v>
      </c>
      <c r="D2376" t="s">
        <v>14</v>
      </c>
      <c r="E2376" t="s">
        <v>15</v>
      </c>
      <c r="F2376" t="s">
        <v>16</v>
      </c>
      <c r="G2376" t="s">
        <v>17</v>
      </c>
      <c r="H2376" t="s">
        <v>18</v>
      </c>
      <c r="I2376" t="s">
        <v>19</v>
      </c>
      <c r="J2376" t="s">
        <v>20</v>
      </c>
      <c r="K2376" t="s">
        <v>21</v>
      </c>
      <c r="L2376" t="s">
        <v>22</v>
      </c>
      <c r="M2376" t="s">
        <v>23</v>
      </c>
    </row>
    <row r="2377" spans="2:13" x14ac:dyDescent="0.2">
      <c r="B2377" t="s">
        <v>32</v>
      </c>
      <c r="C2377">
        <v>72</v>
      </c>
      <c r="E2377" t="s">
        <v>25</v>
      </c>
      <c r="F2377">
        <v>724.33</v>
      </c>
      <c r="G2377">
        <v>11</v>
      </c>
      <c r="K2377">
        <v>0.1</v>
      </c>
      <c r="L2377">
        <v>7</v>
      </c>
      <c r="M2377">
        <v>97.1</v>
      </c>
    </row>
    <row r="2378" spans="2:13" x14ac:dyDescent="0.2">
      <c r="C2378" t="s">
        <v>27</v>
      </c>
    </row>
    <row r="2379" spans="2:13" x14ac:dyDescent="0.2">
      <c r="C2379" t="s">
        <v>28</v>
      </c>
      <c r="D2379" t="s">
        <v>16</v>
      </c>
      <c r="E2379" t="s">
        <v>29</v>
      </c>
      <c r="F2379" t="s">
        <v>18</v>
      </c>
    </row>
    <row r="2380" spans="2:13" x14ac:dyDescent="0.2">
      <c r="C2380" t="b">
        <v>0</v>
      </c>
      <c r="D2380">
        <v>700.04</v>
      </c>
      <c r="E2380" t="s">
        <v>30</v>
      </c>
    </row>
    <row r="2381" spans="2:13" x14ac:dyDescent="0.2">
      <c r="C2381" t="b">
        <v>0</v>
      </c>
      <c r="D2381">
        <v>660.04</v>
      </c>
      <c r="E2381" t="s">
        <v>30</v>
      </c>
    </row>
    <row r="2382" spans="2:13" x14ac:dyDescent="0.2">
      <c r="C2382" t="b">
        <v>0</v>
      </c>
      <c r="D2382">
        <v>820.06</v>
      </c>
      <c r="E2382" t="s">
        <v>30</v>
      </c>
    </row>
    <row r="2383" spans="2:13" x14ac:dyDescent="0.2">
      <c r="C2383" t="b">
        <v>0</v>
      </c>
      <c r="D2383">
        <v>780.06</v>
      </c>
      <c r="E2383" t="s">
        <v>30</v>
      </c>
    </row>
    <row r="2384" spans="2:13" x14ac:dyDescent="0.2">
      <c r="C2384" t="b">
        <v>0</v>
      </c>
      <c r="D2384">
        <v>750.06</v>
      </c>
      <c r="E2384" t="s">
        <v>30</v>
      </c>
    </row>
    <row r="2385" spans="1:13" x14ac:dyDescent="0.2">
      <c r="C2385" t="b">
        <v>0</v>
      </c>
      <c r="D2385">
        <v>770.05</v>
      </c>
      <c r="E2385" t="s">
        <v>30</v>
      </c>
    </row>
    <row r="2386" spans="1:13" x14ac:dyDescent="0.2">
      <c r="C2386" t="b">
        <v>0</v>
      </c>
      <c r="D2386">
        <v>590.03</v>
      </c>
      <c r="E2386" t="s">
        <v>30</v>
      </c>
    </row>
    <row r="2387" spans="1:13" x14ac:dyDescent="0.2">
      <c r="B2387" t="s">
        <v>11</v>
      </c>
    </row>
    <row r="2388" spans="1:13" x14ac:dyDescent="0.2">
      <c r="B2388" t="s">
        <v>12</v>
      </c>
      <c r="C2388" t="s">
        <v>13</v>
      </c>
      <c r="D2388" t="s">
        <v>14</v>
      </c>
      <c r="E2388" t="s">
        <v>15</v>
      </c>
      <c r="F2388" t="s">
        <v>16</v>
      </c>
      <c r="G2388" t="s">
        <v>17</v>
      </c>
      <c r="H2388" t="s">
        <v>18</v>
      </c>
      <c r="I2388" t="s">
        <v>19</v>
      </c>
      <c r="J2388" t="s">
        <v>20</v>
      </c>
      <c r="K2388" t="s">
        <v>21</v>
      </c>
      <c r="L2388" t="s">
        <v>22</v>
      </c>
      <c r="M2388" t="s">
        <v>23</v>
      </c>
    </row>
    <row r="2389" spans="1:13" x14ac:dyDescent="0.2">
      <c r="B2389" t="s">
        <v>33</v>
      </c>
      <c r="C2389">
        <v>89</v>
      </c>
      <c r="E2389" t="s">
        <v>25</v>
      </c>
      <c r="F2389">
        <v>3499.14</v>
      </c>
      <c r="G2389">
        <v>7.4</v>
      </c>
      <c r="K2389">
        <v>0.1</v>
      </c>
      <c r="L2389">
        <v>7</v>
      </c>
      <c r="M2389">
        <v>88.7</v>
      </c>
    </row>
    <row r="2390" spans="1:13" x14ac:dyDescent="0.2">
      <c r="C2390" t="s">
        <v>27</v>
      </c>
    </row>
    <row r="2391" spans="1:13" x14ac:dyDescent="0.2">
      <c r="C2391" t="s">
        <v>28</v>
      </c>
      <c r="D2391" t="s">
        <v>16</v>
      </c>
      <c r="E2391" t="s">
        <v>29</v>
      </c>
      <c r="F2391" t="s">
        <v>18</v>
      </c>
    </row>
    <row r="2392" spans="1:13" x14ac:dyDescent="0.2">
      <c r="C2392" t="b">
        <v>0</v>
      </c>
      <c r="D2392">
        <v>3100.43</v>
      </c>
      <c r="E2392" t="s">
        <v>30</v>
      </c>
    </row>
    <row r="2393" spans="1:13" x14ac:dyDescent="0.2">
      <c r="C2393" t="b">
        <v>0</v>
      </c>
      <c r="D2393">
        <v>3660.62</v>
      </c>
      <c r="E2393" t="s">
        <v>30</v>
      </c>
    </row>
    <row r="2394" spans="1:13" x14ac:dyDescent="0.2">
      <c r="C2394" t="b">
        <v>0</v>
      </c>
      <c r="D2394">
        <v>3470.55</v>
      </c>
      <c r="E2394" t="s">
        <v>30</v>
      </c>
    </row>
    <row r="2395" spans="1:13" x14ac:dyDescent="0.2">
      <c r="C2395" t="b">
        <v>0</v>
      </c>
      <c r="D2395">
        <v>3630.62</v>
      </c>
      <c r="E2395" t="s">
        <v>30</v>
      </c>
    </row>
    <row r="2396" spans="1:13" x14ac:dyDescent="0.2">
      <c r="C2396" t="b">
        <v>0</v>
      </c>
      <c r="D2396">
        <v>3400.54</v>
      </c>
      <c r="E2396" t="s">
        <v>30</v>
      </c>
    </row>
    <row r="2397" spans="1:13" x14ac:dyDescent="0.2">
      <c r="C2397" t="b">
        <v>0</v>
      </c>
      <c r="D2397">
        <v>3900.68</v>
      </c>
      <c r="E2397" t="s">
        <v>30</v>
      </c>
    </row>
    <row r="2398" spans="1:13" x14ac:dyDescent="0.2">
      <c r="C2398" t="b">
        <v>0</v>
      </c>
      <c r="D2398">
        <v>3330.52</v>
      </c>
      <c r="E2398" t="s">
        <v>30</v>
      </c>
    </row>
    <row r="2399" spans="1:13" x14ac:dyDescent="0.2">
      <c r="A2399" t="s">
        <v>0</v>
      </c>
    </row>
    <row r="2400" spans="1:13" x14ac:dyDescent="0.2"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t="s">
        <v>6</v>
      </c>
    </row>
    <row r="2401" spans="2:13" x14ac:dyDescent="0.2">
      <c r="B2401" t="b">
        <v>0</v>
      </c>
      <c r="C2401" t="s">
        <v>180</v>
      </c>
      <c r="D2401" t="s">
        <v>181</v>
      </c>
      <c r="E2401" t="s">
        <v>0</v>
      </c>
      <c r="G2401" t="s">
        <v>182</v>
      </c>
    </row>
    <row r="2402" spans="2:13" x14ac:dyDescent="0.2">
      <c r="B2402" t="s">
        <v>11</v>
      </c>
    </row>
    <row r="2403" spans="2:13" x14ac:dyDescent="0.2">
      <c r="B2403" t="s">
        <v>12</v>
      </c>
      <c r="C2403" t="s">
        <v>13</v>
      </c>
      <c r="D2403" t="s">
        <v>14</v>
      </c>
      <c r="E2403" t="s">
        <v>15</v>
      </c>
      <c r="F2403" t="s">
        <v>16</v>
      </c>
      <c r="G2403" t="s">
        <v>17</v>
      </c>
      <c r="H2403" t="s">
        <v>18</v>
      </c>
      <c r="I2403" t="s">
        <v>19</v>
      </c>
      <c r="J2403" t="s">
        <v>20</v>
      </c>
      <c r="K2403" t="s">
        <v>21</v>
      </c>
      <c r="L2403" t="s">
        <v>22</v>
      </c>
      <c r="M2403" t="s">
        <v>23</v>
      </c>
    </row>
    <row r="2404" spans="2:13" x14ac:dyDescent="0.2">
      <c r="B2404" t="s">
        <v>24</v>
      </c>
      <c r="C2404">
        <v>59</v>
      </c>
      <c r="E2404" t="s">
        <v>25</v>
      </c>
      <c r="F2404">
        <v>8931799.5099999998</v>
      </c>
      <c r="G2404">
        <v>1.1000000000000001</v>
      </c>
      <c r="H2404">
        <v>3.9729999999999999</v>
      </c>
      <c r="I2404" t="s">
        <v>26</v>
      </c>
      <c r="J2404">
        <v>1.1000000000000001</v>
      </c>
      <c r="K2404">
        <v>0.1</v>
      </c>
      <c r="L2404">
        <v>7</v>
      </c>
    </row>
    <row r="2405" spans="2:13" x14ac:dyDescent="0.2">
      <c r="C2405" t="s">
        <v>27</v>
      </c>
    </row>
    <row r="2406" spans="2:13" x14ac:dyDescent="0.2">
      <c r="C2406" t="s">
        <v>28</v>
      </c>
      <c r="D2406" t="s">
        <v>16</v>
      </c>
      <c r="E2406" t="s">
        <v>29</v>
      </c>
      <c r="F2406" t="s">
        <v>18</v>
      </c>
    </row>
    <row r="2407" spans="2:13" x14ac:dyDescent="0.2">
      <c r="C2407" t="b">
        <v>0</v>
      </c>
      <c r="D2407">
        <v>8998215.4900000002</v>
      </c>
      <c r="E2407" t="s">
        <v>67</v>
      </c>
      <c r="F2407">
        <v>4.0019999999999998</v>
      </c>
    </row>
    <row r="2408" spans="2:13" x14ac:dyDescent="0.2">
      <c r="C2408" t="b">
        <v>0</v>
      </c>
      <c r="D2408">
        <v>9034358.6199999992</v>
      </c>
      <c r="E2408" t="s">
        <v>67</v>
      </c>
      <c r="F2408">
        <v>4.0190000000000001</v>
      </c>
    </row>
    <row r="2409" spans="2:13" x14ac:dyDescent="0.2">
      <c r="C2409" t="b">
        <v>0</v>
      </c>
      <c r="D2409">
        <v>9027492.3699999992</v>
      </c>
      <c r="E2409" t="s">
        <v>67</v>
      </c>
      <c r="F2409">
        <v>4.0149999999999997</v>
      </c>
    </row>
    <row r="2410" spans="2:13" x14ac:dyDescent="0.2">
      <c r="C2410" t="b">
        <v>0</v>
      </c>
      <c r="D2410">
        <v>8959723.6199999992</v>
      </c>
      <c r="E2410" t="s">
        <v>67</v>
      </c>
      <c r="F2410">
        <v>3.9849999999999999</v>
      </c>
    </row>
    <row r="2411" spans="2:13" x14ac:dyDescent="0.2">
      <c r="C2411" t="b">
        <v>0</v>
      </c>
      <c r="D2411">
        <v>8909173.6199999992</v>
      </c>
      <c r="E2411" t="s">
        <v>67</v>
      </c>
      <c r="F2411">
        <v>3.9630000000000001</v>
      </c>
    </row>
    <row r="2412" spans="2:13" x14ac:dyDescent="0.2">
      <c r="C2412" t="b">
        <v>0</v>
      </c>
      <c r="D2412">
        <v>8805246.1199999992</v>
      </c>
      <c r="E2412" t="s">
        <v>67</v>
      </c>
      <c r="F2412">
        <v>3.9169999999999998</v>
      </c>
    </row>
    <row r="2413" spans="2:13" x14ac:dyDescent="0.2">
      <c r="C2413" t="b">
        <v>0</v>
      </c>
      <c r="D2413">
        <v>8788386.7400000002</v>
      </c>
      <c r="E2413" t="s">
        <v>67</v>
      </c>
      <c r="F2413">
        <v>3.9089999999999998</v>
      </c>
    </row>
    <row r="2414" spans="2:13" x14ac:dyDescent="0.2">
      <c r="B2414" t="s">
        <v>11</v>
      </c>
    </row>
    <row r="2415" spans="2:13" x14ac:dyDescent="0.2">
      <c r="B2415" t="s">
        <v>12</v>
      </c>
      <c r="C2415" t="s">
        <v>13</v>
      </c>
      <c r="D2415" t="s">
        <v>14</v>
      </c>
      <c r="E2415" t="s">
        <v>15</v>
      </c>
      <c r="F2415" t="s">
        <v>16</v>
      </c>
      <c r="G2415" t="s">
        <v>17</v>
      </c>
      <c r="H2415" t="s">
        <v>18</v>
      </c>
      <c r="I2415" t="s">
        <v>19</v>
      </c>
      <c r="J2415" t="s">
        <v>20</v>
      </c>
      <c r="K2415" t="s">
        <v>21</v>
      </c>
      <c r="L2415" t="s">
        <v>22</v>
      </c>
      <c r="M2415" t="s">
        <v>23</v>
      </c>
    </row>
    <row r="2416" spans="2:13" x14ac:dyDescent="0.2">
      <c r="B2416" t="s">
        <v>31</v>
      </c>
      <c r="C2416">
        <v>45</v>
      </c>
      <c r="E2416" t="s">
        <v>25</v>
      </c>
      <c r="F2416">
        <v>878.63</v>
      </c>
      <c r="G2416">
        <v>11</v>
      </c>
      <c r="K2416">
        <v>0.1</v>
      </c>
      <c r="L2416">
        <v>7</v>
      </c>
      <c r="M2416">
        <v>85.1</v>
      </c>
    </row>
    <row r="2417" spans="2:13" x14ac:dyDescent="0.2">
      <c r="C2417" t="s">
        <v>27</v>
      </c>
    </row>
    <row r="2418" spans="2:13" x14ac:dyDescent="0.2">
      <c r="C2418" t="s">
        <v>28</v>
      </c>
      <c r="D2418" t="s">
        <v>16</v>
      </c>
      <c r="E2418" t="s">
        <v>29</v>
      </c>
      <c r="F2418" t="s">
        <v>18</v>
      </c>
    </row>
    <row r="2419" spans="2:13" x14ac:dyDescent="0.2">
      <c r="C2419" t="b">
        <v>0</v>
      </c>
      <c r="D2419">
        <v>860.06</v>
      </c>
      <c r="E2419" t="s">
        <v>30</v>
      </c>
    </row>
    <row r="2420" spans="2:13" x14ac:dyDescent="0.2">
      <c r="C2420" t="b">
        <v>0</v>
      </c>
      <c r="D2420">
        <v>790.04</v>
      </c>
      <c r="E2420" t="s">
        <v>30</v>
      </c>
    </row>
    <row r="2421" spans="2:13" x14ac:dyDescent="0.2">
      <c r="C2421" t="b">
        <v>0</v>
      </c>
      <c r="D2421">
        <v>730.04</v>
      </c>
      <c r="E2421" t="s">
        <v>30</v>
      </c>
    </row>
    <row r="2422" spans="2:13" x14ac:dyDescent="0.2">
      <c r="C2422" t="b">
        <v>0</v>
      </c>
      <c r="D2422">
        <v>940.06</v>
      </c>
      <c r="E2422" t="s">
        <v>30</v>
      </c>
    </row>
    <row r="2423" spans="2:13" x14ac:dyDescent="0.2">
      <c r="C2423" t="b">
        <v>0</v>
      </c>
      <c r="D2423">
        <v>950.07</v>
      </c>
      <c r="E2423" t="s">
        <v>30</v>
      </c>
    </row>
    <row r="2424" spans="2:13" x14ac:dyDescent="0.2">
      <c r="C2424" t="b">
        <v>0</v>
      </c>
      <c r="D2424">
        <v>870.06</v>
      </c>
      <c r="E2424" t="s">
        <v>30</v>
      </c>
    </row>
    <row r="2425" spans="2:13" x14ac:dyDescent="0.2">
      <c r="C2425" t="b">
        <v>0</v>
      </c>
      <c r="D2425">
        <v>1010.08</v>
      </c>
      <c r="E2425" t="s">
        <v>30</v>
      </c>
    </row>
    <row r="2426" spans="2:13" x14ac:dyDescent="0.2">
      <c r="B2426" t="s">
        <v>11</v>
      </c>
    </row>
    <row r="2427" spans="2:13" x14ac:dyDescent="0.2">
      <c r="B2427" t="s">
        <v>12</v>
      </c>
      <c r="C2427" t="s">
        <v>13</v>
      </c>
      <c r="D2427" t="s">
        <v>14</v>
      </c>
      <c r="E2427" t="s">
        <v>15</v>
      </c>
      <c r="F2427" t="s">
        <v>16</v>
      </c>
      <c r="G2427" t="s">
        <v>17</v>
      </c>
      <c r="H2427" t="s">
        <v>18</v>
      </c>
      <c r="I2427" t="s">
        <v>19</v>
      </c>
      <c r="J2427" t="s">
        <v>20</v>
      </c>
      <c r="K2427" t="s">
        <v>21</v>
      </c>
      <c r="L2427" t="s">
        <v>22</v>
      </c>
      <c r="M2427" t="s">
        <v>23</v>
      </c>
    </row>
    <row r="2428" spans="2:13" x14ac:dyDescent="0.2">
      <c r="B2428" t="s">
        <v>32</v>
      </c>
      <c r="C2428">
        <v>72</v>
      </c>
      <c r="E2428" t="s">
        <v>25</v>
      </c>
      <c r="F2428">
        <v>681.47</v>
      </c>
      <c r="G2428">
        <v>11.3</v>
      </c>
      <c r="K2428">
        <v>0.1</v>
      </c>
      <c r="L2428">
        <v>7</v>
      </c>
      <c r="M2428">
        <v>91.4</v>
      </c>
    </row>
    <row r="2429" spans="2:13" x14ac:dyDescent="0.2">
      <c r="C2429" t="s">
        <v>27</v>
      </c>
    </row>
    <row r="2430" spans="2:13" x14ac:dyDescent="0.2">
      <c r="C2430" t="s">
        <v>28</v>
      </c>
      <c r="D2430" t="s">
        <v>16</v>
      </c>
      <c r="E2430" t="s">
        <v>29</v>
      </c>
      <c r="F2430" t="s">
        <v>18</v>
      </c>
    </row>
    <row r="2431" spans="2:13" x14ac:dyDescent="0.2">
      <c r="C2431" t="b">
        <v>0</v>
      </c>
      <c r="D2431">
        <v>760.05</v>
      </c>
      <c r="E2431" t="s">
        <v>30</v>
      </c>
    </row>
    <row r="2432" spans="2:13" x14ac:dyDescent="0.2">
      <c r="C2432" t="b">
        <v>0</v>
      </c>
      <c r="D2432">
        <v>770.05</v>
      </c>
      <c r="E2432" t="s">
        <v>30</v>
      </c>
    </row>
    <row r="2433" spans="2:13" x14ac:dyDescent="0.2">
      <c r="C2433" t="b">
        <v>0</v>
      </c>
      <c r="D2433">
        <v>620.03</v>
      </c>
      <c r="E2433" t="s">
        <v>30</v>
      </c>
    </row>
    <row r="2434" spans="2:13" x14ac:dyDescent="0.2">
      <c r="C2434" t="b">
        <v>0</v>
      </c>
      <c r="D2434">
        <v>640.04</v>
      </c>
      <c r="E2434" t="s">
        <v>30</v>
      </c>
    </row>
    <row r="2435" spans="2:13" x14ac:dyDescent="0.2">
      <c r="C2435" t="b">
        <v>0</v>
      </c>
      <c r="D2435">
        <v>650.04</v>
      </c>
      <c r="E2435" t="s">
        <v>30</v>
      </c>
    </row>
    <row r="2436" spans="2:13" x14ac:dyDescent="0.2">
      <c r="C2436" t="b">
        <v>0</v>
      </c>
      <c r="D2436">
        <v>580.03</v>
      </c>
      <c r="E2436" t="s">
        <v>30</v>
      </c>
    </row>
    <row r="2437" spans="2:13" x14ac:dyDescent="0.2">
      <c r="C2437" t="b">
        <v>0</v>
      </c>
      <c r="D2437">
        <v>750.05</v>
      </c>
      <c r="E2437" t="s">
        <v>30</v>
      </c>
    </row>
    <row r="2438" spans="2:13" x14ac:dyDescent="0.2">
      <c r="B2438" t="s">
        <v>11</v>
      </c>
    </row>
    <row r="2439" spans="2:13" x14ac:dyDescent="0.2">
      <c r="B2439" t="s">
        <v>12</v>
      </c>
      <c r="C2439" t="s">
        <v>13</v>
      </c>
      <c r="D2439" t="s">
        <v>14</v>
      </c>
      <c r="E2439" t="s">
        <v>15</v>
      </c>
      <c r="F2439" t="s">
        <v>16</v>
      </c>
      <c r="G2439" t="s">
        <v>17</v>
      </c>
      <c r="H2439" t="s">
        <v>18</v>
      </c>
      <c r="I2439" t="s">
        <v>19</v>
      </c>
      <c r="J2439" t="s">
        <v>20</v>
      </c>
      <c r="K2439" t="s">
        <v>21</v>
      </c>
      <c r="L2439" t="s">
        <v>22</v>
      </c>
      <c r="M2439" t="s">
        <v>23</v>
      </c>
    </row>
    <row r="2440" spans="2:13" x14ac:dyDescent="0.2">
      <c r="B2440" t="s">
        <v>33</v>
      </c>
      <c r="C2440">
        <v>89</v>
      </c>
      <c r="E2440" t="s">
        <v>25</v>
      </c>
      <c r="F2440">
        <v>3407.68</v>
      </c>
      <c r="G2440">
        <v>3.6</v>
      </c>
      <c r="K2440">
        <v>0.1</v>
      </c>
      <c r="L2440">
        <v>7</v>
      </c>
      <c r="M2440">
        <v>86.4</v>
      </c>
    </row>
    <row r="2441" spans="2:13" x14ac:dyDescent="0.2">
      <c r="C2441" t="s">
        <v>27</v>
      </c>
    </row>
    <row r="2442" spans="2:13" x14ac:dyDescent="0.2">
      <c r="C2442" t="s">
        <v>28</v>
      </c>
      <c r="D2442" t="s">
        <v>16</v>
      </c>
      <c r="E2442" t="s">
        <v>29</v>
      </c>
      <c r="F2442" t="s">
        <v>18</v>
      </c>
    </row>
    <row r="2443" spans="2:13" x14ac:dyDescent="0.2">
      <c r="C2443" t="b">
        <v>0</v>
      </c>
      <c r="D2443">
        <v>3250.49</v>
      </c>
      <c r="E2443" t="s">
        <v>30</v>
      </c>
    </row>
    <row r="2444" spans="2:13" x14ac:dyDescent="0.2">
      <c r="C2444" t="b">
        <v>0</v>
      </c>
      <c r="D2444">
        <v>3320.53</v>
      </c>
      <c r="E2444" t="s">
        <v>30</v>
      </c>
    </row>
    <row r="2445" spans="2:13" x14ac:dyDescent="0.2">
      <c r="C2445" t="b">
        <v>0</v>
      </c>
      <c r="D2445">
        <v>3450.54</v>
      </c>
      <c r="E2445" t="s">
        <v>30</v>
      </c>
    </row>
    <row r="2446" spans="2:13" x14ac:dyDescent="0.2">
      <c r="C2446" t="b">
        <v>0</v>
      </c>
      <c r="D2446">
        <v>3460.56</v>
      </c>
      <c r="E2446" t="s">
        <v>30</v>
      </c>
    </row>
    <row r="2447" spans="2:13" x14ac:dyDescent="0.2">
      <c r="C2447" t="b">
        <v>0</v>
      </c>
      <c r="D2447">
        <v>3540.57</v>
      </c>
      <c r="E2447" t="s">
        <v>30</v>
      </c>
    </row>
    <row r="2448" spans="2:13" x14ac:dyDescent="0.2">
      <c r="C2448" t="b">
        <v>0</v>
      </c>
      <c r="D2448">
        <v>3280.52</v>
      </c>
      <c r="E2448" t="s">
        <v>30</v>
      </c>
    </row>
    <row r="2449" spans="1:13" x14ac:dyDescent="0.2">
      <c r="C2449" t="b">
        <v>0</v>
      </c>
      <c r="D2449">
        <v>3550.56</v>
      </c>
      <c r="E2449" t="s">
        <v>30</v>
      </c>
    </row>
    <row r="2450" spans="1:13" x14ac:dyDescent="0.2">
      <c r="A2450" t="s">
        <v>0</v>
      </c>
    </row>
    <row r="2451" spans="1:13" x14ac:dyDescent="0.2"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t="s">
        <v>6</v>
      </c>
    </row>
    <row r="2452" spans="1:13" x14ac:dyDescent="0.2">
      <c r="B2452" t="b">
        <v>0</v>
      </c>
      <c r="C2452" t="s">
        <v>183</v>
      </c>
      <c r="D2452" t="s">
        <v>184</v>
      </c>
      <c r="E2452" t="s">
        <v>0</v>
      </c>
      <c r="G2452" t="s">
        <v>185</v>
      </c>
    </row>
    <row r="2453" spans="1:13" x14ac:dyDescent="0.2">
      <c r="B2453" t="s">
        <v>11</v>
      </c>
    </row>
    <row r="2454" spans="1:13" x14ac:dyDescent="0.2">
      <c r="B2454" t="s">
        <v>12</v>
      </c>
      <c r="C2454" t="s">
        <v>13</v>
      </c>
      <c r="D2454" t="s">
        <v>14</v>
      </c>
      <c r="E2454" t="s">
        <v>15</v>
      </c>
      <c r="F2454" t="s">
        <v>16</v>
      </c>
      <c r="G2454" t="s">
        <v>17</v>
      </c>
      <c r="H2454" t="s">
        <v>18</v>
      </c>
      <c r="I2454" t="s">
        <v>19</v>
      </c>
      <c r="J2454" t="s">
        <v>20</v>
      </c>
      <c r="K2454" t="s">
        <v>21</v>
      </c>
      <c r="L2454" t="s">
        <v>22</v>
      </c>
      <c r="M2454" t="s">
        <v>23</v>
      </c>
    </row>
    <row r="2455" spans="1:13" x14ac:dyDescent="0.2">
      <c r="B2455" t="s">
        <v>24</v>
      </c>
      <c r="C2455">
        <v>59</v>
      </c>
      <c r="E2455" t="s">
        <v>25</v>
      </c>
      <c r="F2455">
        <v>10577160.199999999</v>
      </c>
      <c r="G2455">
        <v>1</v>
      </c>
      <c r="H2455">
        <v>4.7050000000000001</v>
      </c>
      <c r="I2455" t="s">
        <v>26</v>
      </c>
      <c r="J2455">
        <v>1</v>
      </c>
      <c r="K2455">
        <v>0.1</v>
      </c>
      <c r="L2455">
        <v>7</v>
      </c>
    </row>
    <row r="2456" spans="1:13" x14ac:dyDescent="0.2">
      <c r="C2456" t="s">
        <v>27</v>
      </c>
    </row>
    <row r="2457" spans="1:13" x14ac:dyDescent="0.2">
      <c r="C2457" t="s">
        <v>28</v>
      </c>
      <c r="D2457" t="s">
        <v>16</v>
      </c>
      <c r="E2457" t="s">
        <v>29</v>
      </c>
      <c r="F2457" t="s">
        <v>18</v>
      </c>
    </row>
    <row r="2458" spans="1:13" x14ac:dyDescent="0.2">
      <c r="C2458" t="b">
        <v>0</v>
      </c>
      <c r="D2458">
        <v>10524344.84</v>
      </c>
      <c r="E2458" t="s">
        <v>67</v>
      </c>
      <c r="F2458">
        <v>4.681</v>
      </c>
    </row>
    <row r="2459" spans="1:13" x14ac:dyDescent="0.2">
      <c r="C2459" t="b">
        <v>0</v>
      </c>
      <c r="D2459">
        <v>10457877.34</v>
      </c>
      <c r="E2459" t="s">
        <v>67</v>
      </c>
      <c r="F2459">
        <v>4.6520000000000001</v>
      </c>
    </row>
    <row r="2460" spans="1:13" x14ac:dyDescent="0.2">
      <c r="C2460" t="b">
        <v>0</v>
      </c>
      <c r="D2460">
        <v>10560458.59</v>
      </c>
      <c r="E2460" t="s">
        <v>67</v>
      </c>
      <c r="F2460">
        <v>4.6970000000000001</v>
      </c>
    </row>
    <row r="2461" spans="1:13" x14ac:dyDescent="0.2">
      <c r="C2461" t="b">
        <v>0</v>
      </c>
      <c r="D2461">
        <v>10638998.59</v>
      </c>
      <c r="E2461" t="s">
        <v>67</v>
      </c>
      <c r="F2461">
        <v>4.7320000000000002</v>
      </c>
    </row>
    <row r="2462" spans="1:13" x14ac:dyDescent="0.2">
      <c r="C2462" t="b">
        <v>0</v>
      </c>
      <c r="D2462">
        <v>10573563.59</v>
      </c>
      <c r="E2462" t="s">
        <v>67</v>
      </c>
      <c r="F2462">
        <v>4.7030000000000003</v>
      </c>
    </row>
    <row r="2463" spans="1:13" x14ac:dyDescent="0.2">
      <c r="C2463" t="b">
        <v>0</v>
      </c>
      <c r="D2463">
        <v>10773728.59</v>
      </c>
      <c r="E2463" t="s">
        <v>67</v>
      </c>
      <c r="F2463">
        <v>4.7919999999999998</v>
      </c>
    </row>
    <row r="2464" spans="1:13" x14ac:dyDescent="0.2">
      <c r="C2464" t="b">
        <v>0</v>
      </c>
      <c r="D2464">
        <v>10511149.84</v>
      </c>
      <c r="E2464" t="s">
        <v>67</v>
      </c>
      <c r="F2464">
        <v>4.6749999999999998</v>
      </c>
    </row>
    <row r="2465" spans="2:13" x14ac:dyDescent="0.2">
      <c r="B2465" t="s">
        <v>11</v>
      </c>
    </row>
    <row r="2466" spans="2:13" x14ac:dyDescent="0.2">
      <c r="B2466" t="s">
        <v>12</v>
      </c>
      <c r="C2466" t="s">
        <v>13</v>
      </c>
      <c r="D2466" t="s">
        <v>14</v>
      </c>
      <c r="E2466" t="s">
        <v>15</v>
      </c>
      <c r="F2466" t="s">
        <v>16</v>
      </c>
      <c r="G2466" t="s">
        <v>17</v>
      </c>
      <c r="H2466" t="s">
        <v>18</v>
      </c>
      <c r="I2466" t="s">
        <v>19</v>
      </c>
      <c r="J2466" t="s">
        <v>20</v>
      </c>
      <c r="K2466" t="s">
        <v>21</v>
      </c>
      <c r="L2466" t="s">
        <v>22</v>
      </c>
      <c r="M2466" t="s">
        <v>23</v>
      </c>
    </row>
    <row r="2467" spans="2:13" x14ac:dyDescent="0.2">
      <c r="B2467" t="s">
        <v>31</v>
      </c>
      <c r="C2467">
        <v>45</v>
      </c>
      <c r="E2467" t="s">
        <v>25</v>
      </c>
      <c r="F2467">
        <v>984.35</v>
      </c>
      <c r="G2467">
        <v>7.3</v>
      </c>
      <c r="K2467">
        <v>0.1</v>
      </c>
      <c r="L2467">
        <v>7</v>
      </c>
      <c r="M2467">
        <v>95.3</v>
      </c>
    </row>
    <row r="2468" spans="2:13" x14ac:dyDescent="0.2">
      <c r="C2468" t="s">
        <v>27</v>
      </c>
    </row>
    <row r="2469" spans="2:13" x14ac:dyDescent="0.2">
      <c r="C2469" t="s">
        <v>28</v>
      </c>
      <c r="D2469" t="s">
        <v>16</v>
      </c>
      <c r="E2469" t="s">
        <v>29</v>
      </c>
      <c r="F2469" t="s">
        <v>18</v>
      </c>
    </row>
    <row r="2470" spans="2:13" x14ac:dyDescent="0.2">
      <c r="C2470" t="b">
        <v>0</v>
      </c>
      <c r="D2470">
        <v>980.07</v>
      </c>
      <c r="E2470" t="s">
        <v>30</v>
      </c>
    </row>
    <row r="2471" spans="2:13" x14ac:dyDescent="0.2">
      <c r="C2471" t="b">
        <v>0</v>
      </c>
      <c r="D2471">
        <v>910.06</v>
      </c>
      <c r="E2471" t="s">
        <v>30</v>
      </c>
    </row>
    <row r="2472" spans="2:13" x14ac:dyDescent="0.2">
      <c r="C2472" t="b">
        <v>0</v>
      </c>
      <c r="D2472">
        <v>990.07</v>
      </c>
      <c r="E2472" t="s">
        <v>30</v>
      </c>
    </row>
    <row r="2473" spans="2:13" x14ac:dyDescent="0.2">
      <c r="C2473" t="b">
        <v>0</v>
      </c>
      <c r="D2473">
        <v>1040.07</v>
      </c>
      <c r="E2473" t="s">
        <v>30</v>
      </c>
    </row>
    <row r="2474" spans="2:13" x14ac:dyDescent="0.2">
      <c r="C2474" t="b">
        <v>0</v>
      </c>
      <c r="D2474">
        <v>980.07</v>
      </c>
      <c r="E2474" t="s">
        <v>30</v>
      </c>
    </row>
    <row r="2475" spans="2:13" x14ac:dyDescent="0.2">
      <c r="C2475" t="b">
        <v>0</v>
      </c>
      <c r="D2475">
        <v>1100.07</v>
      </c>
      <c r="E2475" t="s">
        <v>30</v>
      </c>
    </row>
    <row r="2476" spans="2:13" x14ac:dyDescent="0.2">
      <c r="C2476" t="b">
        <v>0</v>
      </c>
      <c r="D2476">
        <v>890.06</v>
      </c>
      <c r="E2476" t="s">
        <v>30</v>
      </c>
    </row>
    <row r="2477" spans="2:13" x14ac:dyDescent="0.2">
      <c r="B2477" t="s">
        <v>11</v>
      </c>
    </row>
    <row r="2478" spans="2:13" x14ac:dyDescent="0.2">
      <c r="B2478" t="s">
        <v>12</v>
      </c>
      <c r="C2478" t="s">
        <v>13</v>
      </c>
      <c r="D2478" t="s">
        <v>14</v>
      </c>
      <c r="E2478" t="s">
        <v>15</v>
      </c>
      <c r="F2478" t="s">
        <v>16</v>
      </c>
      <c r="G2478" t="s">
        <v>17</v>
      </c>
      <c r="H2478" t="s">
        <v>18</v>
      </c>
      <c r="I2478" t="s">
        <v>19</v>
      </c>
      <c r="J2478" t="s">
        <v>20</v>
      </c>
      <c r="K2478" t="s">
        <v>21</v>
      </c>
      <c r="L2478" t="s">
        <v>22</v>
      </c>
      <c r="M2478" t="s">
        <v>23</v>
      </c>
    </row>
    <row r="2479" spans="2:13" x14ac:dyDescent="0.2">
      <c r="B2479" t="s">
        <v>32</v>
      </c>
      <c r="C2479">
        <v>72</v>
      </c>
      <c r="E2479" t="s">
        <v>25</v>
      </c>
      <c r="F2479">
        <v>721.47</v>
      </c>
      <c r="G2479">
        <v>11.7</v>
      </c>
      <c r="K2479">
        <v>0.1</v>
      </c>
      <c r="L2479">
        <v>7</v>
      </c>
      <c r="M2479">
        <v>96.7</v>
      </c>
    </row>
    <row r="2480" spans="2:13" x14ac:dyDescent="0.2">
      <c r="C2480" t="s">
        <v>27</v>
      </c>
    </row>
    <row r="2481" spans="2:13" x14ac:dyDescent="0.2">
      <c r="C2481" t="s">
        <v>28</v>
      </c>
      <c r="D2481" t="s">
        <v>16</v>
      </c>
      <c r="E2481" t="s">
        <v>29</v>
      </c>
      <c r="F2481" t="s">
        <v>18</v>
      </c>
    </row>
    <row r="2482" spans="2:13" x14ac:dyDescent="0.2">
      <c r="C2482" t="b">
        <v>0</v>
      </c>
      <c r="D2482">
        <v>650.04</v>
      </c>
      <c r="E2482" t="s">
        <v>30</v>
      </c>
    </row>
    <row r="2483" spans="2:13" x14ac:dyDescent="0.2">
      <c r="C2483" t="b">
        <v>0</v>
      </c>
      <c r="D2483">
        <v>700.04</v>
      </c>
      <c r="E2483" t="s">
        <v>30</v>
      </c>
    </row>
    <row r="2484" spans="2:13" x14ac:dyDescent="0.2">
      <c r="C2484" t="b">
        <v>0</v>
      </c>
      <c r="D2484">
        <v>630.03</v>
      </c>
      <c r="E2484" t="s">
        <v>30</v>
      </c>
    </row>
    <row r="2485" spans="2:13" x14ac:dyDescent="0.2">
      <c r="C2485" t="b">
        <v>0</v>
      </c>
      <c r="D2485">
        <v>880.07</v>
      </c>
      <c r="E2485" t="s">
        <v>30</v>
      </c>
    </row>
    <row r="2486" spans="2:13" x14ac:dyDescent="0.2">
      <c r="C2486" t="b">
        <v>0</v>
      </c>
      <c r="D2486">
        <v>710.04</v>
      </c>
      <c r="E2486" t="s">
        <v>30</v>
      </c>
    </row>
    <row r="2487" spans="2:13" x14ac:dyDescent="0.2">
      <c r="C2487" t="b">
        <v>0</v>
      </c>
      <c r="D2487">
        <v>700.05</v>
      </c>
      <c r="E2487" t="s">
        <v>30</v>
      </c>
    </row>
    <row r="2488" spans="2:13" x14ac:dyDescent="0.2">
      <c r="C2488" t="b">
        <v>0</v>
      </c>
      <c r="D2488">
        <v>780.05</v>
      </c>
      <c r="E2488" t="s">
        <v>30</v>
      </c>
    </row>
    <row r="2489" spans="2:13" x14ac:dyDescent="0.2">
      <c r="B2489" t="s">
        <v>11</v>
      </c>
    </row>
    <row r="2490" spans="2:13" x14ac:dyDescent="0.2">
      <c r="B2490" t="s">
        <v>12</v>
      </c>
      <c r="C2490" t="s">
        <v>13</v>
      </c>
      <c r="D2490" t="s">
        <v>14</v>
      </c>
      <c r="E2490" t="s">
        <v>15</v>
      </c>
      <c r="F2490" t="s">
        <v>16</v>
      </c>
      <c r="G2490" t="s">
        <v>17</v>
      </c>
      <c r="H2490" t="s">
        <v>18</v>
      </c>
      <c r="I2490" t="s">
        <v>19</v>
      </c>
      <c r="J2490" t="s">
        <v>20</v>
      </c>
      <c r="K2490" t="s">
        <v>21</v>
      </c>
      <c r="L2490" t="s">
        <v>22</v>
      </c>
      <c r="M2490" t="s">
        <v>23</v>
      </c>
    </row>
    <row r="2491" spans="2:13" x14ac:dyDescent="0.2">
      <c r="B2491" t="s">
        <v>33</v>
      </c>
      <c r="C2491">
        <v>89</v>
      </c>
      <c r="E2491" t="s">
        <v>25</v>
      </c>
      <c r="F2491">
        <v>3942.14</v>
      </c>
      <c r="G2491">
        <v>5.2</v>
      </c>
      <c r="K2491">
        <v>0.1</v>
      </c>
      <c r="L2491">
        <v>7</v>
      </c>
      <c r="M2491">
        <v>99.9</v>
      </c>
    </row>
    <row r="2492" spans="2:13" x14ac:dyDescent="0.2">
      <c r="C2492" t="s">
        <v>27</v>
      </c>
    </row>
    <row r="2493" spans="2:13" x14ac:dyDescent="0.2">
      <c r="C2493" t="s">
        <v>28</v>
      </c>
      <c r="D2493" t="s">
        <v>16</v>
      </c>
      <c r="E2493" t="s">
        <v>29</v>
      </c>
      <c r="F2493" t="s">
        <v>18</v>
      </c>
    </row>
    <row r="2494" spans="2:13" x14ac:dyDescent="0.2">
      <c r="C2494" t="b">
        <v>0</v>
      </c>
      <c r="D2494">
        <v>3820.66</v>
      </c>
      <c r="E2494" t="s">
        <v>30</v>
      </c>
    </row>
    <row r="2495" spans="2:13" x14ac:dyDescent="0.2">
      <c r="C2495" t="b">
        <v>0</v>
      </c>
      <c r="D2495">
        <v>3840.69</v>
      </c>
      <c r="E2495" t="s">
        <v>30</v>
      </c>
    </row>
    <row r="2496" spans="2:13" x14ac:dyDescent="0.2">
      <c r="C2496" t="b">
        <v>0</v>
      </c>
      <c r="D2496">
        <v>3700.62</v>
      </c>
      <c r="E2496" t="s">
        <v>30</v>
      </c>
    </row>
    <row r="2497" spans="1:13" x14ac:dyDescent="0.2">
      <c r="C2497" t="b">
        <v>0</v>
      </c>
      <c r="D2497">
        <v>4210.8</v>
      </c>
      <c r="E2497" t="s">
        <v>30</v>
      </c>
    </row>
    <row r="2498" spans="1:13" x14ac:dyDescent="0.2">
      <c r="C2498" t="b">
        <v>0</v>
      </c>
      <c r="D2498">
        <v>3840.68</v>
      </c>
      <c r="E2498" t="s">
        <v>30</v>
      </c>
    </row>
    <row r="2499" spans="1:13" x14ac:dyDescent="0.2">
      <c r="C2499" t="b">
        <v>0</v>
      </c>
      <c r="D2499">
        <v>4240.8</v>
      </c>
      <c r="E2499" t="s">
        <v>30</v>
      </c>
    </row>
    <row r="2500" spans="1:13" x14ac:dyDescent="0.2">
      <c r="C2500" t="b">
        <v>0</v>
      </c>
      <c r="D2500">
        <v>3940.7</v>
      </c>
      <c r="E2500" t="s">
        <v>30</v>
      </c>
    </row>
    <row r="2501" spans="1:13" x14ac:dyDescent="0.2">
      <c r="A2501" t="s">
        <v>0</v>
      </c>
    </row>
    <row r="2502" spans="1:13" x14ac:dyDescent="0.2"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t="s">
        <v>6</v>
      </c>
    </row>
    <row r="2503" spans="1:13" x14ac:dyDescent="0.2">
      <c r="B2503" t="b">
        <v>0</v>
      </c>
      <c r="C2503" t="s">
        <v>186</v>
      </c>
      <c r="D2503" t="s">
        <v>187</v>
      </c>
      <c r="E2503" t="s">
        <v>0</v>
      </c>
      <c r="G2503" t="s">
        <v>188</v>
      </c>
    </row>
    <row r="2504" spans="1:13" x14ac:dyDescent="0.2">
      <c r="B2504" t="s">
        <v>11</v>
      </c>
    </row>
    <row r="2505" spans="1:13" x14ac:dyDescent="0.2">
      <c r="B2505" t="s">
        <v>12</v>
      </c>
      <c r="C2505" t="s">
        <v>13</v>
      </c>
      <c r="D2505" t="s">
        <v>14</v>
      </c>
      <c r="E2505" t="s">
        <v>15</v>
      </c>
      <c r="F2505" t="s">
        <v>16</v>
      </c>
      <c r="G2505" t="s">
        <v>17</v>
      </c>
      <c r="H2505" t="s">
        <v>18</v>
      </c>
      <c r="I2505" t="s">
        <v>19</v>
      </c>
      <c r="J2505" t="s">
        <v>20</v>
      </c>
      <c r="K2505" t="s">
        <v>21</v>
      </c>
      <c r="L2505" t="s">
        <v>22</v>
      </c>
      <c r="M2505" t="s">
        <v>23</v>
      </c>
    </row>
    <row r="2506" spans="1:13" x14ac:dyDescent="0.2">
      <c r="B2506" t="s">
        <v>24</v>
      </c>
      <c r="C2506">
        <v>59</v>
      </c>
      <c r="E2506" t="s">
        <v>25</v>
      </c>
      <c r="F2506">
        <v>11415385.9</v>
      </c>
      <c r="G2506">
        <v>1.5</v>
      </c>
      <c r="H2506">
        <v>5.0780000000000003</v>
      </c>
      <c r="I2506" t="s">
        <v>26</v>
      </c>
      <c r="J2506">
        <v>1.5</v>
      </c>
      <c r="K2506">
        <v>0.1</v>
      </c>
      <c r="L2506">
        <v>7</v>
      </c>
    </row>
    <row r="2507" spans="1:13" x14ac:dyDescent="0.2">
      <c r="C2507" t="s">
        <v>27</v>
      </c>
    </row>
    <row r="2508" spans="1:13" x14ac:dyDescent="0.2">
      <c r="C2508" t="s">
        <v>28</v>
      </c>
      <c r="D2508" t="s">
        <v>16</v>
      </c>
      <c r="E2508" t="s">
        <v>29</v>
      </c>
      <c r="F2508" t="s">
        <v>18</v>
      </c>
    </row>
    <row r="2509" spans="1:13" x14ac:dyDescent="0.2">
      <c r="C2509" t="b">
        <v>0</v>
      </c>
      <c r="D2509">
        <v>11543271.08</v>
      </c>
      <c r="E2509" t="s">
        <v>67</v>
      </c>
      <c r="F2509">
        <v>5.1349999999999998</v>
      </c>
    </row>
    <row r="2510" spans="1:13" x14ac:dyDescent="0.2">
      <c r="C2510" t="b">
        <v>0</v>
      </c>
      <c r="D2510">
        <v>11650518.58</v>
      </c>
      <c r="E2510" t="s">
        <v>67</v>
      </c>
      <c r="F2510">
        <v>5.1820000000000004</v>
      </c>
    </row>
    <row r="2511" spans="1:13" x14ac:dyDescent="0.2">
      <c r="C2511" t="b">
        <v>0</v>
      </c>
      <c r="D2511">
        <v>11534503.58</v>
      </c>
      <c r="E2511" t="s">
        <v>67</v>
      </c>
      <c r="F2511">
        <v>5.1310000000000002</v>
      </c>
    </row>
    <row r="2512" spans="1:13" x14ac:dyDescent="0.2">
      <c r="C2512" t="b">
        <v>0</v>
      </c>
      <c r="D2512">
        <v>11362059.83</v>
      </c>
      <c r="E2512" t="s">
        <v>67</v>
      </c>
      <c r="F2512">
        <v>5.0540000000000003</v>
      </c>
    </row>
    <row r="2513" spans="2:13" x14ac:dyDescent="0.2">
      <c r="C2513" t="b">
        <v>0</v>
      </c>
      <c r="D2513">
        <v>11361536.08</v>
      </c>
      <c r="E2513" t="s">
        <v>67</v>
      </c>
      <c r="F2513">
        <v>5.0540000000000003</v>
      </c>
    </row>
    <row r="2514" spans="2:13" x14ac:dyDescent="0.2">
      <c r="C2514" t="b">
        <v>0</v>
      </c>
      <c r="D2514">
        <v>11330898.58</v>
      </c>
      <c r="E2514" t="s">
        <v>67</v>
      </c>
      <c r="F2514">
        <v>5.04</v>
      </c>
    </row>
    <row r="2515" spans="2:13" x14ac:dyDescent="0.2">
      <c r="C2515" t="b">
        <v>0</v>
      </c>
      <c r="D2515">
        <v>11124913.58</v>
      </c>
      <c r="E2515" t="s">
        <v>67</v>
      </c>
      <c r="F2515">
        <v>4.9480000000000004</v>
      </c>
    </row>
    <row r="2516" spans="2:13" x14ac:dyDescent="0.2">
      <c r="B2516" t="s">
        <v>11</v>
      </c>
    </row>
    <row r="2517" spans="2:13" x14ac:dyDescent="0.2">
      <c r="B2517" t="s">
        <v>12</v>
      </c>
      <c r="C2517" t="s">
        <v>13</v>
      </c>
      <c r="D2517" t="s">
        <v>14</v>
      </c>
      <c r="E2517" t="s">
        <v>15</v>
      </c>
      <c r="F2517" t="s">
        <v>16</v>
      </c>
      <c r="G2517" t="s">
        <v>17</v>
      </c>
      <c r="H2517" t="s">
        <v>18</v>
      </c>
      <c r="I2517" t="s">
        <v>19</v>
      </c>
      <c r="J2517" t="s">
        <v>20</v>
      </c>
      <c r="K2517" t="s">
        <v>21</v>
      </c>
      <c r="L2517" t="s">
        <v>22</v>
      </c>
      <c r="M2517" t="s">
        <v>23</v>
      </c>
    </row>
    <row r="2518" spans="2:13" x14ac:dyDescent="0.2">
      <c r="B2518" t="s">
        <v>31</v>
      </c>
      <c r="C2518">
        <v>45</v>
      </c>
      <c r="E2518" t="s">
        <v>25</v>
      </c>
      <c r="F2518">
        <v>847.2</v>
      </c>
      <c r="G2518">
        <v>8.1999999999999993</v>
      </c>
      <c r="K2518">
        <v>0.1</v>
      </c>
      <c r="L2518">
        <v>7</v>
      </c>
      <c r="M2518">
        <v>82</v>
      </c>
    </row>
    <row r="2519" spans="2:13" x14ac:dyDescent="0.2">
      <c r="C2519" t="s">
        <v>27</v>
      </c>
    </row>
    <row r="2520" spans="2:13" x14ac:dyDescent="0.2">
      <c r="C2520" t="s">
        <v>28</v>
      </c>
      <c r="D2520" t="s">
        <v>16</v>
      </c>
      <c r="E2520" t="s">
        <v>29</v>
      </c>
      <c r="F2520" t="s">
        <v>18</v>
      </c>
    </row>
    <row r="2521" spans="2:13" x14ac:dyDescent="0.2">
      <c r="C2521" t="b">
        <v>0</v>
      </c>
      <c r="D2521">
        <v>820.05</v>
      </c>
      <c r="E2521" t="s">
        <v>30</v>
      </c>
    </row>
    <row r="2522" spans="2:13" x14ac:dyDescent="0.2">
      <c r="C2522" t="b">
        <v>0</v>
      </c>
      <c r="D2522">
        <v>830.06</v>
      </c>
      <c r="E2522" t="s">
        <v>30</v>
      </c>
    </row>
    <row r="2523" spans="2:13" x14ac:dyDescent="0.2">
      <c r="C2523" t="b">
        <v>0</v>
      </c>
      <c r="D2523">
        <v>1000.07</v>
      </c>
      <c r="E2523" t="s">
        <v>30</v>
      </c>
    </row>
    <row r="2524" spans="2:13" x14ac:dyDescent="0.2">
      <c r="C2524" t="b">
        <v>0</v>
      </c>
      <c r="D2524">
        <v>820.06</v>
      </c>
      <c r="E2524" t="s">
        <v>30</v>
      </c>
    </row>
    <row r="2525" spans="2:13" x14ac:dyDescent="0.2">
      <c r="C2525" t="b">
        <v>0</v>
      </c>
      <c r="D2525">
        <v>840.05</v>
      </c>
      <c r="E2525" t="s">
        <v>30</v>
      </c>
    </row>
    <row r="2526" spans="2:13" x14ac:dyDescent="0.2">
      <c r="C2526" t="b">
        <v>0</v>
      </c>
      <c r="D2526">
        <v>830.05</v>
      </c>
      <c r="E2526" t="s">
        <v>30</v>
      </c>
    </row>
    <row r="2527" spans="2:13" x14ac:dyDescent="0.2">
      <c r="C2527" t="b">
        <v>0</v>
      </c>
      <c r="D2527">
        <v>790.05</v>
      </c>
      <c r="E2527" t="s">
        <v>30</v>
      </c>
    </row>
    <row r="2528" spans="2:13" x14ac:dyDescent="0.2">
      <c r="B2528" t="s">
        <v>11</v>
      </c>
    </row>
    <row r="2529" spans="2:13" x14ac:dyDescent="0.2">
      <c r="B2529" t="s">
        <v>12</v>
      </c>
      <c r="C2529" t="s">
        <v>13</v>
      </c>
      <c r="D2529" t="s">
        <v>14</v>
      </c>
      <c r="E2529" t="s">
        <v>15</v>
      </c>
      <c r="F2529" t="s">
        <v>16</v>
      </c>
      <c r="G2529" t="s">
        <v>17</v>
      </c>
      <c r="H2529" t="s">
        <v>18</v>
      </c>
      <c r="I2529" t="s">
        <v>19</v>
      </c>
      <c r="J2529" t="s">
        <v>20</v>
      </c>
      <c r="K2529" t="s">
        <v>21</v>
      </c>
      <c r="L2529" t="s">
        <v>22</v>
      </c>
      <c r="M2529" t="s">
        <v>23</v>
      </c>
    </row>
    <row r="2530" spans="2:13" x14ac:dyDescent="0.2">
      <c r="B2530" t="s">
        <v>32</v>
      </c>
      <c r="C2530">
        <v>72</v>
      </c>
      <c r="E2530" t="s">
        <v>25</v>
      </c>
      <c r="F2530">
        <v>768.62</v>
      </c>
      <c r="G2530">
        <v>12</v>
      </c>
      <c r="K2530">
        <v>0.1</v>
      </c>
      <c r="L2530">
        <v>7</v>
      </c>
      <c r="M2530">
        <v>103.1</v>
      </c>
    </row>
    <row r="2531" spans="2:13" x14ac:dyDescent="0.2">
      <c r="C2531" t="s">
        <v>27</v>
      </c>
    </row>
    <row r="2532" spans="2:13" x14ac:dyDescent="0.2">
      <c r="C2532" t="s">
        <v>28</v>
      </c>
      <c r="D2532" t="s">
        <v>16</v>
      </c>
      <c r="E2532" t="s">
        <v>29</v>
      </c>
      <c r="F2532" t="s">
        <v>18</v>
      </c>
    </row>
    <row r="2533" spans="2:13" x14ac:dyDescent="0.2">
      <c r="C2533" t="b">
        <v>0</v>
      </c>
      <c r="D2533">
        <v>730.04</v>
      </c>
      <c r="E2533" t="s">
        <v>30</v>
      </c>
    </row>
    <row r="2534" spans="2:13" x14ac:dyDescent="0.2">
      <c r="C2534" t="b">
        <v>0</v>
      </c>
      <c r="D2534">
        <v>870.06</v>
      </c>
      <c r="E2534" t="s">
        <v>30</v>
      </c>
    </row>
    <row r="2535" spans="2:13" x14ac:dyDescent="0.2">
      <c r="C2535" t="b">
        <v>0</v>
      </c>
      <c r="D2535">
        <v>810.05</v>
      </c>
      <c r="E2535" t="s">
        <v>30</v>
      </c>
    </row>
    <row r="2536" spans="2:13" x14ac:dyDescent="0.2">
      <c r="C2536" t="b">
        <v>0</v>
      </c>
      <c r="D2536">
        <v>660.04</v>
      </c>
      <c r="E2536" t="s">
        <v>30</v>
      </c>
    </row>
    <row r="2537" spans="2:13" x14ac:dyDescent="0.2">
      <c r="C2537" t="b">
        <v>0</v>
      </c>
      <c r="D2537">
        <v>720.04</v>
      </c>
      <c r="E2537" t="s">
        <v>30</v>
      </c>
    </row>
    <row r="2538" spans="2:13" x14ac:dyDescent="0.2">
      <c r="C2538" t="b">
        <v>0</v>
      </c>
      <c r="D2538">
        <v>690.04</v>
      </c>
      <c r="E2538" t="s">
        <v>30</v>
      </c>
    </row>
    <row r="2539" spans="2:13" x14ac:dyDescent="0.2">
      <c r="C2539" t="b">
        <v>0</v>
      </c>
      <c r="D2539">
        <v>900.06</v>
      </c>
      <c r="E2539" t="s">
        <v>30</v>
      </c>
    </row>
    <row r="2540" spans="2:13" x14ac:dyDescent="0.2">
      <c r="B2540" t="s">
        <v>11</v>
      </c>
    </row>
    <row r="2541" spans="2:13" x14ac:dyDescent="0.2">
      <c r="B2541" t="s">
        <v>12</v>
      </c>
      <c r="C2541" t="s">
        <v>13</v>
      </c>
      <c r="D2541" t="s">
        <v>14</v>
      </c>
      <c r="E2541" t="s">
        <v>15</v>
      </c>
      <c r="F2541" t="s">
        <v>16</v>
      </c>
      <c r="G2541" t="s">
        <v>17</v>
      </c>
      <c r="H2541" t="s">
        <v>18</v>
      </c>
      <c r="I2541" t="s">
        <v>19</v>
      </c>
      <c r="J2541" t="s">
        <v>20</v>
      </c>
      <c r="K2541" t="s">
        <v>21</v>
      </c>
      <c r="L2541" t="s">
        <v>22</v>
      </c>
      <c r="M2541" t="s">
        <v>23</v>
      </c>
    </row>
    <row r="2542" spans="2:13" x14ac:dyDescent="0.2">
      <c r="B2542" t="s">
        <v>33</v>
      </c>
      <c r="C2542">
        <v>89</v>
      </c>
      <c r="E2542" t="s">
        <v>25</v>
      </c>
      <c r="F2542">
        <v>3690.61</v>
      </c>
      <c r="G2542">
        <v>7.7</v>
      </c>
      <c r="K2542">
        <v>0.1</v>
      </c>
      <c r="L2542">
        <v>7</v>
      </c>
      <c r="M2542">
        <v>93.6</v>
      </c>
    </row>
    <row r="2543" spans="2:13" x14ac:dyDescent="0.2">
      <c r="C2543" t="s">
        <v>27</v>
      </c>
    </row>
    <row r="2544" spans="2:13" x14ac:dyDescent="0.2">
      <c r="C2544" t="s">
        <v>28</v>
      </c>
      <c r="D2544" t="s">
        <v>16</v>
      </c>
      <c r="E2544" t="s">
        <v>29</v>
      </c>
      <c r="F2544" t="s">
        <v>18</v>
      </c>
    </row>
    <row r="2545" spans="1:13" x14ac:dyDescent="0.2">
      <c r="C2545" t="b">
        <v>0</v>
      </c>
      <c r="D2545">
        <v>3130.48</v>
      </c>
      <c r="E2545" t="s">
        <v>30</v>
      </c>
    </row>
    <row r="2546" spans="1:13" x14ac:dyDescent="0.2">
      <c r="C2546" t="b">
        <v>0</v>
      </c>
      <c r="D2546">
        <v>3660.58</v>
      </c>
      <c r="E2546" t="s">
        <v>30</v>
      </c>
    </row>
    <row r="2547" spans="1:13" x14ac:dyDescent="0.2">
      <c r="C2547" t="b">
        <v>0</v>
      </c>
      <c r="D2547">
        <v>3780.65</v>
      </c>
      <c r="E2547" t="s">
        <v>30</v>
      </c>
    </row>
    <row r="2548" spans="1:13" x14ac:dyDescent="0.2">
      <c r="C2548" t="b">
        <v>0</v>
      </c>
      <c r="D2548">
        <v>3720.61</v>
      </c>
      <c r="E2548" t="s">
        <v>30</v>
      </c>
    </row>
    <row r="2549" spans="1:13" x14ac:dyDescent="0.2">
      <c r="C2549" t="b">
        <v>0</v>
      </c>
      <c r="D2549">
        <v>4090.72</v>
      </c>
      <c r="E2549" t="s">
        <v>30</v>
      </c>
    </row>
    <row r="2550" spans="1:13" x14ac:dyDescent="0.2">
      <c r="C2550" t="b">
        <v>0</v>
      </c>
      <c r="D2550">
        <v>3770.63</v>
      </c>
      <c r="E2550" t="s">
        <v>30</v>
      </c>
    </row>
    <row r="2551" spans="1:13" x14ac:dyDescent="0.2">
      <c r="C2551" t="b">
        <v>0</v>
      </c>
      <c r="D2551">
        <v>3680.61</v>
      </c>
      <c r="E2551" t="s">
        <v>30</v>
      </c>
    </row>
    <row r="2552" spans="1:13" x14ac:dyDescent="0.2">
      <c r="A2552" t="s">
        <v>0</v>
      </c>
    </row>
    <row r="2553" spans="1:13" x14ac:dyDescent="0.2"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t="s">
        <v>6</v>
      </c>
    </row>
    <row r="2554" spans="1:13" x14ac:dyDescent="0.2">
      <c r="B2554" t="b">
        <v>0</v>
      </c>
      <c r="C2554" t="s">
        <v>189</v>
      </c>
      <c r="D2554" t="s">
        <v>190</v>
      </c>
      <c r="E2554" t="s">
        <v>0</v>
      </c>
      <c r="G2554" t="s">
        <v>191</v>
      </c>
    </row>
    <row r="2555" spans="1:13" x14ac:dyDescent="0.2">
      <c r="B2555" t="s">
        <v>11</v>
      </c>
    </row>
    <row r="2556" spans="1:13" x14ac:dyDescent="0.2">
      <c r="B2556" t="s">
        <v>12</v>
      </c>
      <c r="C2556" t="s">
        <v>13</v>
      </c>
      <c r="D2556" t="s">
        <v>14</v>
      </c>
      <c r="E2556" t="s">
        <v>15</v>
      </c>
      <c r="F2556" t="s">
        <v>16</v>
      </c>
      <c r="G2556" t="s">
        <v>17</v>
      </c>
      <c r="H2556" t="s">
        <v>18</v>
      </c>
      <c r="I2556" t="s">
        <v>19</v>
      </c>
      <c r="J2556" t="s">
        <v>20</v>
      </c>
      <c r="K2556" t="s">
        <v>21</v>
      </c>
      <c r="L2556" t="s">
        <v>22</v>
      </c>
      <c r="M2556" t="s">
        <v>23</v>
      </c>
    </row>
    <row r="2557" spans="1:13" x14ac:dyDescent="0.2">
      <c r="B2557" t="s">
        <v>24</v>
      </c>
      <c r="C2557">
        <v>59</v>
      </c>
      <c r="E2557" t="s">
        <v>25</v>
      </c>
      <c r="F2557">
        <v>10756878.77</v>
      </c>
      <c r="G2557">
        <v>1.5</v>
      </c>
      <c r="H2557">
        <v>4.7850000000000001</v>
      </c>
      <c r="I2557" t="s">
        <v>26</v>
      </c>
      <c r="J2557">
        <v>1.5</v>
      </c>
      <c r="K2557">
        <v>0.1</v>
      </c>
      <c r="L2557">
        <v>7</v>
      </c>
    </row>
    <row r="2558" spans="1:13" x14ac:dyDescent="0.2">
      <c r="C2558" t="s">
        <v>27</v>
      </c>
    </row>
    <row r="2559" spans="1:13" x14ac:dyDescent="0.2">
      <c r="C2559" t="s">
        <v>28</v>
      </c>
      <c r="D2559" t="s">
        <v>16</v>
      </c>
      <c r="E2559" t="s">
        <v>29</v>
      </c>
      <c r="F2559" t="s">
        <v>18</v>
      </c>
    </row>
    <row r="2560" spans="1:13" x14ac:dyDescent="0.2">
      <c r="C2560" t="b">
        <v>0</v>
      </c>
      <c r="D2560">
        <v>11081559.83</v>
      </c>
      <c r="E2560" t="s">
        <v>67</v>
      </c>
      <c r="F2560">
        <v>4.9290000000000003</v>
      </c>
    </row>
    <row r="2561" spans="2:13" x14ac:dyDescent="0.2">
      <c r="C2561" t="b">
        <v>0</v>
      </c>
      <c r="D2561">
        <v>10647062.34</v>
      </c>
      <c r="E2561" t="s">
        <v>67</v>
      </c>
      <c r="F2561">
        <v>4.7359999999999998</v>
      </c>
    </row>
    <row r="2562" spans="2:13" x14ac:dyDescent="0.2">
      <c r="C2562" t="b">
        <v>0</v>
      </c>
      <c r="D2562">
        <v>10794178.59</v>
      </c>
      <c r="E2562" t="s">
        <v>67</v>
      </c>
      <c r="F2562">
        <v>4.8010000000000002</v>
      </c>
    </row>
    <row r="2563" spans="2:13" x14ac:dyDescent="0.2">
      <c r="C2563" t="b">
        <v>0</v>
      </c>
      <c r="D2563">
        <v>10623349.84</v>
      </c>
      <c r="E2563" t="s">
        <v>67</v>
      </c>
      <c r="F2563">
        <v>4.7249999999999996</v>
      </c>
    </row>
    <row r="2564" spans="2:13" x14ac:dyDescent="0.2">
      <c r="C2564" t="b">
        <v>0</v>
      </c>
      <c r="D2564">
        <v>10655977.34</v>
      </c>
      <c r="E2564" t="s">
        <v>67</v>
      </c>
      <c r="F2564">
        <v>4.74</v>
      </c>
    </row>
    <row r="2565" spans="2:13" x14ac:dyDescent="0.2">
      <c r="C2565" t="b">
        <v>0</v>
      </c>
      <c r="D2565">
        <v>10686406.09</v>
      </c>
      <c r="E2565" t="s">
        <v>67</v>
      </c>
      <c r="F2565">
        <v>4.7530000000000001</v>
      </c>
    </row>
    <row r="2566" spans="2:13" x14ac:dyDescent="0.2">
      <c r="C2566" t="b">
        <v>0</v>
      </c>
      <c r="D2566">
        <v>10809617.34</v>
      </c>
      <c r="E2566" t="s">
        <v>67</v>
      </c>
      <c r="F2566">
        <v>4.8079999999999998</v>
      </c>
    </row>
    <row r="2567" spans="2:13" x14ac:dyDescent="0.2">
      <c r="B2567" t="s">
        <v>11</v>
      </c>
    </row>
    <row r="2568" spans="2:13" x14ac:dyDescent="0.2">
      <c r="B2568" t="s">
        <v>12</v>
      </c>
      <c r="C2568" t="s">
        <v>13</v>
      </c>
      <c r="D2568" t="s">
        <v>14</v>
      </c>
      <c r="E2568" t="s">
        <v>15</v>
      </c>
      <c r="F2568" t="s">
        <v>16</v>
      </c>
      <c r="G2568" t="s">
        <v>17</v>
      </c>
      <c r="H2568" t="s">
        <v>18</v>
      </c>
      <c r="I2568" t="s">
        <v>19</v>
      </c>
      <c r="J2568" t="s">
        <v>20</v>
      </c>
      <c r="K2568" t="s">
        <v>21</v>
      </c>
      <c r="L2568" t="s">
        <v>22</v>
      </c>
      <c r="M2568" t="s">
        <v>23</v>
      </c>
    </row>
    <row r="2569" spans="2:13" x14ac:dyDescent="0.2">
      <c r="B2569" t="s">
        <v>31</v>
      </c>
      <c r="C2569">
        <v>45</v>
      </c>
      <c r="E2569" t="s">
        <v>25</v>
      </c>
      <c r="F2569">
        <v>944.35</v>
      </c>
      <c r="G2569">
        <v>3.5</v>
      </c>
      <c r="K2569">
        <v>0.1</v>
      </c>
      <c r="L2569">
        <v>7</v>
      </c>
      <c r="M2569">
        <v>91.4</v>
      </c>
    </row>
    <row r="2570" spans="2:13" x14ac:dyDescent="0.2">
      <c r="C2570" t="s">
        <v>27</v>
      </c>
    </row>
    <row r="2571" spans="2:13" x14ac:dyDescent="0.2">
      <c r="C2571" t="s">
        <v>28</v>
      </c>
      <c r="D2571" t="s">
        <v>16</v>
      </c>
      <c r="E2571" t="s">
        <v>29</v>
      </c>
      <c r="F2571" t="s">
        <v>18</v>
      </c>
    </row>
    <row r="2572" spans="2:13" x14ac:dyDescent="0.2">
      <c r="C2572" t="b">
        <v>0</v>
      </c>
      <c r="D2572">
        <v>900.06</v>
      </c>
      <c r="E2572" t="s">
        <v>30</v>
      </c>
    </row>
    <row r="2573" spans="2:13" x14ac:dyDescent="0.2">
      <c r="C2573" t="b">
        <v>0</v>
      </c>
      <c r="D2573">
        <v>930.06</v>
      </c>
      <c r="E2573" t="s">
        <v>30</v>
      </c>
    </row>
    <row r="2574" spans="2:13" x14ac:dyDescent="0.2">
      <c r="C2574" t="b">
        <v>0</v>
      </c>
      <c r="D2574">
        <v>920.06</v>
      </c>
      <c r="E2574" t="s">
        <v>30</v>
      </c>
    </row>
    <row r="2575" spans="2:13" x14ac:dyDescent="0.2">
      <c r="C2575" t="b">
        <v>0</v>
      </c>
      <c r="D2575">
        <v>970.06</v>
      </c>
      <c r="E2575" t="s">
        <v>30</v>
      </c>
    </row>
    <row r="2576" spans="2:13" x14ac:dyDescent="0.2">
      <c r="C2576" t="b">
        <v>0</v>
      </c>
      <c r="D2576">
        <v>940.06</v>
      </c>
      <c r="E2576" t="s">
        <v>30</v>
      </c>
    </row>
    <row r="2577" spans="2:13" x14ac:dyDescent="0.2">
      <c r="C2577" t="b">
        <v>0</v>
      </c>
      <c r="D2577">
        <v>950.08</v>
      </c>
      <c r="E2577" t="s">
        <v>30</v>
      </c>
    </row>
    <row r="2578" spans="2:13" x14ac:dyDescent="0.2">
      <c r="C2578" t="b">
        <v>0</v>
      </c>
      <c r="D2578">
        <v>1000.07</v>
      </c>
      <c r="E2578" t="s">
        <v>30</v>
      </c>
    </row>
    <row r="2579" spans="2:13" x14ac:dyDescent="0.2">
      <c r="B2579" t="s">
        <v>11</v>
      </c>
    </row>
    <row r="2580" spans="2:13" x14ac:dyDescent="0.2">
      <c r="B2580" t="s">
        <v>12</v>
      </c>
      <c r="C2580" t="s">
        <v>13</v>
      </c>
      <c r="D2580" t="s">
        <v>14</v>
      </c>
      <c r="E2580" t="s">
        <v>15</v>
      </c>
      <c r="F2580" t="s">
        <v>16</v>
      </c>
      <c r="G2580" t="s">
        <v>17</v>
      </c>
      <c r="H2580" t="s">
        <v>18</v>
      </c>
      <c r="I2580" t="s">
        <v>19</v>
      </c>
      <c r="J2580" t="s">
        <v>20</v>
      </c>
      <c r="K2580" t="s">
        <v>21</v>
      </c>
      <c r="L2580" t="s">
        <v>22</v>
      </c>
      <c r="M2580" t="s">
        <v>23</v>
      </c>
    </row>
    <row r="2581" spans="2:13" x14ac:dyDescent="0.2">
      <c r="B2581" t="s">
        <v>32</v>
      </c>
      <c r="C2581">
        <v>72</v>
      </c>
      <c r="E2581" t="s">
        <v>25</v>
      </c>
      <c r="F2581">
        <v>748.62</v>
      </c>
      <c r="G2581">
        <v>16.5</v>
      </c>
      <c r="K2581">
        <v>0.1</v>
      </c>
      <c r="L2581">
        <v>7</v>
      </c>
      <c r="M2581">
        <v>100.4</v>
      </c>
    </row>
    <row r="2582" spans="2:13" x14ac:dyDescent="0.2">
      <c r="C2582" t="s">
        <v>27</v>
      </c>
    </row>
    <row r="2583" spans="2:13" x14ac:dyDescent="0.2">
      <c r="C2583" t="s">
        <v>28</v>
      </c>
      <c r="D2583" t="s">
        <v>16</v>
      </c>
      <c r="E2583" t="s">
        <v>29</v>
      </c>
      <c r="F2583" t="s">
        <v>18</v>
      </c>
    </row>
    <row r="2584" spans="2:13" x14ac:dyDescent="0.2">
      <c r="C2584" t="b">
        <v>0</v>
      </c>
      <c r="D2584">
        <v>990.07</v>
      </c>
      <c r="E2584" t="s">
        <v>30</v>
      </c>
    </row>
    <row r="2585" spans="2:13" x14ac:dyDescent="0.2">
      <c r="C2585" t="b">
        <v>0</v>
      </c>
      <c r="D2585">
        <v>700.04</v>
      </c>
      <c r="E2585" t="s">
        <v>30</v>
      </c>
    </row>
    <row r="2586" spans="2:13" x14ac:dyDescent="0.2">
      <c r="C2586" t="b">
        <v>0</v>
      </c>
      <c r="D2586">
        <v>770.05</v>
      </c>
      <c r="E2586" t="s">
        <v>30</v>
      </c>
    </row>
    <row r="2587" spans="2:13" x14ac:dyDescent="0.2">
      <c r="C2587" t="b">
        <v>0</v>
      </c>
      <c r="D2587">
        <v>740.05</v>
      </c>
      <c r="E2587" t="s">
        <v>30</v>
      </c>
    </row>
    <row r="2588" spans="2:13" x14ac:dyDescent="0.2">
      <c r="C2588" t="b">
        <v>0</v>
      </c>
      <c r="D2588">
        <v>650.03</v>
      </c>
      <c r="E2588" t="s">
        <v>30</v>
      </c>
    </row>
    <row r="2589" spans="2:13" x14ac:dyDescent="0.2">
      <c r="C2589" t="b">
        <v>0</v>
      </c>
      <c r="D2589">
        <v>780.06</v>
      </c>
      <c r="E2589" t="s">
        <v>30</v>
      </c>
    </row>
    <row r="2590" spans="2:13" x14ac:dyDescent="0.2">
      <c r="C2590" t="b">
        <v>0</v>
      </c>
      <c r="D2590">
        <v>610.03</v>
      </c>
      <c r="E2590" t="s">
        <v>30</v>
      </c>
    </row>
    <row r="2591" spans="2:13" x14ac:dyDescent="0.2">
      <c r="B2591" t="s">
        <v>11</v>
      </c>
    </row>
    <row r="2592" spans="2:13" x14ac:dyDescent="0.2">
      <c r="B2592" t="s">
        <v>12</v>
      </c>
      <c r="C2592" t="s">
        <v>13</v>
      </c>
      <c r="D2592" t="s">
        <v>14</v>
      </c>
      <c r="E2592" t="s">
        <v>15</v>
      </c>
      <c r="F2592" t="s">
        <v>16</v>
      </c>
      <c r="G2592" t="s">
        <v>17</v>
      </c>
      <c r="H2592" t="s">
        <v>18</v>
      </c>
      <c r="I2592" t="s">
        <v>19</v>
      </c>
      <c r="J2592" t="s">
        <v>20</v>
      </c>
      <c r="K2592" t="s">
        <v>21</v>
      </c>
      <c r="L2592" t="s">
        <v>22</v>
      </c>
      <c r="M2592" t="s">
        <v>23</v>
      </c>
    </row>
    <row r="2593" spans="1:13" x14ac:dyDescent="0.2">
      <c r="B2593" t="s">
        <v>33</v>
      </c>
      <c r="C2593">
        <v>89</v>
      </c>
      <c r="E2593" t="s">
        <v>25</v>
      </c>
      <c r="F2593">
        <v>3995.01</v>
      </c>
      <c r="G2593">
        <v>8.4</v>
      </c>
      <c r="K2593">
        <v>0.1</v>
      </c>
      <c r="L2593">
        <v>7</v>
      </c>
      <c r="M2593">
        <v>101.3</v>
      </c>
    </row>
    <row r="2594" spans="1:13" x14ac:dyDescent="0.2">
      <c r="C2594" t="s">
        <v>27</v>
      </c>
    </row>
    <row r="2595" spans="1:13" x14ac:dyDescent="0.2">
      <c r="C2595" t="s">
        <v>28</v>
      </c>
      <c r="D2595" t="s">
        <v>16</v>
      </c>
      <c r="E2595" t="s">
        <v>29</v>
      </c>
      <c r="F2595" t="s">
        <v>18</v>
      </c>
    </row>
    <row r="2596" spans="1:13" x14ac:dyDescent="0.2">
      <c r="C2596" t="b">
        <v>0</v>
      </c>
      <c r="D2596">
        <v>4230.83</v>
      </c>
      <c r="E2596" t="s">
        <v>30</v>
      </c>
    </row>
    <row r="2597" spans="1:13" x14ac:dyDescent="0.2">
      <c r="C2597" t="b">
        <v>0</v>
      </c>
      <c r="D2597">
        <v>3570.59</v>
      </c>
      <c r="E2597" t="s">
        <v>30</v>
      </c>
    </row>
    <row r="2598" spans="1:13" x14ac:dyDescent="0.2">
      <c r="C2598" t="b">
        <v>0</v>
      </c>
      <c r="D2598">
        <v>4320.83</v>
      </c>
      <c r="E2598" t="s">
        <v>30</v>
      </c>
    </row>
    <row r="2599" spans="1:13" x14ac:dyDescent="0.2">
      <c r="C2599" t="b">
        <v>0</v>
      </c>
      <c r="D2599">
        <v>4020.74</v>
      </c>
      <c r="E2599" t="s">
        <v>30</v>
      </c>
    </row>
    <row r="2600" spans="1:13" x14ac:dyDescent="0.2">
      <c r="C2600" t="b">
        <v>0</v>
      </c>
      <c r="D2600">
        <v>3540.58</v>
      </c>
      <c r="E2600" t="s">
        <v>30</v>
      </c>
    </row>
    <row r="2601" spans="1:13" x14ac:dyDescent="0.2">
      <c r="C2601" t="b">
        <v>0</v>
      </c>
      <c r="D2601">
        <v>3940.71</v>
      </c>
      <c r="E2601" t="s">
        <v>30</v>
      </c>
    </row>
    <row r="2602" spans="1:13" x14ac:dyDescent="0.2">
      <c r="C2602" t="b">
        <v>0</v>
      </c>
      <c r="D2602">
        <v>4340.8</v>
      </c>
      <c r="E2602" t="s">
        <v>30</v>
      </c>
    </row>
    <row r="2603" spans="1:13" x14ac:dyDescent="0.2">
      <c r="A2603" t="s">
        <v>0</v>
      </c>
    </row>
    <row r="2604" spans="1:13" x14ac:dyDescent="0.2">
      <c r="B2604" t="s">
        <v>1</v>
      </c>
      <c r="C2604" t="s">
        <v>2</v>
      </c>
      <c r="D2604" t="s">
        <v>3</v>
      </c>
      <c r="E2604" t="s">
        <v>4</v>
      </c>
      <c r="F2604" t="s">
        <v>5</v>
      </c>
      <c r="G2604" t="s">
        <v>6</v>
      </c>
    </row>
    <row r="2605" spans="1:13" x14ac:dyDescent="0.2">
      <c r="B2605" t="b">
        <v>0</v>
      </c>
      <c r="C2605" t="s">
        <v>192</v>
      </c>
      <c r="D2605" t="s">
        <v>193</v>
      </c>
      <c r="E2605" t="s">
        <v>9</v>
      </c>
      <c r="G2605" t="s">
        <v>194</v>
      </c>
    </row>
    <row r="2606" spans="1:13" x14ac:dyDescent="0.2">
      <c r="B2606" t="s">
        <v>11</v>
      </c>
    </row>
    <row r="2607" spans="1:13" x14ac:dyDescent="0.2">
      <c r="B2607" t="s">
        <v>12</v>
      </c>
      <c r="C2607" t="s">
        <v>13</v>
      </c>
      <c r="D2607" t="s">
        <v>14</v>
      </c>
      <c r="E2607" t="s">
        <v>15</v>
      </c>
      <c r="F2607" t="s">
        <v>16</v>
      </c>
      <c r="G2607" t="s">
        <v>17</v>
      </c>
      <c r="H2607" t="s">
        <v>18</v>
      </c>
      <c r="I2607" t="s">
        <v>19</v>
      </c>
      <c r="J2607" t="s">
        <v>20</v>
      </c>
      <c r="K2607" t="s">
        <v>21</v>
      </c>
      <c r="L2607" t="s">
        <v>22</v>
      </c>
      <c r="M2607" t="s">
        <v>23</v>
      </c>
    </row>
    <row r="2608" spans="1:13" x14ac:dyDescent="0.2">
      <c r="B2608" t="s">
        <v>24</v>
      </c>
      <c r="C2608">
        <v>59</v>
      </c>
      <c r="E2608" t="s">
        <v>25</v>
      </c>
      <c r="F2608">
        <v>1225.81</v>
      </c>
      <c r="G2608">
        <v>13.4</v>
      </c>
      <c r="H2608">
        <v>1E-3</v>
      </c>
      <c r="I2608" t="s">
        <v>26</v>
      </c>
      <c r="J2608">
        <v>14</v>
      </c>
      <c r="K2608">
        <v>0.1</v>
      </c>
      <c r="L2608">
        <v>7</v>
      </c>
    </row>
    <row r="2609" spans="2:13" x14ac:dyDescent="0.2">
      <c r="C2609" t="s">
        <v>27</v>
      </c>
    </row>
    <row r="2610" spans="2:13" x14ac:dyDescent="0.2">
      <c r="C2610" t="s">
        <v>28</v>
      </c>
      <c r="D2610" t="s">
        <v>16</v>
      </c>
      <c r="E2610" t="s">
        <v>29</v>
      </c>
      <c r="F2610" t="s">
        <v>18</v>
      </c>
    </row>
    <row r="2611" spans="2:13" x14ac:dyDescent="0.2">
      <c r="C2611" t="b">
        <v>0</v>
      </c>
      <c r="D2611">
        <v>1070.08</v>
      </c>
      <c r="E2611" t="s">
        <v>30</v>
      </c>
      <c r="F2611">
        <v>0</v>
      </c>
    </row>
    <row r="2612" spans="2:13" x14ac:dyDescent="0.2">
      <c r="C2612" t="b">
        <v>0</v>
      </c>
      <c r="D2612">
        <v>1190.0899999999999</v>
      </c>
      <c r="E2612" t="s">
        <v>30</v>
      </c>
      <c r="F2612">
        <v>1E-3</v>
      </c>
    </row>
    <row r="2613" spans="2:13" x14ac:dyDescent="0.2">
      <c r="C2613" t="b">
        <v>0</v>
      </c>
      <c r="D2613">
        <v>1280.1099999999999</v>
      </c>
      <c r="E2613" t="s">
        <v>30</v>
      </c>
      <c r="F2613">
        <v>1E-3</v>
      </c>
    </row>
    <row r="2614" spans="2:13" x14ac:dyDescent="0.2">
      <c r="C2614" t="b">
        <v>0</v>
      </c>
      <c r="D2614">
        <v>1540.14</v>
      </c>
      <c r="E2614" t="s">
        <v>30</v>
      </c>
      <c r="F2614">
        <v>1E-3</v>
      </c>
    </row>
    <row r="2615" spans="2:13" x14ac:dyDescent="0.2">
      <c r="C2615" t="b">
        <v>0</v>
      </c>
      <c r="D2615">
        <v>1160.0899999999999</v>
      </c>
      <c r="E2615" t="s">
        <v>30</v>
      </c>
      <c r="F2615">
        <v>0</v>
      </c>
    </row>
    <row r="2616" spans="2:13" x14ac:dyDescent="0.2">
      <c r="C2616" t="b">
        <v>0</v>
      </c>
      <c r="D2616">
        <v>1280.0999999999999</v>
      </c>
      <c r="E2616" t="s">
        <v>30</v>
      </c>
      <c r="F2616">
        <v>1E-3</v>
      </c>
    </row>
    <row r="2617" spans="2:13" x14ac:dyDescent="0.2">
      <c r="C2617" t="b">
        <v>0</v>
      </c>
      <c r="D2617">
        <v>1060.07</v>
      </c>
      <c r="E2617" t="s">
        <v>30</v>
      </c>
      <c r="F2617">
        <v>0</v>
      </c>
    </row>
    <row r="2618" spans="2:13" x14ac:dyDescent="0.2">
      <c r="B2618" t="s">
        <v>11</v>
      </c>
    </row>
    <row r="2619" spans="2:13" x14ac:dyDescent="0.2">
      <c r="B2619" t="s">
        <v>12</v>
      </c>
      <c r="C2619" t="s">
        <v>13</v>
      </c>
      <c r="D2619" t="s">
        <v>14</v>
      </c>
      <c r="E2619" t="s">
        <v>15</v>
      </c>
      <c r="F2619" t="s">
        <v>16</v>
      </c>
      <c r="G2619" t="s">
        <v>17</v>
      </c>
      <c r="H2619" t="s">
        <v>18</v>
      </c>
      <c r="I2619" t="s">
        <v>19</v>
      </c>
      <c r="J2619" t="s">
        <v>20</v>
      </c>
      <c r="K2619" t="s">
        <v>21</v>
      </c>
      <c r="L2619" t="s">
        <v>22</v>
      </c>
      <c r="M2619" t="s">
        <v>23</v>
      </c>
    </row>
    <row r="2620" spans="2:13" x14ac:dyDescent="0.2">
      <c r="B2620" t="s">
        <v>31</v>
      </c>
      <c r="C2620">
        <v>45</v>
      </c>
      <c r="E2620" t="s">
        <v>25</v>
      </c>
      <c r="F2620">
        <v>1071.51</v>
      </c>
      <c r="G2620">
        <v>5.4</v>
      </c>
      <c r="K2620">
        <v>0.1</v>
      </c>
      <c r="L2620">
        <v>7</v>
      </c>
      <c r="M2620">
        <v>103.7</v>
      </c>
    </row>
    <row r="2621" spans="2:13" x14ac:dyDescent="0.2">
      <c r="C2621" t="s">
        <v>27</v>
      </c>
    </row>
    <row r="2622" spans="2:13" x14ac:dyDescent="0.2">
      <c r="C2622" t="s">
        <v>28</v>
      </c>
      <c r="D2622" t="s">
        <v>16</v>
      </c>
      <c r="E2622" t="s">
        <v>29</v>
      </c>
      <c r="F2622" t="s">
        <v>18</v>
      </c>
    </row>
    <row r="2623" spans="2:13" x14ac:dyDescent="0.2">
      <c r="C2623" t="b">
        <v>0</v>
      </c>
      <c r="D2623">
        <v>1120.08</v>
      </c>
      <c r="E2623" t="s">
        <v>30</v>
      </c>
    </row>
    <row r="2624" spans="2:13" x14ac:dyDescent="0.2">
      <c r="C2624" t="b">
        <v>0</v>
      </c>
      <c r="D2624">
        <v>1110.0899999999999</v>
      </c>
      <c r="E2624" t="s">
        <v>30</v>
      </c>
    </row>
    <row r="2625" spans="2:13" x14ac:dyDescent="0.2">
      <c r="C2625" t="b">
        <v>0</v>
      </c>
      <c r="D2625">
        <v>980.07</v>
      </c>
      <c r="E2625" t="s">
        <v>30</v>
      </c>
    </row>
    <row r="2626" spans="2:13" x14ac:dyDescent="0.2">
      <c r="C2626" t="b">
        <v>0</v>
      </c>
      <c r="D2626">
        <v>1040.07</v>
      </c>
      <c r="E2626" t="s">
        <v>30</v>
      </c>
    </row>
    <row r="2627" spans="2:13" x14ac:dyDescent="0.2">
      <c r="C2627" t="b">
        <v>0</v>
      </c>
      <c r="D2627">
        <v>1130.08</v>
      </c>
      <c r="E2627" t="s">
        <v>30</v>
      </c>
    </row>
    <row r="2628" spans="2:13" x14ac:dyDescent="0.2">
      <c r="C2628" t="b">
        <v>0</v>
      </c>
      <c r="D2628">
        <v>1100.0999999999999</v>
      </c>
      <c r="E2628" t="s">
        <v>30</v>
      </c>
    </row>
    <row r="2629" spans="2:13" x14ac:dyDescent="0.2">
      <c r="C2629" t="b">
        <v>0</v>
      </c>
      <c r="D2629">
        <v>1020.08</v>
      </c>
      <c r="E2629" t="s">
        <v>30</v>
      </c>
    </row>
    <row r="2630" spans="2:13" x14ac:dyDescent="0.2">
      <c r="B2630" t="s">
        <v>11</v>
      </c>
    </row>
    <row r="2631" spans="2:13" x14ac:dyDescent="0.2">
      <c r="B2631" t="s">
        <v>12</v>
      </c>
      <c r="C2631" t="s">
        <v>13</v>
      </c>
      <c r="D2631" t="s">
        <v>14</v>
      </c>
      <c r="E2631" t="s">
        <v>15</v>
      </c>
      <c r="F2631" t="s">
        <v>16</v>
      </c>
      <c r="G2631" t="s">
        <v>17</v>
      </c>
      <c r="H2631" t="s">
        <v>18</v>
      </c>
      <c r="I2631" t="s">
        <v>19</v>
      </c>
      <c r="J2631" t="s">
        <v>20</v>
      </c>
      <c r="K2631" t="s">
        <v>21</v>
      </c>
      <c r="L2631" t="s">
        <v>22</v>
      </c>
      <c r="M2631" t="s">
        <v>23</v>
      </c>
    </row>
    <row r="2632" spans="2:13" x14ac:dyDescent="0.2">
      <c r="B2632" t="s">
        <v>32</v>
      </c>
      <c r="C2632">
        <v>72</v>
      </c>
      <c r="E2632" t="s">
        <v>25</v>
      </c>
      <c r="F2632">
        <v>692.9</v>
      </c>
      <c r="G2632">
        <v>11.2</v>
      </c>
      <c r="K2632">
        <v>0.1</v>
      </c>
      <c r="L2632">
        <v>7</v>
      </c>
      <c r="M2632">
        <v>92.9</v>
      </c>
    </row>
    <row r="2633" spans="2:13" x14ac:dyDescent="0.2">
      <c r="C2633" t="s">
        <v>27</v>
      </c>
    </row>
    <row r="2634" spans="2:13" x14ac:dyDescent="0.2">
      <c r="C2634" t="s">
        <v>28</v>
      </c>
      <c r="D2634" t="s">
        <v>16</v>
      </c>
      <c r="E2634" t="s">
        <v>29</v>
      </c>
      <c r="F2634" t="s">
        <v>18</v>
      </c>
    </row>
    <row r="2635" spans="2:13" x14ac:dyDescent="0.2">
      <c r="C2635" t="b">
        <v>0</v>
      </c>
      <c r="D2635">
        <v>680.05</v>
      </c>
      <c r="E2635" t="s">
        <v>30</v>
      </c>
    </row>
    <row r="2636" spans="2:13" x14ac:dyDescent="0.2">
      <c r="C2636" t="b">
        <v>0</v>
      </c>
      <c r="D2636">
        <v>770.05</v>
      </c>
      <c r="E2636" t="s">
        <v>30</v>
      </c>
    </row>
    <row r="2637" spans="2:13" x14ac:dyDescent="0.2">
      <c r="C2637" t="b">
        <v>0</v>
      </c>
      <c r="D2637">
        <v>750.06</v>
      </c>
      <c r="E2637" t="s">
        <v>30</v>
      </c>
    </row>
    <row r="2638" spans="2:13" x14ac:dyDescent="0.2">
      <c r="C2638" t="b">
        <v>0</v>
      </c>
      <c r="D2638">
        <v>570.04</v>
      </c>
      <c r="E2638" t="s">
        <v>30</v>
      </c>
    </row>
    <row r="2639" spans="2:13" x14ac:dyDescent="0.2">
      <c r="C2639" t="b">
        <v>0</v>
      </c>
      <c r="D2639">
        <v>640.03</v>
      </c>
      <c r="E2639" t="s">
        <v>30</v>
      </c>
    </row>
    <row r="2640" spans="2:13" x14ac:dyDescent="0.2">
      <c r="C2640" t="b">
        <v>0</v>
      </c>
      <c r="D2640">
        <v>660.04</v>
      </c>
      <c r="E2640" t="s">
        <v>30</v>
      </c>
    </row>
    <row r="2641" spans="1:13" x14ac:dyDescent="0.2">
      <c r="C2641" t="b">
        <v>0</v>
      </c>
      <c r="D2641">
        <v>780.05</v>
      </c>
      <c r="E2641" t="s">
        <v>30</v>
      </c>
    </row>
    <row r="2642" spans="1:13" x14ac:dyDescent="0.2">
      <c r="B2642" t="s">
        <v>11</v>
      </c>
    </row>
    <row r="2643" spans="1:13" x14ac:dyDescent="0.2">
      <c r="B2643" t="s">
        <v>12</v>
      </c>
      <c r="C2643" t="s">
        <v>13</v>
      </c>
      <c r="D2643" t="s">
        <v>14</v>
      </c>
      <c r="E2643" t="s">
        <v>15</v>
      </c>
      <c r="F2643" t="s">
        <v>16</v>
      </c>
      <c r="G2643" t="s">
        <v>17</v>
      </c>
      <c r="H2643" t="s">
        <v>18</v>
      </c>
      <c r="I2643" t="s">
        <v>19</v>
      </c>
      <c r="J2643" t="s">
        <v>20</v>
      </c>
      <c r="K2643" t="s">
        <v>21</v>
      </c>
      <c r="L2643" t="s">
        <v>22</v>
      </c>
      <c r="M2643" t="s">
        <v>23</v>
      </c>
    </row>
    <row r="2644" spans="1:13" x14ac:dyDescent="0.2">
      <c r="B2644" t="s">
        <v>33</v>
      </c>
      <c r="C2644">
        <v>89</v>
      </c>
      <c r="E2644" t="s">
        <v>25</v>
      </c>
      <c r="F2644">
        <v>3733.5</v>
      </c>
      <c r="G2644">
        <v>8</v>
      </c>
      <c r="K2644">
        <v>0.1</v>
      </c>
      <c r="L2644">
        <v>7</v>
      </c>
      <c r="M2644">
        <v>94.6</v>
      </c>
    </row>
    <row r="2645" spans="1:13" x14ac:dyDescent="0.2">
      <c r="C2645" t="s">
        <v>27</v>
      </c>
    </row>
    <row r="2646" spans="1:13" x14ac:dyDescent="0.2">
      <c r="C2646" t="s">
        <v>28</v>
      </c>
      <c r="D2646" t="s">
        <v>16</v>
      </c>
      <c r="E2646" t="s">
        <v>29</v>
      </c>
      <c r="F2646" t="s">
        <v>18</v>
      </c>
    </row>
    <row r="2647" spans="1:13" x14ac:dyDescent="0.2">
      <c r="C2647" t="b">
        <v>0</v>
      </c>
      <c r="D2647">
        <v>3700.65</v>
      </c>
      <c r="E2647" t="s">
        <v>30</v>
      </c>
    </row>
    <row r="2648" spans="1:13" x14ac:dyDescent="0.2">
      <c r="C2648" t="b">
        <v>0</v>
      </c>
      <c r="D2648">
        <v>3560.58</v>
      </c>
      <c r="E2648" t="s">
        <v>30</v>
      </c>
    </row>
    <row r="2649" spans="1:13" x14ac:dyDescent="0.2">
      <c r="C2649" t="b">
        <v>0</v>
      </c>
      <c r="D2649">
        <v>3430.54</v>
      </c>
      <c r="E2649" t="s">
        <v>30</v>
      </c>
    </row>
    <row r="2650" spans="1:13" x14ac:dyDescent="0.2">
      <c r="C2650" t="b">
        <v>0</v>
      </c>
      <c r="D2650">
        <v>3600.59</v>
      </c>
      <c r="E2650" t="s">
        <v>30</v>
      </c>
    </row>
    <row r="2651" spans="1:13" x14ac:dyDescent="0.2">
      <c r="C2651" t="b">
        <v>0</v>
      </c>
      <c r="D2651">
        <v>3530.58</v>
      </c>
      <c r="E2651" t="s">
        <v>30</v>
      </c>
    </row>
    <row r="2652" spans="1:13" x14ac:dyDescent="0.2">
      <c r="C2652" t="b">
        <v>0</v>
      </c>
      <c r="D2652">
        <v>4120.76</v>
      </c>
      <c r="E2652" t="s">
        <v>30</v>
      </c>
    </row>
    <row r="2653" spans="1:13" x14ac:dyDescent="0.2">
      <c r="C2653" t="b">
        <v>0</v>
      </c>
      <c r="D2653">
        <v>4190.82</v>
      </c>
      <c r="E2653" t="s">
        <v>30</v>
      </c>
    </row>
    <row r="2654" spans="1:13" x14ac:dyDescent="0.2">
      <c r="A2654" t="s">
        <v>0</v>
      </c>
    </row>
    <row r="2655" spans="1:13" x14ac:dyDescent="0.2">
      <c r="B2655" t="s">
        <v>1</v>
      </c>
      <c r="C2655" t="s">
        <v>2</v>
      </c>
      <c r="D2655" t="s">
        <v>3</v>
      </c>
      <c r="E2655" t="s">
        <v>4</v>
      </c>
      <c r="F2655" t="s">
        <v>5</v>
      </c>
      <c r="G2655" t="s">
        <v>6</v>
      </c>
    </row>
    <row r="2656" spans="1:13" x14ac:dyDescent="0.2">
      <c r="B2656" t="b">
        <v>0</v>
      </c>
      <c r="C2656" t="s">
        <v>195</v>
      </c>
      <c r="D2656" t="s">
        <v>196</v>
      </c>
      <c r="E2656" t="s">
        <v>0</v>
      </c>
      <c r="G2656" t="s">
        <v>197</v>
      </c>
    </row>
    <row r="2657" spans="2:13" x14ac:dyDescent="0.2">
      <c r="B2657" t="s">
        <v>11</v>
      </c>
    </row>
    <row r="2658" spans="2:13" x14ac:dyDescent="0.2">
      <c r="B2658" t="s">
        <v>12</v>
      </c>
      <c r="C2658" t="s">
        <v>13</v>
      </c>
      <c r="D2658" t="s">
        <v>14</v>
      </c>
      <c r="E2658" t="s">
        <v>15</v>
      </c>
      <c r="F2658" t="s">
        <v>16</v>
      </c>
      <c r="G2658" t="s">
        <v>17</v>
      </c>
      <c r="H2658" t="s">
        <v>18</v>
      </c>
      <c r="I2658" t="s">
        <v>19</v>
      </c>
      <c r="J2658" t="s">
        <v>20</v>
      </c>
      <c r="K2658" t="s">
        <v>21</v>
      </c>
      <c r="L2658" t="s">
        <v>22</v>
      </c>
      <c r="M2658" t="s">
        <v>23</v>
      </c>
    </row>
    <row r="2659" spans="2:13" x14ac:dyDescent="0.2">
      <c r="B2659" t="s">
        <v>24</v>
      </c>
      <c r="C2659">
        <v>59</v>
      </c>
      <c r="E2659" t="s">
        <v>25</v>
      </c>
      <c r="F2659">
        <v>304.3</v>
      </c>
      <c r="G2659">
        <v>19.5</v>
      </c>
      <c r="H2659">
        <v>0</v>
      </c>
      <c r="I2659" t="s">
        <v>26</v>
      </c>
      <c r="J2659">
        <v>23.9</v>
      </c>
      <c r="K2659">
        <v>0.1</v>
      </c>
      <c r="L2659">
        <v>7</v>
      </c>
    </row>
    <row r="2660" spans="2:13" x14ac:dyDescent="0.2">
      <c r="C2660" t="s">
        <v>27</v>
      </c>
    </row>
    <row r="2661" spans="2:13" x14ac:dyDescent="0.2">
      <c r="C2661" t="s">
        <v>28</v>
      </c>
      <c r="D2661" t="s">
        <v>16</v>
      </c>
      <c r="E2661" t="s">
        <v>29</v>
      </c>
      <c r="F2661" t="s">
        <v>18</v>
      </c>
    </row>
    <row r="2662" spans="2:13" x14ac:dyDescent="0.2">
      <c r="C2662" t="b">
        <v>0</v>
      </c>
      <c r="D2662">
        <v>300.01</v>
      </c>
      <c r="E2662" t="s">
        <v>30</v>
      </c>
      <c r="F2662">
        <v>0</v>
      </c>
    </row>
    <row r="2663" spans="2:13" x14ac:dyDescent="0.2">
      <c r="C2663" t="b">
        <v>0</v>
      </c>
      <c r="D2663">
        <v>350.02</v>
      </c>
      <c r="E2663" t="s">
        <v>30</v>
      </c>
      <c r="F2663">
        <v>0</v>
      </c>
    </row>
    <row r="2664" spans="2:13" x14ac:dyDescent="0.2">
      <c r="C2664" t="b">
        <v>0</v>
      </c>
      <c r="D2664">
        <v>290.01</v>
      </c>
      <c r="E2664" t="s">
        <v>30</v>
      </c>
      <c r="F2664">
        <v>0</v>
      </c>
    </row>
    <row r="2665" spans="2:13" x14ac:dyDescent="0.2">
      <c r="C2665" t="b">
        <v>0</v>
      </c>
      <c r="D2665">
        <v>330.02</v>
      </c>
      <c r="E2665" t="s">
        <v>30</v>
      </c>
      <c r="F2665">
        <v>0</v>
      </c>
    </row>
    <row r="2666" spans="2:13" x14ac:dyDescent="0.2">
      <c r="C2666" t="b">
        <v>0</v>
      </c>
      <c r="D2666">
        <v>260.01</v>
      </c>
      <c r="E2666" t="s">
        <v>30</v>
      </c>
      <c r="F2666">
        <v>0</v>
      </c>
    </row>
    <row r="2667" spans="2:13" x14ac:dyDescent="0.2">
      <c r="C2667" t="b">
        <v>0</v>
      </c>
      <c r="D2667">
        <v>210.01</v>
      </c>
      <c r="E2667" t="s">
        <v>30</v>
      </c>
      <c r="F2667">
        <v>0</v>
      </c>
    </row>
    <row r="2668" spans="2:13" x14ac:dyDescent="0.2">
      <c r="C2668" t="b">
        <v>0</v>
      </c>
      <c r="D2668">
        <v>390.02</v>
      </c>
      <c r="E2668" t="s">
        <v>30</v>
      </c>
      <c r="F2668">
        <v>0</v>
      </c>
    </row>
    <row r="2669" spans="2:13" x14ac:dyDescent="0.2">
      <c r="B2669" t="s">
        <v>11</v>
      </c>
    </row>
    <row r="2670" spans="2:13" x14ac:dyDescent="0.2">
      <c r="B2670" t="s">
        <v>12</v>
      </c>
      <c r="C2670" t="s">
        <v>13</v>
      </c>
      <c r="D2670" t="s">
        <v>14</v>
      </c>
      <c r="E2670" t="s">
        <v>15</v>
      </c>
      <c r="F2670" t="s">
        <v>16</v>
      </c>
      <c r="G2670" t="s">
        <v>17</v>
      </c>
      <c r="H2670" t="s">
        <v>18</v>
      </c>
      <c r="I2670" t="s">
        <v>19</v>
      </c>
      <c r="J2670" t="s">
        <v>20</v>
      </c>
      <c r="K2670" t="s">
        <v>21</v>
      </c>
      <c r="L2670" t="s">
        <v>22</v>
      </c>
      <c r="M2670" t="s">
        <v>23</v>
      </c>
    </row>
    <row r="2671" spans="2:13" x14ac:dyDescent="0.2">
      <c r="B2671" t="s">
        <v>31</v>
      </c>
      <c r="C2671">
        <v>45</v>
      </c>
      <c r="E2671" t="s">
        <v>25</v>
      </c>
      <c r="F2671">
        <v>884.35</v>
      </c>
      <c r="G2671">
        <v>13.4</v>
      </c>
      <c r="K2671">
        <v>0.1</v>
      </c>
      <c r="L2671">
        <v>7</v>
      </c>
      <c r="M2671">
        <v>85.6</v>
      </c>
    </row>
    <row r="2672" spans="2:13" x14ac:dyDescent="0.2">
      <c r="C2672" t="s">
        <v>27</v>
      </c>
    </row>
    <row r="2673" spans="2:13" x14ac:dyDescent="0.2">
      <c r="C2673" t="s">
        <v>28</v>
      </c>
      <c r="D2673" t="s">
        <v>16</v>
      </c>
      <c r="E2673" t="s">
        <v>29</v>
      </c>
      <c r="F2673" t="s">
        <v>18</v>
      </c>
    </row>
    <row r="2674" spans="2:13" x14ac:dyDescent="0.2">
      <c r="C2674" t="b">
        <v>0</v>
      </c>
      <c r="D2674">
        <v>1070.08</v>
      </c>
      <c r="E2674" t="s">
        <v>30</v>
      </c>
    </row>
    <row r="2675" spans="2:13" x14ac:dyDescent="0.2">
      <c r="C2675" t="b">
        <v>0</v>
      </c>
      <c r="D2675">
        <v>740.05</v>
      </c>
      <c r="E2675" t="s">
        <v>30</v>
      </c>
    </row>
    <row r="2676" spans="2:13" x14ac:dyDescent="0.2">
      <c r="C2676" t="b">
        <v>0</v>
      </c>
      <c r="D2676">
        <v>750.04</v>
      </c>
      <c r="E2676" t="s">
        <v>30</v>
      </c>
    </row>
    <row r="2677" spans="2:13" x14ac:dyDescent="0.2">
      <c r="C2677" t="b">
        <v>0</v>
      </c>
      <c r="D2677">
        <v>910.06</v>
      </c>
      <c r="E2677" t="s">
        <v>30</v>
      </c>
    </row>
    <row r="2678" spans="2:13" x14ac:dyDescent="0.2">
      <c r="C2678" t="b">
        <v>0</v>
      </c>
      <c r="D2678">
        <v>950.07</v>
      </c>
      <c r="E2678" t="s">
        <v>30</v>
      </c>
    </row>
    <row r="2679" spans="2:13" x14ac:dyDescent="0.2">
      <c r="C2679" t="b">
        <v>0</v>
      </c>
      <c r="D2679">
        <v>940.06</v>
      </c>
      <c r="E2679" t="s">
        <v>30</v>
      </c>
    </row>
    <row r="2680" spans="2:13" x14ac:dyDescent="0.2">
      <c r="C2680" t="b">
        <v>0</v>
      </c>
      <c r="D2680">
        <v>830.06</v>
      </c>
      <c r="E2680" t="s">
        <v>30</v>
      </c>
    </row>
    <row r="2681" spans="2:13" x14ac:dyDescent="0.2">
      <c r="B2681" t="s">
        <v>11</v>
      </c>
    </row>
    <row r="2682" spans="2:13" x14ac:dyDescent="0.2">
      <c r="B2682" t="s">
        <v>12</v>
      </c>
      <c r="C2682" t="s">
        <v>13</v>
      </c>
      <c r="D2682" t="s">
        <v>14</v>
      </c>
      <c r="E2682" t="s">
        <v>15</v>
      </c>
      <c r="F2682" t="s">
        <v>16</v>
      </c>
      <c r="G2682" t="s">
        <v>17</v>
      </c>
      <c r="H2682" t="s">
        <v>18</v>
      </c>
      <c r="I2682" t="s">
        <v>19</v>
      </c>
      <c r="J2682" t="s">
        <v>20</v>
      </c>
      <c r="K2682" t="s">
        <v>21</v>
      </c>
      <c r="L2682" t="s">
        <v>22</v>
      </c>
      <c r="M2682" t="s">
        <v>23</v>
      </c>
    </row>
    <row r="2683" spans="2:13" x14ac:dyDescent="0.2">
      <c r="B2683" t="s">
        <v>32</v>
      </c>
      <c r="C2683">
        <v>72</v>
      </c>
      <c r="E2683" t="s">
        <v>25</v>
      </c>
      <c r="F2683">
        <v>722.9</v>
      </c>
      <c r="G2683">
        <v>13.4</v>
      </c>
      <c r="K2683">
        <v>0.1</v>
      </c>
      <c r="L2683">
        <v>7</v>
      </c>
      <c r="M2683">
        <v>96.9</v>
      </c>
    </row>
    <row r="2684" spans="2:13" x14ac:dyDescent="0.2">
      <c r="C2684" t="s">
        <v>27</v>
      </c>
    </row>
    <row r="2685" spans="2:13" x14ac:dyDescent="0.2">
      <c r="C2685" t="s">
        <v>28</v>
      </c>
      <c r="D2685" t="s">
        <v>16</v>
      </c>
      <c r="E2685" t="s">
        <v>29</v>
      </c>
      <c r="F2685" t="s">
        <v>18</v>
      </c>
    </row>
    <row r="2686" spans="2:13" x14ac:dyDescent="0.2">
      <c r="C2686" t="b">
        <v>0</v>
      </c>
      <c r="D2686">
        <v>680.04</v>
      </c>
      <c r="E2686" t="s">
        <v>30</v>
      </c>
    </row>
    <row r="2687" spans="2:13" x14ac:dyDescent="0.2">
      <c r="C2687" t="b">
        <v>0</v>
      </c>
      <c r="D2687">
        <v>620.04</v>
      </c>
      <c r="E2687" t="s">
        <v>30</v>
      </c>
    </row>
    <row r="2688" spans="2:13" x14ac:dyDescent="0.2">
      <c r="C2688" t="b">
        <v>0</v>
      </c>
      <c r="D2688">
        <v>740.05</v>
      </c>
      <c r="E2688" t="s">
        <v>30</v>
      </c>
    </row>
    <row r="2689" spans="2:13" x14ac:dyDescent="0.2">
      <c r="C2689" t="b">
        <v>0</v>
      </c>
      <c r="D2689">
        <v>620.03</v>
      </c>
      <c r="E2689" t="s">
        <v>30</v>
      </c>
    </row>
    <row r="2690" spans="2:13" x14ac:dyDescent="0.2">
      <c r="C2690" t="b">
        <v>0</v>
      </c>
      <c r="D2690">
        <v>750.04</v>
      </c>
      <c r="E2690" t="s">
        <v>30</v>
      </c>
    </row>
    <row r="2691" spans="2:13" x14ac:dyDescent="0.2">
      <c r="C2691" t="b">
        <v>0</v>
      </c>
      <c r="D2691">
        <v>750.05</v>
      </c>
      <c r="E2691" t="s">
        <v>30</v>
      </c>
    </row>
    <row r="2692" spans="2:13" x14ac:dyDescent="0.2">
      <c r="C2692" t="b">
        <v>0</v>
      </c>
      <c r="D2692">
        <v>900.06</v>
      </c>
      <c r="E2692" t="s">
        <v>30</v>
      </c>
    </row>
    <row r="2693" spans="2:13" x14ac:dyDescent="0.2">
      <c r="B2693" t="s">
        <v>11</v>
      </c>
    </row>
    <row r="2694" spans="2:13" x14ac:dyDescent="0.2">
      <c r="B2694" t="s">
        <v>12</v>
      </c>
      <c r="C2694" t="s">
        <v>13</v>
      </c>
      <c r="D2694" t="s">
        <v>14</v>
      </c>
      <c r="E2694" t="s">
        <v>15</v>
      </c>
      <c r="F2694" t="s">
        <v>16</v>
      </c>
      <c r="G2694" t="s">
        <v>17</v>
      </c>
      <c r="H2694" t="s">
        <v>18</v>
      </c>
      <c r="I2694" t="s">
        <v>19</v>
      </c>
      <c r="J2694" t="s">
        <v>20</v>
      </c>
      <c r="K2694" t="s">
        <v>21</v>
      </c>
      <c r="L2694" t="s">
        <v>22</v>
      </c>
      <c r="M2694" t="s">
        <v>23</v>
      </c>
    </row>
    <row r="2695" spans="2:13" x14ac:dyDescent="0.2">
      <c r="B2695" t="s">
        <v>33</v>
      </c>
      <c r="C2695">
        <v>89</v>
      </c>
      <c r="E2695" t="s">
        <v>25</v>
      </c>
      <c r="F2695">
        <v>3890.69</v>
      </c>
      <c r="G2695">
        <v>5.7</v>
      </c>
      <c r="K2695">
        <v>0.1</v>
      </c>
      <c r="L2695">
        <v>7</v>
      </c>
      <c r="M2695">
        <v>98.6</v>
      </c>
    </row>
    <row r="2696" spans="2:13" x14ac:dyDescent="0.2">
      <c r="C2696" t="s">
        <v>27</v>
      </c>
    </row>
    <row r="2697" spans="2:13" x14ac:dyDescent="0.2">
      <c r="C2697" t="s">
        <v>28</v>
      </c>
      <c r="D2697" t="s">
        <v>16</v>
      </c>
      <c r="E2697" t="s">
        <v>29</v>
      </c>
      <c r="F2697" t="s">
        <v>18</v>
      </c>
    </row>
    <row r="2698" spans="2:13" x14ac:dyDescent="0.2">
      <c r="C2698" t="b">
        <v>0</v>
      </c>
      <c r="D2698">
        <v>3750.65</v>
      </c>
      <c r="E2698" t="s">
        <v>30</v>
      </c>
    </row>
    <row r="2699" spans="2:13" x14ac:dyDescent="0.2">
      <c r="C2699" t="b">
        <v>0</v>
      </c>
      <c r="D2699">
        <v>3750.67</v>
      </c>
      <c r="E2699" t="s">
        <v>30</v>
      </c>
    </row>
    <row r="2700" spans="2:13" x14ac:dyDescent="0.2">
      <c r="C2700" t="b">
        <v>0</v>
      </c>
      <c r="D2700">
        <v>3600.6</v>
      </c>
      <c r="E2700" t="s">
        <v>30</v>
      </c>
    </row>
    <row r="2701" spans="2:13" x14ac:dyDescent="0.2">
      <c r="C2701" t="b">
        <v>0</v>
      </c>
      <c r="D2701">
        <v>3840.68</v>
      </c>
      <c r="E2701" t="s">
        <v>30</v>
      </c>
    </row>
    <row r="2702" spans="2:13" x14ac:dyDescent="0.2">
      <c r="C2702" t="b">
        <v>0</v>
      </c>
      <c r="D2702">
        <v>4240.8100000000004</v>
      </c>
      <c r="E2702" t="s">
        <v>30</v>
      </c>
    </row>
    <row r="2703" spans="2:13" x14ac:dyDescent="0.2">
      <c r="C2703" t="b">
        <v>0</v>
      </c>
      <c r="D2703">
        <v>3940.67</v>
      </c>
      <c r="E2703" t="s">
        <v>30</v>
      </c>
    </row>
    <row r="2704" spans="2:13" x14ac:dyDescent="0.2">
      <c r="C2704" t="b">
        <v>0</v>
      </c>
      <c r="D2704">
        <v>4110.75</v>
      </c>
      <c r="E2704" t="s">
        <v>30</v>
      </c>
    </row>
    <row r="2705" spans="1:13" x14ac:dyDescent="0.2">
      <c r="A2705" t="s">
        <v>0</v>
      </c>
    </row>
    <row r="2706" spans="1:13" x14ac:dyDescent="0.2">
      <c r="B2706" t="s">
        <v>1</v>
      </c>
      <c r="C2706" t="s">
        <v>2</v>
      </c>
      <c r="D2706" t="s">
        <v>3</v>
      </c>
      <c r="E2706" t="s">
        <v>4</v>
      </c>
      <c r="F2706" t="s">
        <v>5</v>
      </c>
      <c r="G2706" t="s">
        <v>6</v>
      </c>
    </row>
    <row r="2707" spans="1:13" x14ac:dyDescent="0.2">
      <c r="B2707" t="b">
        <v>0</v>
      </c>
      <c r="C2707" t="s">
        <v>198</v>
      </c>
      <c r="D2707" t="s">
        <v>199</v>
      </c>
      <c r="E2707" t="s">
        <v>0</v>
      </c>
      <c r="G2707" t="s">
        <v>200</v>
      </c>
    </row>
    <row r="2708" spans="1:13" x14ac:dyDescent="0.2">
      <c r="B2708" t="s">
        <v>11</v>
      </c>
    </row>
    <row r="2709" spans="1:13" x14ac:dyDescent="0.2">
      <c r="B2709" t="s">
        <v>12</v>
      </c>
      <c r="C2709" t="s">
        <v>13</v>
      </c>
      <c r="D2709" t="s">
        <v>14</v>
      </c>
      <c r="E2709" t="s">
        <v>15</v>
      </c>
      <c r="F2709" t="s">
        <v>16</v>
      </c>
      <c r="G2709" t="s">
        <v>17</v>
      </c>
      <c r="H2709" t="s">
        <v>18</v>
      </c>
      <c r="I2709" t="s">
        <v>19</v>
      </c>
      <c r="J2709" t="s">
        <v>20</v>
      </c>
      <c r="K2709" t="s">
        <v>21</v>
      </c>
      <c r="L2709" t="s">
        <v>22</v>
      </c>
      <c r="M2709" t="s">
        <v>23</v>
      </c>
    </row>
    <row r="2710" spans="1:13" x14ac:dyDescent="0.2">
      <c r="B2710" t="s">
        <v>24</v>
      </c>
      <c r="C2710">
        <v>59</v>
      </c>
      <c r="E2710" t="s">
        <v>25</v>
      </c>
      <c r="F2710">
        <v>228159.45</v>
      </c>
      <c r="G2710">
        <v>1.2</v>
      </c>
      <c r="H2710">
        <v>0.10100000000000001</v>
      </c>
      <c r="I2710" t="s">
        <v>26</v>
      </c>
      <c r="J2710">
        <v>1.2</v>
      </c>
      <c r="K2710">
        <v>0.1</v>
      </c>
      <c r="L2710">
        <v>7</v>
      </c>
    </row>
    <row r="2711" spans="1:13" x14ac:dyDescent="0.2">
      <c r="C2711" t="s">
        <v>27</v>
      </c>
    </row>
    <row r="2712" spans="1:13" x14ac:dyDescent="0.2">
      <c r="C2712" t="s">
        <v>28</v>
      </c>
      <c r="D2712" t="s">
        <v>16</v>
      </c>
      <c r="E2712" t="s">
        <v>29</v>
      </c>
      <c r="F2712" t="s">
        <v>18</v>
      </c>
    </row>
    <row r="2713" spans="1:13" x14ac:dyDescent="0.2">
      <c r="C2713" t="b">
        <v>0</v>
      </c>
      <c r="D2713">
        <v>224587.18</v>
      </c>
      <c r="E2713" t="s">
        <v>30</v>
      </c>
      <c r="F2713">
        <v>0.1</v>
      </c>
    </row>
    <row r="2714" spans="1:13" x14ac:dyDescent="0.2">
      <c r="C2714" t="b">
        <v>0</v>
      </c>
      <c r="D2714">
        <v>226884.8</v>
      </c>
      <c r="E2714" t="s">
        <v>30</v>
      </c>
      <c r="F2714">
        <v>0.10100000000000001</v>
      </c>
    </row>
    <row r="2715" spans="1:13" x14ac:dyDescent="0.2">
      <c r="C2715" t="b">
        <v>0</v>
      </c>
      <c r="D2715">
        <v>226610.13</v>
      </c>
      <c r="E2715" t="s">
        <v>30</v>
      </c>
      <c r="F2715">
        <v>0.10100000000000001</v>
      </c>
    </row>
    <row r="2716" spans="1:13" x14ac:dyDescent="0.2">
      <c r="C2716" t="b">
        <v>0</v>
      </c>
      <c r="D2716">
        <v>230360.21</v>
      </c>
      <c r="E2716" t="s">
        <v>30</v>
      </c>
      <c r="F2716">
        <v>0.10199999999999999</v>
      </c>
    </row>
    <row r="2717" spans="1:13" x14ac:dyDescent="0.2">
      <c r="C2717" t="b">
        <v>0</v>
      </c>
      <c r="D2717">
        <v>228868.92</v>
      </c>
      <c r="E2717" t="s">
        <v>30</v>
      </c>
      <c r="F2717">
        <v>0.10199999999999999</v>
      </c>
    </row>
    <row r="2718" spans="1:13" x14ac:dyDescent="0.2">
      <c r="C2718" t="b">
        <v>0</v>
      </c>
      <c r="D2718">
        <v>226922.22</v>
      </c>
      <c r="E2718" t="s">
        <v>30</v>
      </c>
      <c r="F2718">
        <v>0.10100000000000001</v>
      </c>
    </row>
    <row r="2719" spans="1:13" x14ac:dyDescent="0.2">
      <c r="C2719" t="b">
        <v>0</v>
      </c>
      <c r="D2719">
        <v>232882.67</v>
      </c>
      <c r="E2719" t="s">
        <v>30</v>
      </c>
      <c r="F2719">
        <v>0.104</v>
      </c>
    </row>
    <row r="2720" spans="1:13" x14ac:dyDescent="0.2">
      <c r="B2720" t="s">
        <v>11</v>
      </c>
    </row>
    <row r="2721" spans="2:13" x14ac:dyDescent="0.2">
      <c r="B2721" t="s">
        <v>12</v>
      </c>
      <c r="C2721" t="s">
        <v>13</v>
      </c>
      <c r="D2721" t="s">
        <v>14</v>
      </c>
      <c r="E2721" t="s">
        <v>15</v>
      </c>
      <c r="F2721" t="s">
        <v>16</v>
      </c>
      <c r="G2721" t="s">
        <v>17</v>
      </c>
      <c r="H2721" t="s">
        <v>18</v>
      </c>
      <c r="I2721" t="s">
        <v>19</v>
      </c>
      <c r="J2721" t="s">
        <v>20</v>
      </c>
      <c r="K2721" t="s">
        <v>21</v>
      </c>
      <c r="L2721" t="s">
        <v>22</v>
      </c>
      <c r="M2721" t="s">
        <v>23</v>
      </c>
    </row>
    <row r="2722" spans="2:13" x14ac:dyDescent="0.2">
      <c r="B2722" t="s">
        <v>31</v>
      </c>
      <c r="C2722">
        <v>45</v>
      </c>
      <c r="E2722" t="s">
        <v>25</v>
      </c>
      <c r="F2722">
        <v>852.91</v>
      </c>
      <c r="G2722">
        <v>6.5</v>
      </c>
      <c r="K2722">
        <v>0.1</v>
      </c>
      <c r="L2722">
        <v>7</v>
      </c>
      <c r="M2722">
        <v>82.6</v>
      </c>
    </row>
    <row r="2723" spans="2:13" x14ac:dyDescent="0.2">
      <c r="C2723" t="s">
        <v>27</v>
      </c>
    </row>
    <row r="2724" spans="2:13" x14ac:dyDescent="0.2">
      <c r="C2724" t="s">
        <v>28</v>
      </c>
      <c r="D2724" t="s">
        <v>16</v>
      </c>
      <c r="E2724" t="s">
        <v>29</v>
      </c>
      <c r="F2724" t="s">
        <v>18</v>
      </c>
    </row>
    <row r="2725" spans="2:13" x14ac:dyDescent="0.2">
      <c r="C2725" t="b">
        <v>0</v>
      </c>
      <c r="D2725">
        <v>810.05</v>
      </c>
      <c r="E2725" t="s">
        <v>30</v>
      </c>
    </row>
    <row r="2726" spans="2:13" x14ac:dyDescent="0.2">
      <c r="C2726" t="b">
        <v>0</v>
      </c>
      <c r="D2726">
        <v>900.06</v>
      </c>
      <c r="E2726" t="s">
        <v>30</v>
      </c>
    </row>
    <row r="2727" spans="2:13" x14ac:dyDescent="0.2">
      <c r="C2727" t="b">
        <v>0</v>
      </c>
      <c r="D2727">
        <v>890.05</v>
      </c>
      <c r="E2727" t="s">
        <v>30</v>
      </c>
    </row>
    <row r="2728" spans="2:13" x14ac:dyDescent="0.2">
      <c r="C2728" t="b">
        <v>0</v>
      </c>
      <c r="D2728">
        <v>800.05</v>
      </c>
      <c r="E2728" t="s">
        <v>30</v>
      </c>
    </row>
    <row r="2729" spans="2:13" x14ac:dyDescent="0.2">
      <c r="C2729" t="b">
        <v>0</v>
      </c>
      <c r="D2729">
        <v>780.05</v>
      </c>
      <c r="E2729" t="s">
        <v>30</v>
      </c>
    </row>
    <row r="2730" spans="2:13" x14ac:dyDescent="0.2">
      <c r="C2730" t="b">
        <v>0</v>
      </c>
      <c r="D2730">
        <v>920.06</v>
      </c>
      <c r="E2730" t="s">
        <v>30</v>
      </c>
    </row>
    <row r="2731" spans="2:13" x14ac:dyDescent="0.2">
      <c r="C2731" t="b">
        <v>0</v>
      </c>
      <c r="D2731">
        <v>870.06</v>
      </c>
      <c r="E2731" t="s">
        <v>30</v>
      </c>
    </row>
    <row r="2732" spans="2:13" x14ac:dyDescent="0.2">
      <c r="B2732" t="s">
        <v>11</v>
      </c>
    </row>
    <row r="2733" spans="2:13" x14ac:dyDescent="0.2">
      <c r="B2733" t="s">
        <v>12</v>
      </c>
      <c r="C2733" t="s">
        <v>13</v>
      </c>
      <c r="D2733" t="s">
        <v>14</v>
      </c>
      <c r="E2733" t="s">
        <v>15</v>
      </c>
      <c r="F2733" t="s">
        <v>16</v>
      </c>
      <c r="G2733" t="s">
        <v>17</v>
      </c>
      <c r="H2733" t="s">
        <v>18</v>
      </c>
      <c r="I2733" t="s">
        <v>19</v>
      </c>
      <c r="J2733" t="s">
        <v>20</v>
      </c>
      <c r="K2733" t="s">
        <v>21</v>
      </c>
      <c r="L2733" t="s">
        <v>22</v>
      </c>
      <c r="M2733" t="s">
        <v>23</v>
      </c>
    </row>
    <row r="2734" spans="2:13" x14ac:dyDescent="0.2">
      <c r="B2734" t="s">
        <v>32</v>
      </c>
      <c r="C2734">
        <v>72</v>
      </c>
      <c r="E2734" t="s">
        <v>25</v>
      </c>
      <c r="F2734">
        <v>807.2</v>
      </c>
      <c r="G2734">
        <v>8.5</v>
      </c>
      <c r="K2734">
        <v>0.1</v>
      </c>
      <c r="L2734">
        <v>7</v>
      </c>
      <c r="M2734">
        <v>108.2</v>
      </c>
    </row>
    <row r="2735" spans="2:13" x14ac:dyDescent="0.2">
      <c r="C2735" t="s">
        <v>27</v>
      </c>
    </row>
    <row r="2736" spans="2:13" x14ac:dyDescent="0.2">
      <c r="C2736" t="s">
        <v>28</v>
      </c>
      <c r="D2736" t="s">
        <v>16</v>
      </c>
      <c r="E2736" t="s">
        <v>29</v>
      </c>
      <c r="F2736" t="s">
        <v>18</v>
      </c>
    </row>
    <row r="2737" spans="2:13" x14ac:dyDescent="0.2">
      <c r="C2737" t="b">
        <v>0</v>
      </c>
      <c r="D2737">
        <v>740.05</v>
      </c>
      <c r="E2737" t="s">
        <v>30</v>
      </c>
    </row>
    <row r="2738" spans="2:13" x14ac:dyDescent="0.2">
      <c r="C2738" t="b">
        <v>0</v>
      </c>
      <c r="D2738">
        <v>760.05</v>
      </c>
      <c r="E2738" t="s">
        <v>30</v>
      </c>
    </row>
    <row r="2739" spans="2:13" x14ac:dyDescent="0.2">
      <c r="C2739" t="b">
        <v>0</v>
      </c>
      <c r="D2739">
        <v>800.06</v>
      </c>
      <c r="E2739" t="s">
        <v>30</v>
      </c>
    </row>
    <row r="2740" spans="2:13" x14ac:dyDescent="0.2">
      <c r="C2740" t="b">
        <v>0</v>
      </c>
      <c r="D2740">
        <v>920.07</v>
      </c>
      <c r="E2740" t="s">
        <v>30</v>
      </c>
    </row>
    <row r="2741" spans="2:13" x14ac:dyDescent="0.2">
      <c r="C2741" t="b">
        <v>0</v>
      </c>
      <c r="D2741">
        <v>820.05</v>
      </c>
      <c r="E2741" t="s">
        <v>30</v>
      </c>
    </row>
    <row r="2742" spans="2:13" x14ac:dyDescent="0.2">
      <c r="C2742" t="b">
        <v>0</v>
      </c>
      <c r="D2742">
        <v>740.04</v>
      </c>
      <c r="E2742" t="s">
        <v>30</v>
      </c>
    </row>
    <row r="2743" spans="2:13" x14ac:dyDescent="0.2">
      <c r="C2743" t="b">
        <v>0</v>
      </c>
      <c r="D2743">
        <v>870.07</v>
      </c>
      <c r="E2743" t="s">
        <v>30</v>
      </c>
    </row>
    <row r="2744" spans="2:13" x14ac:dyDescent="0.2">
      <c r="B2744" t="s">
        <v>11</v>
      </c>
    </row>
    <row r="2745" spans="2:13" x14ac:dyDescent="0.2">
      <c r="B2745" t="s">
        <v>12</v>
      </c>
      <c r="C2745" t="s">
        <v>13</v>
      </c>
      <c r="D2745" t="s">
        <v>14</v>
      </c>
      <c r="E2745" t="s">
        <v>15</v>
      </c>
      <c r="F2745" t="s">
        <v>16</v>
      </c>
      <c r="G2745" t="s">
        <v>17</v>
      </c>
      <c r="H2745" t="s">
        <v>18</v>
      </c>
      <c r="I2745" t="s">
        <v>19</v>
      </c>
      <c r="J2745" t="s">
        <v>20</v>
      </c>
      <c r="K2745" t="s">
        <v>21</v>
      </c>
      <c r="L2745" t="s">
        <v>22</v>
      </c>
      <c r="M2745" t="s">
        <v>23</v>
      </c>
    </row>
    <row r="2746" spans="2:13" x14ac:dyDescent="0.2">
      <c r="B2746" t="s">
        <v>33</v>
      </c>
      <c r="C2746">
        <v>89</v>
      </c>
      <c r="E2746" t="s">
        <v>25</v>
      </c>
      <c r="F2746">
        <v>4125.05</v>
      </c>
      <c r="G2746">
        <v>6.2</v>
      </c>
      <c r="K2746">
        <v>0.1</v>
      </c>
      <c r="L2746">
        <v>7</v>
      </c>
      <c r="M2746">
        <v>104.6</v>
      </c>
    </row>
    <row r="2747" spans="2:13" x14ac:dyDescent="0.2">
      <c r="C2747" t="s">
        <v>27</v>
      </c>
    </row>
    <row r="2748" spans="2:13" x14ac:dyDescent="0.2">
      <c r="C2748" t="s">
        <v>28</v>
      </c>
      <c r="D2748" t="s">
        <v>16</v>
      </c>
      <c r="E2748" t="s">
        <v>29</v>
      </c>
      <c r="F2748" t="s">
        <v>18</v>
      </c>
    </row>
    <row r="2749" spans="2:13" x14ac:dyDescent="0.2">
      <c r="C2749" t="b">
        <v>0</v>
      </c>
      <c r="D2749">
        <v>3790.61</v>
      </c>
      <c r="E2749" t="s">
        <v>30</v>
      </c>
    </row>
    <row r="2750" spans="2:13" x14ac:dyDescent="0.2">
      <c r="C2750" t="b">
        <v>0</v>
      </c>
      <c r="D2750">
        <v>3960.71</v>
      </c>
      <c r="E2750" t="s">
        <v>30</v>
      </c>
    </row>
    <row r="2751" spans="2:13" x14ac:dyDescent="0.2">
      <c r="C2751" t="b">
        <v>0</v>
      </c>
      <c r="D2751">
        <v>4050.74</v>
      </c>
      <c r="E2751" t="s">
        <v>30</v>
      </c>
    </row>
    <row r="2752" spans="2:13" x14ac:dyDescent="0.2">
      <c r="C2752" t="b">
        <v>0</v>
      </c>
      <c r="D2752">
        <v>4260.8100000000004</v>
      </c>
      <c r="E2752" t="s">
        <v>30</v>
      </c>
    </row>
    <row r="2753" spans="1:13" x14ac:dyDescent="0.2">
      <c r="C2753" t="b">
        <v>0</v>
      </c>
      <c r="D2753">
        <v>4490.9399999999996</v>
      </c>
      <c r="E2753" t="s">
        <v>30</v>
      </c>
    </row>
    <row r="2754" spans="1:13" x14ac:dyDescent="0.2">
      <c r="C2754" t="b">
        <v>0</v>
      </c>
      <c r="D2754">
        <v>3950.7</v>
      </c>
      <c r="E2754" t="s">
        <v>30</v>
      </c>
    </row>
    <row r="2755" spans="1:13" x14ac:dyDescent="0.2">
      <c r="C2755" t="b">
        <v>0</v>
      </c>
      <c r="D2755">
        <v>4370.84</v>
      </c>
      <c r="E2755" t="s">
        <v>30</v>
      </c>
    </row>
    <row r="2756" spans="1:13" x14ac:dyDescent="0.2">
      <c r="A2756" t="s">
        <v>0</v>
      </c>
    </row>
    <row r="2757" spans="1:13" x14ac:dyDescent="0.2">
      <c r="B2757" t="s">
        <v>1</v>
      </c>
      <c r="C2757" t="s">
        <v>2</v>
      </c>
      <c r="D2757" t="s">
        <v>3</v>
      </c>
      <c r="E2757" t="s">
        <v>4</v>
      </c>
      <c r="F2757" t="s">
        <v>5</v>
      </c>
      <c r="G2757" t="s">
        <v>6</v>
      </c>
    </row>
    <row r="2758" spans="1:13" x14ac:dyDescent="0.2">
      <c r="B2758" t="b">
        <v>0</v>
      </c>
      <c r="C2758" t="s">
        <v>201</v>
      </c>
      <c r="D2758" t="s">
        <v>202</v>
      </c>
      <c r="E2758" t="s">
        <v>0</v>
      </c>
      <c r="G2758" t="s">
        <v>203</v>
      </c>
    </row>
    <row r="2759" spans="1:13" x14ac:dyDescent="0.2">
      <c r="B2759" t="s">
        <v>11</v>
      </c>
    </row>
    <row r="2760" spans="1:13" x14ac:dyDescent="0.2">
      <c r="B2760" t="s">
        <v>12</v>
      </c>
      <c r="C2760" t="s">
        <v>13</v>
      </c>
      <c r="D2760" t="s">
        <v>14</v>
      </c>
      <c r="E2760" t="s">
        <v>15</v>
      </c>
      <c r="F2760" t="s">
        <v>16</v>
      </c>
      <c r="G2760" t="s">
        <v>17</v>
      </c>
      <c r="H2760" t="s">
        <v>18</v>
      </c>
      <c r="I2760" t="s">
        <v>19</v>
      </c>
      <c r="J2760" t="s">
        <v>20</v>
      </c>
      <c r="K2760" t="s">
        <v>21</v>
      </c>
      <c r="L2760" t="s">
        <v>22</v>
      </c>
      <c r="M2760" t="s">
        <v>23</v>
      </c>
    </row>
    <row r="2761" spans="1:13" x14ac:dyDescent="0.2">
      <c r="B2761" t="s">
        <v>24</v>
      </c>
      <c r="C2761">
        <v>59</v>
      </c>
      <c r="E2761" t="s">
        <v>25</v>
      </c>
      <c r="F2761">
        <v>223702.31</v>
      </c>
      <c r="G2761">
        <v>1.1000000000000001</v>
      </c>
      <c r="H2761">
        <v>9.9000000000000005E-2</v>
      </c>
      <c r="I2761" t="s">
        <v>26</v>
      </c>
      <c r="J2761">
        <v>1.1000000000000001</v>
      </c>
      <c r="K2761">
        <v>0.1</v>
      </c>
      <c r="L2761">
        <v>7</v>
      </c>
    </row>
    <row r="2762" spans="1:13" x14ac:dyDescent="0.2">
      <c r="C2762" t="s">
        <v>27</v>
      </c>
    </row>
    <row r="2763" spans="1:13" x14ac:dyDescent="0.2">
      <c r="C2763" t="s">
        <v>28</v>
      </c>
      <c r="D2763" t="s">
        <v>16</v>
      </c>
      <c r="E2763" t="s">
        <v>29</v>
      </c>
      <c r="F2763" t="s">
        <v>18</v>
      </c>
    </row>
    <row r="2764" spans="1:13" x14ac:dyDescent="0.2">
      <c r="C2764" t="b">
        <v>0</v>
      </c>
      <c r="D2764">
        <v>227419.86</v>
      </c>
      <c r="E2764" t="s">
        <v>30</v>
      </c>
      <c r="F2764">
        <v>0.10100000000000001</v>
      </c>
    </row>
    <row r="2765" spans="1:13" x14ac:dyDescent="0.2">
      <c r="C2765" t="b">
        <v>0</v>
      </c>
      <c r="D2765">
        <v>223554.43</v>
      </c>
      <c r="E2765" t="s">
        <v>30</v>
      </c>
      <c r="F2765">
        <v>9.9000000000000005E-2</v>
      </c>
    </row>
    <row r="2766" spans="1:13" x14ac:dyDescent="0.2">
      <c r="C2766" t="b">
        <v>0</v>
      </c>
      <c r="D2766">
        <v>225116.23</v>
      </c>
      <c r="E2766" t="s">
        <v>30</v>
      </c>
      <c r="F2766">
        <v>0.1</v>
      </c>
    </row>
    <row r="2767" spans="1:13" x14ac:dyDescent="0.2">
      <c r="C2767" t="b">
        <v>0</v>
      </c>
      <c r="D2767">
        <v>222679.65</v>
      </c>
      <c r="E2767" t="s">
        <v>30</v>
      </c>
      <c r="F2767">
        <v>9.9000000000000005E-2</v>
      </c>
    </row>
    <row r="2768" spans="1:13" x14ac:dyDescent="0.2">
      <c r="C2768" t="b">
        <v>0</v>
      </c>
      <c r="D2768">
        <v>224126.19</v>
      </c>
      <c r="E2768" t="s">
        <v>30</v>
      </c>
      <c r="F2768">
        <v>0.1</v>
      </c>
    </row>
    <row r="2769" spans="2:13" x14ac:dyDescent="0.2">
      <c r="C2769" t="b">
        <v>0</v>
      </c>
      <c r="D2769">
        <v>219568.41</v>
      </c>
      <c r="E2769" t="s">
        <v>30</v>
      </c>
      <c r="F2769">
        <v>9.8000000000000004E-2</v>
      </c>
    </row>
    <row r="2770" spans="2:13" x14ac:dyDescent="0.2">
      <c r="C2770" t="b">
        <v>0</v>
      </c>
      <c r="D2770">
        <v>223451.38</v>
      </c>
      <c r="E2770" t="s">
        <v>30</v>
      </c>
      <c r="F2770">
        <v>9.9000000000000005E-2</v>
      </c>
    </row>
    <row r="2771" spans="2:13" x14ac:dyDescent="0.2">
      <c r="B2771" t="s">
        <v>11</v>
      </c>
    </row>
    <row r="2772" spans="2:13" x14ac:dyDescent="0.2">
      <c r="B2772" t="s">
        <v>12</v>
      </c>
      <c r="C2772" t="s">
        <v>13</v>
      </c>
      <c r="D2772" t="s">
        <v>14</v>
      </c>
      <c r="E2772" t="s">
        <v>15</v>
      </c>
      <c r="F2772" t="s">
        <v>16</v>
      </c>
      <c r="G2772" t="s">
        <v>17</v>
      </c>
      <c r="H2772" t="s">
        <v>18</v>
      </c>
      <c r="I2772" t="s">
        <v>19</v>
      </c>
      <c r="J2772" t="s">
        <v>20</v>
      </c>
      <c r="K2772" t="s">
        <v>21</v>
      </c>
      <c r="L2772" t="s">
        <v>22</v>
      </c>
      <c r="M2772" t="s">
        <v>23</v>
      </c>
    </row>
    <row r="2773" spans="2:13" x14ac:dyDescent="0.2">
      <c r="B2773" t="s">
        <v>31</v>
      </c>
      <c r="C2773">
        <v>45</v>
      </c>
      <c r="E2773" t="s">
        <v>25</v>
      </c>
      <c r="F2773">
        <v>871.49</v>
      </c>
      <c r="G2773">
        <v>8.1</v>
      </c>
      <c r="K2773">
        <v>0.1</v>
      </c>
      <c r="L2773">
        <v>7</v>
      </c>
      <c r="M2773">
        <v>84.4</v>
      </c>
    </row>
    <row r="2774" spans="2:13" x14ac:dyDescent="0.2">
      <c r="C2774" t="s">
        <v>27</v>
      </c>
    </row>
    <row r="2775" spans="2:13" x14ac:dyDescent="0.2">
      <c r="C2775" t="s">
        <v>28</v>
      </c>
      <c r="D2775" t="s">
        <v>16</v>
      </c>
      <c r="E2775" t="s">
        <v>29</v>
      </c>
      <c r="F2775" t="s">
        <v>18</v>
      </c>
    </row>
    <row r="2776" spans="2:13" x14ac:dyDescent="0.2">
      <c r="C2776" t="b">
        <v>0</v>
      </c>
      <c r="D2776">
        <v>740.05</v>
      </c>
      <c r="E2776" t="s">
        <v>30</v>
      </c>
    </row>
    <row r="2777" spans="2:13" x14ac:dyDescent="0.2">
      <c r="C2777" t="b">
        <v>0</v>
      </c>
      <c r="D2777">
        <v>940.06</v>
      </c>
      <c r="E2777" t="s">
        <v>30</v>
      </c>
    </row>
    <row r="2778" spans="2:13" x14ac:dyDescent="0.2">
      <c r="C2778" t="b">
        <v>0</v>
      </c>
      <c r="D2778">
        <v>920.07</v>
      </c>
      <c r="E2778" t="s">
        <v>30</v>
      </c>
    </row>
    <row r="2779" spans="2:13" x14ac:dyDescent="0.2">
      <c r="C2779" t="b">
        <v>0</v>
      </c>
      <c r="D2779">
        <v>850.05</v>
      </c>
      <c r="E2779" t="s">
        <v>30</v>
      </c>
    </row>
    <row r="2780" spans="2:13" x14ac:dyDescent="0.2">
      <c r="C2780" t="b">
        <v>0</v>
      </c>
      <c r="D2780">
        <v>830.06</v>
      </c>
      <c r="E2780" t="s">
        <v>30</v>
      </c>
    </row>
    <row r="2781" spans="2:13" x14ac:dyDescent="0.2">
      <c r="C2781" t="b">
        <v>0</v>
      </c>
      <c r="D2781">
        <v>920.06</v>
      </c>
      <c r="E2781" t="s">
        <v>30</v>
      </c>
    </row>
    <row r="2782" spans="2:13" x14ac:dyDescent="0.2">
      <c r="C2782" t="b">
        <v>0</v>
      </c>
      <c r="D2782">
        <v>900.06</v>
      </c>
      <c r="E2782" t="s">
        <v>30</v>
      </c>
    </row>
    <row r="2783" spans="2:13" x14ac:dyDescent="0.2">
      <c r="B2783" t="s">
        <v>11</v>
      </c>
    </row>
    <row r="2784" spans="2:13" x14ac:dyDescent="0.2">
      <c r="B2784" t="s">
        <v>12</v>
      </c>
      <c r="C2784" t="s">
        <v>13</v>
      </c>
      <c r="D2784" t="s">
        <v>14</v>
      </c>
      <c r="E2784" t="s">
        <v>15</v>
      </c>
      <c r="F2784" t="s">
        <v>16</v>
      </c>
      <c r="G2784" t="s">
        <v>17</v>
      </c>
      <c r="H2784" t="s">
        <v>18</v>
      </c>
      <c r="I2784" t="s">
        <v>19</v>
      </c>
      <c r="J2784" t="s">
        <v>20</v>
      </c>
      <c r="K2784" t="s">
        <v>21</v>
      </c>
      <c r="L2784" t="s">
        <v>22</v>
      </c>
      <c r="M2784" t="s">
        <v>23</v>
      </c>
    </row>
    <row r="2785" spans="2:13" x14ac:dyDescent="0.2">
      <c r="B2785" t="s">
        <v>32</v>
      </c>
      <c r="C2785">
        <v>72</v>
      </c>
      <c r="E2785" t="s">
        <v>25</v>
      </c>
      <c r="F2785">
        <v>841.49</v>
      </c>
      <c r="G2785">
        <v>7.5</v>
      </c>
      <c r="K2785">
        <v>0.1</v>
      </c>
      <c r="L2785">
        <v>7</v>
      </c>
      <c r="M2785">
        <v>112.8</v>
      </c>
    </row>
    <row r="2786" spans="2:13" x14ac:dyDescent="0.2">
      <c r="C2786" t="s">
        <v>27</v>
      </c>
    </row>
    <row r="2787" spans="2:13" x14ac:dyDescent="0.2">
      <c r="C2787" t="s">
        <v>28</v>
      </c>
      <c r="D2787" t="s">
        <v>16</v>
      </c>
      <c r="E2787" t="s">
        <v>29</v>
      </c>
      <c r="F2787" t="s">
        <v>18</v>
      </c>
    </row>
    <row r="2788" spans="2:13" x14ac:dyDescent="0.2">
      <c r="C2788" t="b">
        <v>0</v>
      </c>
      <c r="D2788">
        <v>760.05</v>
      </c>
      <c r="E2788" t="s">
        <v>30</v>
      </c>
    </row>
    <row r="2789" spans="2:13" x14ac:dyDescent="0.2">
      <c r="C2789" t="b">
        <v>0</v>
      </c>
      <c r="D2789">
        <v>880.07</v>
      </c>
      <c r="E2789" t="s">
        <v>30</v>
      </c>
    </row>
    <row r="2790" spans="2:13" x14ac:dyDescent="0.2">
      <c r="C2790" t="b">
        <v>0</v>
      </c>
      <c r="D2790">
        <v>880.07</v>
      </c>
      <c r="E2790" t="s">
        <v>30</v>
      </c>
    </row>
    <row r="2791" spans="2:13" x14ac:dyDescent="0.2">
      <c r="C2791" t="b">
        <v>0</v>
      </c>
      <c r="D2791">
        <v>750.04</v>
      </c>
      <c r="E2791" t="s">
        <v>30</v>
      </c>
    </row>
    <row r="2792" spans="2:13" x14ac:dyDescent="0.2">
      <c r="C2792" t="b">
        <v>0</v>
      </c>
      <c r="D2792">
        <v>890.06</v>
      </c>
      <c r="E2792" t="s">
        <v>30</v>
      </c>
    </row>
    <row r="2793" spans="2:13" x14ac:dyDescent="0.2">
      <c r="C2793" t="b">
        <v>0</v>
      </c>
      <c r="D2793">
        <v>830.05</v>
      </c>
      <c r="E2793" t="s">
        <v>30</v>
      </c>
    </row>
    <row r="2794" spans="2:13" x14ac:dyDescent="0.2">
      <c r="C2794" t="b">
        <v>0</v>
      </c>
      <c r="D2794">
        <v>900.07</v>
      </c>
      <c r="E2794" t="s">
        <v>30</v>
      </c>
    </row>
    <row r="2795" spans="2:13" x14ac:dyDescent="0.2">
      <c r="B2795" t="s">
        <v>11</v>
      </c>
    </row>
    <row r="2796" spans="2:13" x14ac:dyDescent="0.2">
      <c r="B2796" t="s">
        <v>12</v>
      </c>
      <c r="C2796" t="s">
        <v>13</v>
      </c>
      <c r="D2796" t="s">
        <v>14</v>
      </c>
      <c r="E2796" t="s">
        <v>15</v>
      </c>
      <c r="F2796" t="s">
        <v>16</v>
      </c>
      <c r="G2796" t="s">
        <v>17</v>
      </c>
      <c r="H2796" t="s">
        <v>18</v>
      </c>
      <c r="I2796" t="s">
        <v>19</v>
      </c>
      <c r="J2796" t="s">
        <v>20</v>
      </c>
      <c r="K2796" t="s">
        <v>21</v>
      </c>
      <c r="L2796" t="s">
        <v>22</v>
      </c>
      <c r="M2796" t="s">
        <v>23</v>
      </c>
    </row>
    <row r="2797" spans="2:13" x14ac:dyDescent="0.2">
      <c r="B2797" t="s">
        <v>33</v>
      </c>
      <c r="C2797">
        <v>89</v>
      </c>
      <c r="E2797" t="s">
        <v>25</v>
      </c>
      <c r="F2797">
        <v>3949.29</v>
      </c>
      <c r="G2797">
        <v>3.7</v>
      </c>
      <c r="K2797">
        <v>0.1</v>
      </c>
      <c r="L2797">
        <v>7</v>
      </c>
      <c r="M2797">
        <v>100.1</v>
      </c>
    </row>
    <row r="2798" spans="2:13" x14ac:dyDescent="0.2">
      <c r="C2798" t="s">
        <v>27</v>
      </c>
    </row>
    <row r="2799" spans="2:13" x14ac:dyDescent="0.2">
      <c r="C2799" t="s">
        <v>28</v>
      </c>
      <c r="D2799" t="s">
        <v>16</v>
      </c>
      <c r="E2799" t="s">
        <v>29</v>
      </c>
      <c r="F2799" t="s">
        <v>18</v>
      </c>
    </row>
    <row r="2800" spans="2:13" x14ac:dyDescent="0.2">
      <c r="C2800" t="b">
        <v>0</v>
      </c>
      <c r="D2800">
        <v>3940.71</v>
      </c>
      <c r="E2800" t="s">
        <v>30</v>
      </c>
    </row>
    <row r="2801" spans="1:13" x14ac:dyDescent="0.2">
      <c r="C2801" t="b">
        <v>0</v>
      </c>
      <c r="D2801">
        <v>4150.76</v>
      </c>
      <c r="E2801" t="s">
        <v>30</v>
      </c>
    </row>
    <row r="2802" spans="1:13" x14ac:dyDescent="0.2">
      <c r="C2802" t="b">
        <v>0</v>
      </c>
      <c r="D2802">
        <v>3790.69</v>
      </c>
      <c r="E2802" t="s">
        <v>30</v>
      </c>
    </row>
    <row r="2803" spans="1:13" x14ac:dyDescent="0.2">
      <c r="C2803" t="b">
        <v>0</v>
      </c>
      <c r="D2803">
        <v>4030.74</v>
      </c>
      <c r="E2803" t="s">
        <v>30</v>
      </c>
    </row>
    <row r="2804" spans="1:13" x14ac:dyDescent="0.2">
      <c r="C2804" t="b">
        <v>0</v>
      </c>
      <c r="D2804">
        <v>3750.67</v>
      </c>
      <c r="E2804" t="s">
        <v>30</v>
      </c>
    </row>
    <row r="2805" spans="1:13" x14ac:dyDescent="0.2">
      <c r="C2805" t="b">
        <v>0</v>
      </c>
      <c r="D2805">
        <v>3910.71</v>
      </c>
      <c r="E2805" t="s">
        <v>30</v>
      </c>
    </row>
    <row r="2806" spans="1:13" x14ac:dyDescent="0.2">
      <c r="C2806" t="b">
        <v>0</v>
      </c>
      <c r="D2806">
        <v>4070.76</v>
      </c>
      <c r="E2806" t="s">
        <v>30</v>
      </c>
    </row>
    <row r="2807" spans="1:13" x14ac:dyDescent="0.2">
      <c r="A2807" t="s">
        <v>0</v>
      </c>
    </row>
    <row r="2808" spans="1:13" x14ac:dyDescent="0.2">
      <c r="B2808" t="s">
        <v>1</v>
      </c>
      <c r="C2808" t="s">
        <v>2</v>
      </c>
      <c r="D2808" t="s">
        <v>3</v>
      </c>
      <c r="E2808" t="s">
        <v>4</v>
      </c>
      <c r="F2808" t="s">
        <v>5</v>
      </c>
      <c r="G2808" t="s">
        <v>6</v>
      </c>
    </row>
    <row r="2809" spans="1:13" x14ac:dyDescent="0.2">
      <c r="B2809" t="b">
        <v>0</v>
      </c>
      <c r="C2809" t="s">
        <v>204</v>
      </c>
      <c r="D2809" t="s">
        <v>205</v>
      </c>
      <c r="E2809" t="s">
        <v>0</v>
      </c>
      <c r="G2809" t="s">
        <v>206</v>
      </c>
    </row>
    <row r="2810" spans="1:13" x14ac:dyDescent="0.2">
      <c r="B2810" t="s">
        <v>11</v>
      </c>
    </row>
    <row r="2811" spans="1:13" x14ac:dyDescent="0.2">
      <c r="B2811" t="s">
        <v>12</v>
      </c>
      <c r="C2811" t="s">
        <v>13</v>
      </c>
      <c r="D2811" t="s">
        <v>14</v>
      </c>
      <c r="E2811" t="s">
        <v>15</v>
      </c>
      <c r="F2811" t="s">
        <v>16</v>
      </c>
      <c r="G2811" t="s">
        <v>17</v>
      </c>
      <c r="H2811" t="s">
        <v>18</v>
      </c>
      <c r="I2811" t="s">
        <v>19</v>
      </c>
      <c r="J2811" t="s">
        <v>20</v>
      </c>
      <c r="K2811" t="s">
        <v>21</v>
      </c>
      <c r="L2811" t="s">
        <v>22</v>
      </c>
      <c r="M2811" t="s">
        <v>23</v>
      </c>
    </row>
    <row r="2812" spans="1:13" x14ac:dyDescent="0.2">
      <c r="B2812" t="s">
        <v>24</v>
      </c>
      <c r="C2812">
        <v>59</v>
      </c>
      <c r="E2812" t="s">
        <v>25</v>
      </c>
      <c r="F2812">
        <v>1077288.69</v>
      </c>
      <c r="G2812">
        <v>1.1000000000000001</v>
      </c>
      <c r="H2812">
        <v>0.47899999999999998</v>
      </c>
      <c r="I2812" t="s">
        <v>26</v>
      </c>
      <c r="J2812">
        <v>1.1000000000000001</v>
      </c>
      <c r="K2812">
        <v>0.1</v>
      </c>
      <c r="L2812">
        <v>7</v>
      </c>
    </row>
    <row r="2813" spans="1:13" x14ac:dyDescent="0.2">
      <c r="C2813" t="s">
        <v>27</v>
      </c>
    </row>
    <row r="2814" spans="1:13" x14ac:dyDescent="0.2">
      <c r="C2814" t="s">
        <v>28</v>
      </c>
      <c r="D2814" t="s">
        <v>16</v>
      </c>
      <c r="E2814" t="s">
        <v>29</v>
      </c>
      <c r="F2814" t="s">
        <v>18</v>
      </c>
    </row>
    <row r="2815" spans="1:13" x14ac:dyDescent="0.2">
      <c r="C2815" t="b">
        <v>0</v>
      </c>
      <c r="D2815">
        <v>1095649.51</v>
      </c>
      <c r="E2815" t="s">
        <v>30</v>
      </c>
      <c r="F2815">
        <v>0.48699999999999999</v>
      </c>
    </row>
    <row r="2816" spans="1:13" x14ac:dyDescent="0.2">
      <c r="C2816" t="b">
        <v>0</v>
      </c>
      <c r="D2816">
        <v>1076796.1599999999</v>
      </c>
      <c r="E2816" t="s">
        <v>30</v>
      </c>
      <c r="F2816">
        <v>0.47899999999999998</v>
      </c>
    </row>
    <row r="2817" spans="2:13" x14ac:dyDescent="0.2">
      <c r="C2817" t="b">
        <v>0</v>
      </c>
      <c r="D2817">
        <v>1080932.72</v>
      </c>
      <c r="E2817" t="s">
        <v>30</v>
      </c>
      <c r="F2817">
        <v>0.48099999999999998</v>
      </c>
    </row>
    <row r="2818" spans="2:13" x14ac:dyDescent="0.2">
      <c r="C2818" t="b">
        <v>0</v>
      </c>
      <c r="D2818">
        <v>1086986.55</v>
      </c>
      <c r="E2818" t="s">
        <v>30</v>
      </c>
      <c r="F2818">
        <v>0.48299999999999998</v>
      </c>
    </row>
    <row r="2819" spans="2:13" x14ac:dyDescent="0.2">
      <c r="C2819" t="b">
        <v>0</v>
      </c>
      <c r="D2819">
        <v>1071955.92</v>
      </c>
      <c r="E2819" t="s">
        <v>30</v>
      </c>
      <c r="F2819">
        <v>0.47699999999999998</v>
      </c>
    </row>
    <row r="2820" spans="2:13" x14ac:dyDescent="0.2">
      <c r="C2820" t="b">
        <v>0</v>
      </c>
      <c r="D2820">
        <v>1064147.48</v>
      </c>
      <c r="E2820" t="s">
        <v>30</v>
      </c>
      <c r="F2820">
        <v>0.47299999999999998</v>
      </c>
    </row>
    <row r="2821" spans="2:13" x14ac:dyDescent="0.2">
      <c r="C2821" t="b">
        <v>0</v>
      </c>
      <c r="D2821">
        <v>1064552.48</v>
      </c>
      <c r="E2821" t="s">
        <v>30</v>
      </c>
      <c r="F2821">
        <v>0.47299999999999998</v>
      </c>
    </row>
    <row r="2822" spans="2:13" x14ac:dyDescent="0.2">
      <c r="B2822" t="s">
        <v>11</v>
      </c>
    </row>
    <row r="2823" spans="2:13" x14ac:dyDescent="0.2">
      <c r="B2823" t="s">
        <v>12</v>
      </c>
      <c r="C2823" t="s">
        <v>13</v>
      </c>
      <c r="D2823" t="s">
        <v>14</v>
      </c>
      <c r="E2823" t="s">
        <v>15</v>
      </c>
      <c r="F2823" t="s">
        <v>16</v>
      </c>
      <c r="G2823" t="s">
        <v>17</v>
      </c>
      <c r="H2823" t="s">
        <v>18</v>
      </c>
      <c r="I2823" t="s">
        <v>19</v>
      </c>
      <c r="J2823" t="s">
        <v>20</v>
      </c>
      <c r="K2823" t="s">
        <v>21</v>
      </c>
      <c r="L2823" t="s">
        <v>22</v>
      </c>
      <c r="M2823" t="s">
        <v>23</v>
      </c>
    </row>
    <row r="2824" spans="2:13" x14ac:dyDescent="0.2">
      <c r="B2824" t="s">
        <v>31</v>
      </c>
      <c r="C2824">
        <v>45</v>
      </c>
      <c r="E2824" t="s">
        <v>25</v>
      </c>
      <c r="F2824">
        <v>880.06</v>
      </c>
      <c r="G2824">
        <v>11.7</v>
      </c>
      <c r="K2824">
        <v>0.1</v>
      </c>
      <c r="L2824">
        <v>7</v>
      </c>
      <c r="M2824">
        <v>85.2</v>
      </c>
    </row>
    <row r="2825" spans="2:13" x14ac:dyDescent="0.2">
      <c r="C2825" t="s">
        <v>27</v>
      </c>
    </row>
    <row r="2826" spans="2:13" x14ac:dyDescent="0.2">
      <c r="C2826" t="s">
        <v>28</v>
      </c>
      <c r="D2826" t="s">
        <v>16</v>
      </c>
      <c r="E2826" t="s">
        <v>29</v>
      </c>
      <c r="F2826" t="s">
        <v>18</v>
      </c>
    </row>
    <row r="2827" spans="2:13" x14ac:dyDescent="0.2">
      <c r="C2827" t="b">
        <v>0</v>
      </c>
      <c r="D2827">
        <v>810.06</v>
      </c>
      <c r="E2827" t="s">
        <v>30</v>
      </c>
    </row>
    <row r="2828" spans="2:13" x14ac:dyDescent="0.2">
      <c r="C2828" t="b">
        <v>0</v>
      </c>
      <c r="D2828">
        <v>760.06</v>
      </c>
      <c r="E2828" t="s">
        <v>30</v>
      </c>
    </row>
    <row r="2829" spans="2:13" x14ac:dyDescent="0.2">
      <c r="C2829" t="b">
        <v>0</v>
      </c>
      <c r="D2829">
        <v>810.05</v>
      </c>
      <c r="E2829" t="s">
        <v>30</v>
      </c>
    </row>
    <row r="2830" spans="2:13" x14ac:dyDescent="0.2">
      <c r="C2830" t="b">
        <v>0</v>
      </c>
      <c r="D2830">
        <v>930.07</v>
      </c>
      <c r="E2830" t="s">
        <v>30</v>
      </c>
    </row>
    <row r="2831" spans="2:13" x14ac:dyDescent="0.2">
      <c r="C2831" t="b">
        <v>0</v>
      </c>
      <c r="D2831">
        <v>910.08</v>
      </c>
      <c r="E2831" t="s">
        <v>30</v>
      </c>
    </row>
    <row r="2832" spans="2:13" x14ac:dyDescent="0.2">
      <c r="C2832" t="b">
        <v>0</v>
      </c>
      <c r="D2832">
        <v>870.06</v>
      </c>
      <c r="E2832" t="s">
        <v>30</v>
      </c>
    </row>
    <row r="2833" spans="2:13" x14ac:dyDescent="0.2">
      <c r="C2833" t="b">
        <v>0</v>
      </c>
      <c r="D2833">
        <v>1070.07</v>
      </c>
      <c r="E2833" t="s">
        <v>30</v>
      </c>
    </row>
    <row r="2834" spans="2:13" x14ac:dyDescent="0.2">
      <c r="B2834" t="s">
        <v>11</v>
      </c>
    </row>
    <row r="2835" spans="2:13" x14ac:dyDescent="0.2">
      <c r="B2835" t="s">
        <v>12</v>
      </c>
      <c r="C2835" t="s">
        <v>13</v>
      </c>
      <c r="D2835" t="s">
        <v>14</v>
      </c>
      <c r="E2835" t="s">
        <v>15</v>
      </c>
      <c r="F2835" t="s">
        <v>16</v>
      </c>
      <c r="G2835" t="s">
        <v>17</v>
      </c>
      <c r="H2835" t="s">
        <v>18</v>
      </c>
      <c r="I2835" t="s">
        <v>19</v>
      </c>
      <c r="J2835" t="s">
        <v>20</v>
      </c>
      <c r="K2835" t="s">
        <v>21</v>
      </c>
      <c r="L2835" t="s">
        <v>22</v>
      </c>
      <c r="M2835" t="s">
        <v>23</v>
      </c>
    </row>
    <row r="2836" spans="2:13" x14ac:dyDescent="0.2">
      <c r="B2836" t="s">
        <v>32</v>
      </c>
      <c r="C2836">
        <v>72</v>
      </c>
      <c r="E2836" t="s">
        <v>25</v>
      </c>
      <c r="F2836">
        <v>750.05</v>
      </c>
      <c r="G2836">
        <v>12.5</v>
      </c>
      <c r="K2836">
        <v>0.1</v>
      </c>
      <c r="L2836">
        <v>7</v>
      </c>
      <c r="M2836">
        <v>100.6</v>
      </c>
    </row>
    <row r="2837" spans="2:13" x14ac:dyDescent="0.2">
      <c r="C2837" t="s">
        <v>27</v>
      </c>
    </row>
    <row r="2838" spans="2:13" x14ac:dyDescent="0.2">
      <c r="C2838" t="s">
        <v>28</v>
      </c>
      <c r="D2838" t="s">
        <v>16</v>
      </c>
      <c r="E2838" t="s">
        <v>29</v>
      </c>
      <c r="F2838" t="s">
        <v>18</v>
      </c>
    </row>
    <row r="2839" spans="2:13" x14ac:dyDescent="0.2">
      <c r="C2839" t="b">
        <v>0</v>
      </c>
      <c r="D2839">
        <v>640.04</v>
      </c>
      <c r="E2839" t="s">
        <v>30</v>
      </c>
    </row>
    <row r="2840" spans="2:13" x14ac:dyDescent="0.2">
      <c r="C2840" t="b">
        <v>0</v>
      </c>
      <c r="D2840">
        <v>720.05</v>
      </c>
      <c r="E2840" t="s">
        <v>30</v>
      </c>
    </row>
    <row r="2841" spans="2:13" x14ac:dyDescent="0.2">
      <c r="C2841" t="b">
        <v>0</v>
      </c>
      <c r="D2841">
        <v>710.05</v>
      </c>
      <c r="E2841" t="s">
        <v>30</v>
      </c>
    </row>
    <row r="2842" spans="2:13" x14ac:dyDescent="0.2">
      <c r="C2842" t="b">
        <v>0</v>
      </c>
      <c r="D2842">
        <v>740.05</v>
      </c>
      <c r="E2842" t="s">
        <v>30</v>
      </c>
    </row>
    <row r="2843" spans="2:13" x14ac:dyDescent="0.2">
      <c r="C2843" t="b">
        <v>0</v>
      </c>
      <c r="D2843">
        <v>780.05</v>
      </c>
      <c r="E2843" t="s">
        <v>30</v>
      </c>
    </row>
    <row r="2844" spans="2:13" x14ac:dyDescent="0.2">
      <c r="C2844" t="b">
        <v>0</v>
      </c>
      <c r="D2844">
        <v>720.05</v>
      </c>
      <c r="E2844" t="s">
        <v>30</v>
      </c>
    </row>
    <row r="2845" spans="2:13" x14ac:dyDescent="0.2">
      <c r="C2845" t="b">
        <v>0</v>
      </c>
      <c r="D2845">
        <v>940.06</v>
      </c>
      <c r="E2845" t="s">
        <v>30</v>
      </c>
    </row>
    <row r="2846" spans="2:13" x14ac:dyDescent="0.2">
      <c r="B2846" t="s">
        <v>11</v>
      </c>
    </row>
    <row r="2847" spans="2:13" x14ac:dyDescent="0.2">
      <c r="B2847" t="s">
        <v>12</v>
      </c>
      <c r="C2847" t="s">
        <v>13</v>
      </c>
      <c r="D2847" t="s">
        <v>14</v>
      </c>
      <c r="E2847" t="s">
        <v>15</v>
      </c>
      <c r="F2847" t="s">
        <v>16</v>
      </c>
      <c r="G2847" t="s">
        <v>17</v>
      </c>
      <c r="H2847" t="s">
        <v>18</v>
      </c>
      <c r="I2847" t="s">
        <v>19</v>
      </c>
      <c r="J2847" t="s">
        <v>20</v>
      </c>
      <c r="K2847" t="s">
        <v>21</v>
      </c>
      <c r="L2847" t="s">
        <v>22</v>
      </c>
      <c r="M2847" t="s">
        <v>23</v>
      </c>
    </row>
    <row r="2848" spans="2:13" x14ac:dyDescent="0.2">
      <c r="B2848" t="s">
        <v>33</v>
      </c>
      <c r="C2848">
        <v>89</v>
      </c>
      <c r="E2848" t="s">
        <v>25</v>
      </c>
      <c r="F2848">
        <v>3797.79</v>
      </c>
      <c r="G2848">
        <v>8.1999999999999993</v>
      </c>
      <c r="K2848">
        <v>0.1</v>
      </c>
      <c r="L2848">
        <v>7</v>
      </c>
      <c r="M2848">
        <v>96.3</v>
      </c>
    </row>
    <row r="2849" spans="1:13" x14ac:dyDescent="0.2">
      <c r="C2849" t="s">
        <v>27</v>
      </c>
    </row>
    <row r="2850" spans="1:13" x14ac:dyDescent="0.2">
      <c r="C2850" t="s">
        <v>28</v>
      </c>
      <c r="D2850" t="s">
        <v>16</v>
      </c>
      <c r="E2850" t="s">
        <v>29</v>
      </c>
      <c r="F2850" t="s">
        <v>18</v>
      </c>
    </row>
    <row r="2851" spans="1:13" x14ac:dyDescent="0.2">
      <c r="C2851" t="b">
        <v>0</v>
      </c>
      <c r="D2851">
        <v>3510.57</v>
      </c>
      <c r="E2851" t="s">
        <v>30</v>
      </c>
    </row>
    <row r="2852" spans="1:13" x14ac:dyDescent="0.2">
      <c r="C2852" t="b">
        <v>0</v>
      </c>
      <c r="D2852">
        <v>3530.55</v>
      </c>
      <c r="E2852" t="s">
        <v>30</v>
      </c>
    </row>
    <row r="2853" spans="1:13" x14ac:dyDescent="0.2">
      <c r="C2853" t="b">
        <v>0</v>
      </c>
      <c r="D2853">
        <v>4100.76</v>
      </c>
      <c r="E2853" t="s">
        <v>30</v>
      </c>
    </row>
    <row r="2854" spans="1:13" x14ac:dyDescent="0.2">
      <c r="C2854" t="b">
        <v>0</v>
      </c>
      <c r="D2854">
        <v>3460.57</v>
      </c>
      <c r="E2854" t="s">
        <v>30</v>
      </c>
    </row>
    <row r="2855" spans="1:13" x14ac:dyDescent="0.2">
      <c r="C2855" t="b">
        <v>0</v>
      </c>
      <c r="D2855">
        <v>4030.71</v>
      </c>
      <c r="E2855" t="s">
        <v>30</v>
      </c>
    </row>
    <row r="2856" spans="1:13" x14ac:dyDescent="0.2">
      <c r="C2856" t="b">
        <v>0</v>
      </c>
      <c r="D2856">
        <v>4200.79</v>
      </c>
      <c r="E2856" t="s">
        <v>30</v>
      </c>
    </row>
    <row r="2857" spans="1:13" x14ac:dyDescent="0.2">
      <c r="C2857" t="b">
        <v>0</v>
      </c>
      <c r="D2857">
        <v>3750.61</v>
      </c>
      <c r="E2857" t="s">
        <v>30</v>
      </c>
    </row>
    <row r="2858" spans="1:13" x14ac:dyDescent="0.2">
      <c r="A2858" t="s">
        <v>0</v>
      </c>
    </row>
    <row r="2859" spans="1:13" x14ac:dyDescent="0.2">
      <c r="B2859" t="s">
        <v>1</v>
      </c>
      <c r="C2859" t="s">
        <v>2</v>
      </c>
      <c r="D2859" t="s">
        <v>3</v>
      </c>
      <c r="E2859" t="s">
        <v>4</v>
      </c>
      <c r="F2859" t="s">
        <v>5</v>
      </c>
      <c r="G2859" t="s">
        <v>6</v>
      </c>
    </row>
    <row r="2860" spans="1:13" x14ac:dyDescent="0.2">
      <c r="B2860" t="b">
        <v>0</v>
      </c>
      <c r="C2860" t="s">
        <v>207</v>
      </c>
      <c r="D2860" t="s">
        <v>208</v>
      </c>
      <c r="E2860" t="s">
        <v>0</v>
      </c>
      <c r="G2860" t="s">
        <v>209</v>
      </c>
    </row>
    <row r="2861" spans="1:13" x14ac:dyDescent="0.2">
      <c r="B2861" t="s">
        <v>11</v>
      </c>
    </row>
    <row r="2862" spans="1:13" x14ac:dyDescent="0.2">
      <c r="B2862" t="s">
        <v>12</v>
      </c>
      <c r="C2862" t="s">
        <v>13</v>
      </c>
      <c r="D2862" t="s">
        <v>14</v>
      </c>
      <c r="E2862" t="s">
        <v>15</v>
      </c>
      <c r="F2862" t="s">
        <v>16</v>
      </c>
      <c r="G2862" t="s">
        <v>17</v>
      </c>
      <c r="H2862" t="s">
        <v>18</v>
      </c>
      <c r="I2862" t="s">
        <v>19</v>
      </c>
      <c r="J2862" t="s">
        <v>20</v>
      </c>
      <c r="K2862" t="s">
        <v>21</v>
      </c>
      <c r="L2862" t="s">
        <v>22</v>
      </c>
      <c r="M2862" t="s">
        <v>23</v>
      </c>
    </row>
    <row r="2863" spans="1:13" x14ac:dyDescent="0.2">
      <c r="B2863" t="s">
        <v>24</v>
      </c>
      <c r="C2863">
        <v>59</v>
      </c>
      <c r="E2863" t="s">
        <v>25</v>
      </c>
      <c r="F2863">
        <v>11504051.619999999</v>
      </c>
      <c r="G2863">
        <v>0.8</v>
      </c>
      <c r="H2863">
        <v>5.117</v>
      </c>
      <c r="I2863" t="s">
        <v>26</v>
      </c>
      <c r="J2863">
        <v>0.8</v>
      </c>
      <c r="K2863">
        <v>0.1</v>
      </c>
      <c r="L2863">
        <v>7</v>
      </c>
    </row>
    <row r="2864" spans="1:13" x14ac:dyDescent="0.2">
      <c r="C2864" t="s">
        <v>27</v>
      </c>
    </row>
    <row r="2865" spans="2:13" x14ac:dyDescent="0.2">
      <c r="C2865" t="s">
        <v>28</v>
      </c>
      <c r="D2865" t="s">
        <v>16</v>
      </c>
      <c r="E2865" t="s">
        <v>29</v>
      </c>
      <c r="F2865" t="s">
        <v>18</v>
      </c>
    </row>
    <row r="2866" spans="2:13" x14ac:dyDescent="0.2">
      <c r="C2866" t="b">
        <v>0</v>
      </c>
      <c r="D2866">
        <v>11577753.58</v>
      </c>
      <c r="E2866" t="s">
        <v>67</v>
      </c>
      <c r="F2866">
        <v>5.15</v>
      </c>
    </row>
    <row r="2867" spans="2:13" x14ac:dyDescent="0.2">
      <c r="C2867" t="b">
        <v>0</v>
      </c>
      <c r="D2867">
        <v>11564468.58</v>
      </c>
      <c r="E2867" t="s">
        <v>67</v>
      </c>
      <c r="F2867">
        <v>5.1440000000000001</v>
      </c>
    </row>
    <row r="2868" spans="2:13" x14ac:dyDescent="0.2">
      <c r="C2868" t="b">
        <v>0</v>
      </c>
      <c r="D2868">
        <v>11365336.08</v>
      </c>
      <c r="E2868" t="s">
        <v>67</v>
      </c>
      <c r="F2868">
        <v>5.0549999999999997</v>
      </c>
    </row>
    <row r="2869" spans="2:13" x14ac:dyDescent="0.2">
      <c r="C2869" t="b">
        <v>0</v>
      </c>
      <c r="D2869">
        <v>11603663.58</v>
      </c>
      <c r="E2869" t="s">
        <v>67</v>
      </c>
      <c r="F2869">
        <v>5.1609999999999996</v>
      </c>
    </row>
    <row r="2870" spans="2:13" x14ac:dyDescent="0.2">
      <c r="C2870" t="b">
        <v>0</v>
      </c>
      <c r="D2870">
        <v>11546591.08</v>
      </c>
      <c r="E2870" t="s">
        <v>67</v>
      </c>
      <c r="F2870">
        <v>5.1360000000000001</v>
      </c>
    </row>
    <row r="2871" spans="2:13" x14ac:dyDescent="0.2">
      <c r="C2871" t="b">
        <v>0</v>
      </c>
      <c r="D2871">
        <v>11459449.83</v>
      </c>
      <c r="E2871" t="s">
        <v>67</v>
      </c>
      <c r="F2871">
        <v>5.0970000000000004</v>
      </c>
    </row>
    <row r="2872" spans="2:13" x14ac:dyDescent="0.2">
      <c r="C2872" t="b">
        <v>0</v>
      </c>
      <c r="D2872">
        <v>11411098.58</v>
      </c>
      <c r="E2872" t="s">
        <v>67</v>
      </c>
      <c r="F2872">
        <v>5.0759999999999996</v>
      </c>
    </row>
    <row r="2873" spans="2:13" x14ac:dyDescent="0.2">
      <c r="B2873" t="s">
        <v>11</v>
      </c>
    </row>
    <row r="2874" spans="2:13" x14ac:dyDescent="0.2">
      <c r="B2874" t="s">
        <v>12</v>
      </c>
      <c r="C2874" t="s">
        <v>13</v>
      </c>
      <c r="D2874" t="s">
        <v>14</v>
      </c>
      <c r="E2874" t="s">
        <v>15</v>
      </c>
      <c r="F2874" t="s">
        <v>16</v>
      </c>
      <c r="G2874" t="s">
        <v>17</v>
      </c>
      <c r="H2874" t="s">
        <v>18</v>
      </c>
      <c r="I2874" t="s">
        <v>19</v>
      </c>
      <c r="J2874" t="s">
        <v>20</v>
      </c>
      <c r="K2874" t="s">
        <v>21</v>
      </c>
      <c r="L2874" t="s">
        <v>22</v>
      </c>
      <c r="M2874" t="s">
        <v>23</v>
      </c>
    </row>
    <row r="2875" spans="2:13" x14ac:dyDescent="0.2">
      <c r="B2875" t="s">
        <v>31</v>
      </c>
      <c r="C2875">
        <v>45</v>
      </c>
      <c r="E2875" t="s">
        <v>25</v>
      </c>
      <c r="F2875">
        <v>1042.94</v>
      </c>
      <c r="G2875">
        <v>9.6</v>
      </c>
      <c r="K2875">
        <v>0.1</v>
      </c>
      <c r="L2875">
        <v>7</v>
      </c>
      <c r="M2875">
        <v>101</v>
      </c>
    </row>
    <row r="2876" spans="2:13" x14ac:dyDescent="0.2">
      <c r="C2876" t="s">
        <v>27</v>
      </c>
    </row>
    <row r="2877" spans="2:13" x14ac:dyDescent="0.2">
      <c r="C2877" t="s">
        <v>28</v>
      </c>
      <c r="D2877" t="s">
        <v>16</v>
      </c>
      <c r="E2877" t="s">
        <v>29</v>
      </c>
      <c r="F2877" t="s">
        <v>18</v>
      </c>
    </row>
    <row r="2878" spans="2:13" x14ac:dyDescent="0.2">
      <c r="C2878" t="b">
        <v>0</v>
      </c>
      <c r="D2878">
        <v>1170.0899999999999</v>
      </c>
      <c r="E2878" t="s">
        <v>30</v>
      </c>
    </row>
    <row r="2879" spans="2:13" x14ac:dyDescent="0.2">
      <c r="C2879" t="b">
        <v>0</v>
      </c>
      <c r="D2879">
        <v>880.06</v>
      </c>
      <c r="E2879" t="s">
        <v>30</v>
      </c>
    </row>
    <row r="2880" spans="2:13" x14ac:dyDescent="0.2">
      <c r="C2880" t="b">
        <v>0</v>
      </c>
      <c r="D2880">
        <v>1010.08</v>
      </c>
      <c r="E2880" t="s">
        <v>30</v>
      </c>
    </row>
    <row r="2881" spans="2:13" x14ac:dyDescent="0.2">
      <c r="C2881" t="b">
        <v>0</v>
      </c>
      <c r="D2881">
        <v>1040.08</v>
      </c>
      <c r="E2881" t="s">
        <v>30</v>
      </c>
    </row>
    <row r="2882" spans="2:13" x14ac:dyDescent="0.2">
      <c r="C2882" t="b">
        <v>0</v>
      </c>
      <c r="D2882">
        <v>1160.0899999999999</v>
      </c>
      <c r="E2882" t="s">
        <v>30</v>
      </c>
    </row>
    <row r="2883" spans="2:13" x14ac:dyDescent="0.2">
      <c r="C2883" t="b">
        <v>0</v>
      </c>
      <c r="D2883">
        <v>990.07</v>
      </c>
      <c r="E2883" t="s">
        <v>30</v>
      </c>
    </row>
    <row r="2884" spans="2:13" x14ac:dyDescent="0.2">
      <c r="C2884" t="b">
        <v>0</v>
      </c>
      <c r="D2884">
        <v>1050.08</v>
      </c>
      <c r="E2884" t="s">
        <v>30</v>
      </c>
    </row>
    <row r="2885" spans="2:13" x14ac:dyDescent="0.2">
      <c r="B2885" t="s">
        <v>11</v>
      </c>
    </row>
    <row r="2886" spans="2:13" x14ac:dyDescent="0.2">
      <c r="B2886" t="s">
        <v>12</v>
      </c>
      <c r="C2886" t="s">
        <v>13</v>
      </c>
      <c r="D2886" t="s">
        <v>14</v>
      </c>
      <c r="E2886" t="s">
        <v>15</v>
      </c>
      <c r="F2886" t="s">
        <v>16</v>
      </c>
      <c r="G2886" t="s">
        <v>17</v>
      </c>
      <c r="H2886" t="s">
        <v>18</v>
      </c>
      <c r="I2886" t="s">
        <v>19</v>
      </c>
      <c r="J2886" t="s">
        <v>20</v>
      </c>
      <c r="K2886" t="s">
        <v>21</v>
      </c>
      <c r="L2886" t="s">
        <v>22</v>
      </c>
      <c r="M2886" t="s">
        <v>23</v>
      </c>
    </row>
    <row r="2887" spans="2:13" x14ac:dyDescent="0.2">
      <c r="B2887" t="s">
        <v>32</v>
      </c>
      <c r="C2887">
        <v>72</v>
      </c>
      <c r="E2887" t="s">
        <v>25</v>
      </c>
      <c r="F2887">
        <v>777.19</v>
      </c>
      <c r="G2887">
        <v>10.6</v>
      </c>
      <c r="K2887">
        <v>0.1</v>
      </c>
      <c r="L2887">
        <v>7</v>
      </c>
      <c r="M2887">
        <v>104.2</v>
      </c>
    </row>
    <row r="2888" spans="2:13" x14ac:dyDescent="0.2">
      <c r="C2888" t="s">
        <v>27</v>
      </c>
    </row>
    <row r="2889" spans="2:13" x14ac:dyDescent="0.2">
      <c r="C2889" t="s">
        <v>28</v>
      </c>
      <c r="D2889" t="s">
        <v>16</v>
      </c>
      <c r="E2889" t="s">
        <v>29</v>
      </c>
      <c r="F2889" t="s">
        <v>18</v>
      </c>
    </row>
    <row r="2890" spans="2:13" x14ac:dyDescent="0.2">
      <c r="C2890" t="b">
        <v>0</v>
      </c>
      <c r="D2890">
        <v>930.07</v>
      </c>
      <c r="E2890" t="s">
        <v>30</v>
      </c>
    </row>
    <row r="2891" spans="2:13" x14ac:dyDescent="0.2">
      <c r="C2891" t="b">
        <v>0</v>
      </c>
      <c r="D2891">
        <v>740.05</v>
      </c>
      <c r="E2891" t="s">
        <v>30</v>
      </c>
    </row>
    <row r="2892" spans="2:13" x14ac:dyDescent="0.2">
      <c r="C2892" t="b">
        <v>0</v>
      </c>
      <c r="D2892">
        <v>670.04</v>
      </c>
      <c r="E2892" t="s">
        <v>30</v>
      </c>
    </row>
    <row r="2893" spans="2:13" x14ac:dyDescent="0.2">
      <c r="C2893" t="b">
        <v>0</v>
      </c>
      <c r="D2893">
        <v>810.05</v>
      </c>
      <c r="E2893" t="s">
        <v>30</v>
      </c>
    </row>
    <row r="2894" spans="2:13" x14ac:dyDescent="0.2">
      <c r="C2894" t="b">
        <v>0</v>
      </c>
      <c r="D2894">
        <v>780.05</v>
      </c>
      <c r="E2894" t="s">
        <v>30</v>
      </c>
    </row>
    <row r="2895" spans="2:13" x14ac:dyDescent="0.2">
      <c r="C2895" t="b">
        <v>0</v>
      </c>
      <c r="D2895">
        <v>790.05</v>
      </c>
      <c r="E2895" t="s">
        <v>30</v>
      </c>
    </row>
    <row r="2896" spans="2:13" x14ac:dyDescent="0.2">
      <c r="C2896" t="b">
        <v>0</v>
      </c>
      <c r="D2896">
        <v>720.04</v>
      </c>
      <c r="E2896" t="s">
        <v>30</v>
      </c>
    </row>
    <row r="2897" spans="1:13" x14ac:dyDescent="0.2">
      <c r="B2897" t="s">
        <v>11</v>
      </c>
    </row>
    <row r="2898" spans="1:13" x14ac:dyDescent="0.2">
      <c r="B2898" t="s">
        <v>12</v>
      </c>
      <c r="C2898" t="s">
        <v>13</v>
      </c>
      <c r="D2898" t="s">
        <v>14</v>
      </c>
      <c r="E2898" t="s">
        <v>15</v>
      </c>
      <c r="F2898" t="s">
        <v>16</v>
      </c>
      <c r="G2898" t="s">
        <v>17</v>
      </c>
      <c r="H2898" t="s">
        <v>18</v>
      </c>
      <c r="I2898" t="s">
        <v>19</v>
      </c>
      <c r="J2898" t="s">
        <v>20</v>
      </c>
      <c r="K2898" t="s">
        <v>21</v>
      </c>
      <c r="L2898" t="s">
        <v>22</v>
      </c>
      <c r="M2898" t="s">
        <v>23</v>
      </c>
    </row>
    <row r="2899" spans="1:13" x14ac:dyDescent="0.2">
      <c r="B2899" t="s">
        <v>33</v>
      </c>
      <c r="C2899">
        <v>89</v>
      </c>
      <c r="E2899" t="s">
        <v>25</v>
      </c>
      <c r="F2899">
        <v>4675.26</v>
      </c>
      <c r="G2899">
        <v>3.8</v>
      </c>
      <c r="K2899">
        <v>0.1</v>
      </c>
      <c r="L2899">
        <v>7</v>
      </c>
      <c r="M2899">
        <v>118.5</v>
      </c>
    </row>
    <row r="2900" spans="1:13" x14ac:dyDescent="0.2">
      <c r="C2900" t="s">
        <v>27</v>
      </c>
    </row>
    <row r="2901" spans="1:13" x14ac:dyDescent="0.2">
      <c r="C2901" t="s">
        <v>28</v>
      </c>
      <c r="D2901" t="s">
        <v>16</v>
      </c>
      <c r="E2901" t="s">
        <v>29</v>
      </c>
      <c r="F2901" t="s">
        <v>18</v>
      </c>
    </row>
    <row r="2902" spans="1:13" x14ac:dyDescent="0.2">
      <c r="C2902" t="b">
        <v>0</v>
      </c>
      <c r="D2902">
        <v>4651</v>
      </c>
      <c r="E2902" t="s">
        <v>30</v>
      </c>
    </row>
    <row r="2903" spans="1:13" x14ac:dyDescent="0.2">
      <c r="C2903" t="b">
        <v>0</v>
      </c>
      <c r="D2903">
        <v>4630.91</v>
      </c>
      <c r="E2903" t="s">
        <v>30</v>
      </c>
    </row>
    <row r="2904" spans="1:13" x14ac:dyDescent="0.2">
      <c r="C2904" t="b">
        <v>0</v>
      </c>
      <c r="D2904">
        <v>4971.09</v>
      </c>
      <c r="E2904" t="s">
        <v>30</v>
      </c>
    </row>
    <row r="2905" spans="1:13" x14ac:dyDescent="0.2">
      <c r="C2905" t="b">
        <v>0</v>
      </c>
      <c r="D2905">
        <v>4490.88</v>
      </c>
      <c r="E2905" t="s">
        <v>30</v>
      </c>
    </row>
    <row r="2906" spans="1:13" x14ac:dyDescent="0.2">
      <c r="C2906" t="b">
        <v>0</v>
      </c>
      <c r="D2906">
        <v>4610.9399999999996</v>
      </c>
      <c r="E2906" t="s">
        <v>30</v>
      </c>
    </row>
    <row r="2907" spans="1:13" x14ac:dyDescent="0.2">
      <c r="C2907" t="b">
        <v>0</v>
      </c>
      <c r="D2907">
        <v>4510.88</v>
      </c>
      <c r="E2907" t="s">
        <v>30</v>
      </c>
    </row>
    <row r="2908" spans="1:13" x14ac:dyDescent="0.2">
      <c r="C2908" t="b">
        <v>0</v>
      </c>
      <c r="D2908">
        <v>4861.1400000000003</v>
      </c>
      <c r="E2908" t="s">
        <v>30</v>
      </c>
    </row>
    <row r="2909" spans="1:13" x14ac:dyDescent="0.2">
      <c r="A2909" t="s">
        <v>0</v>
      </c>
    </row>
    <row r="2910" spans="1:13" x14ac:dyDescent="0.2"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 t="s">
        <v>6</v>
      </c>
    </row>
    <row r="2911" spans="1:13" x14ac:dyDescent="0.2">
      <c r="B2911" t="b">
        <v>0</v>
      </c>
      <c r="C2911" t="s">
        <v>210</v>
      </c>
      <c r="D2911" t="s">
        <v>211</v>
      </c>
      <c r="E2911" t="s">
        <v>9</v>
      </c>
      <c r="G2911" t="s">
        <v>212</v>
      </c>
    </row>
    <row r="2912" spans="1:13" x14ac:dyDescent="0.2">
      <c r="B2912" t="s">
        <v>11</v>
      </c>
    </row>
    <row r="2913" spans="2:13" x14ac:dyDescent="0.2">
      <c r="B2913" t="s">
        <v>12</v>
      </c>
      <c r="C2913" t="s">
        <v>13</v>
      </c>
      <c r="D2913" t="s">
        <v>14</v>
      </c>
      <c r="E2913" t="s">
        <v>15</v>
      </c>
      <c r="F2913" t="s">
        <v>16</v>
      </c>
      <c r="G2913" t="s">
        <v>17</v>
      </c>
      <c r="H2913" t="s">
        <v>18</v>
      </c>
      <c r="I2913" t="s">
        <v>19</v>
      </c>
      <c r="J2913" t="s">
        <v>20</v>
      </c>
      <c r="K2913" t="s">
        <v>21</v>
      </c>
      <c r="L2913" t="s">
        <v>22</v>
      </c>
      <c r="M2913" t="s">
        <v>23</v>
      </c>
    </row>
    <row r="2914" spans="2:13" x14ac:dyDescent="0.2">
      <c r="B2914" t="s">
        <v>24</v>
      </c>
      <c r="C2914">
        <v>59</v>
      </c>
      <c r="E2914" t="s">
        <v>25</v>
      </c>
      <c r="F2914">
        <v>695.76</v>
      </c>
      <c r="G2914">
        <v>9.1</v>
      </c>
      <c r="H2914">
        <v>0</v>
      </c>
      <c r="I2914" t="s">
        <v>26</v>
      </c>
      <c r="J2914">
        <v>9.9</v>
      </c>
      <c r="K2914">
        <v>0.1</v>
      </c>
      <c r="L2914">
        <v>7</v>
      </c>
    </row>
    <row r="2915" spans="2:13" x14ac:dyDescent="0.2">
      <c r="C2915" t="s">
        <v>27</v>
      </c>
    </row>
    <row r="2916" spans="2:13" x14ac:dyDescent="0.2">
      <c r="C2916" t="s">
        <v>28</v>
      </c>
      <c r="D2916" t="s">
        <v>16</v>
      </c>
      <c r="E2916" t="s">
        <v>29</v>
      </c>
      <c r="F2916" t="s">
        <v>18</v>
      </c>
    </row>
    <row r="2917" spans="2:13" x14ac:dyDescent="0.2">
      <c r="C2917" t="b">
        <v>0</v>
      </c>
      <c r="D2917">
        <v>720.04</v>
      </c>
      <c r="E2917" t="s">
        <v>30</v>
      </c>
      <c r="F2917">
        <v>0</v>
      </c>
    </row>
    <row r="2918" spans="2:13" x14ac:dyDescent="0.2">
      <c r="C2918" t="b">
        <v>0</v>
      </c>
      <c r="D2918">
        <v>720.05</v>
      </c>
      <c r="E2918" t="s">
        <v>30</v>
      </c>
      <c r="F2918">
        <v>0</v>
      </c>
    </row>
    <row r="2919" spans="2:13" x14ac:dyDescent="0.2">
      <c r="C2919" t="b">
        <v>0</v>
      </c>
      <c r="D2919">
        <v>800.05</v>
      </c>
      <c r="E2919" t="s">
        <v>30</v>
      </c>
      <c r="F2919">
        <v>0</v>
      </c>
    </row>
    <row r="2920" spans="2:13" x14ac:dyDescent="0.2">
      <c r="C2920" t="b">
        <v>0</v>
      </c>
      <c r="D2920">
        <v>590.04</v>
      </c>
      <c r="E2920" t="s">
        <v>30</v>
      </c>
      <c r="F2920">
        <v>0</v>
      </c>
    </row>
    <row r="2921" spans="2:13" x14ac:dyDescent="0.2">
      <c r="C2921" t="b">
        <v>0</v>
      </c>
      <c r="D2921">
        <v>670.04</v>
      </c>
      <c r="E2921" t="s">
        <v>30</v>
      </c>
      <c r="F2921">
        <v>0</v>
      </c>
    </row>
    <row r="2922" spans="2:13" x14ac:dyDescent="0.2">
      <c r="C2922" t="b">
        <v>0</v>
      </c>
      <c r="D2922">
        <v>690.04</v>
      </c>
      <c r="E2922" t="s">
        <v>30</v>
      </c>
      <c r="F2922">
        <v>0</v>
      </c>
    </row>
    <row r="2923" spans="2:13" x14ac:dyDescent="0.2">
      <c r="C2923" t="b">
        <v>0</v>
      </c>
      <c r="D2923">
        <v>680.05</v>
      </c>
      <c r="E2923" t="s">
        <v>30</v>
      </c>
      <c r="F2923">
        <v>0</v>
      </c>
    </row>
    <row r="2924" spans="2:13" x14ac:dyDescent="0.2">
      <c r="B2924" t="s">
        <v>11</v>
      </c>
    </row>
    <row r="2925" spans="2:13" x14ac:dyDescent="0.2">
      <c r="B2925" t="s">
        <v>12</v>
      </c>
      <c r="C2925" t="s">
        <v>13</v>
      </c>
      <c r="D2925" t="s">
        <v>14</v>
      </c>
      <c r="E2925" t="s">
        <v>15</v>
      </c>
      <c r="F2925" t="s">
        <v>16</v>
      </c>
      <c r="G2925" t="s">
        <v>17</v>
      </c>
      <c r="H2925" t="s">
        <v>18</v>
      </c>
      <c r="I2925" t="s">
        <v>19</v>
      </c>
      <c r="J2925" t="s">
        <v>20</v>
      </c>
      <c r="K2925" t="s">
        <v>21</v>
      </c>
      <c r="L2925" t="s">
        <v>22</v>
      </c>
      <c r="M2925" t="s">
        <v>23</v>
      </c>
    </row>
    <row r="2926" spans="2:13" x14ac:dyDescent="0.2">
      <c r="B2926" t="s">
        <v>31</v>
      </c>
      <c r="C2926">
        <v>45</v>
      </c>
      <c r="E2926" t="s">
        <v>25</v>
      </c>
      <c r="F2926">
        <v>875.77</v>
      </c>
      <c r="G2926">
        <v>9.1</v>
      </c>
      <c r="K2926">
        <v>0.1</v>
      </c>
      <c r="L2926">
        <v>7</v>
      </c>
      <c r="M2926">
        <v>84.8</v>
      </c>
    </row>
    <row r="2927" spans="2:13" x14ac:dyDescent="0.2">
      <c r="C2927" t="s">
        <v>27</v>
      </c>
    </row>
    <row r="2928" spans="2:13" x14ac:dyDescent="0.2">
      <c r="C2928" t="s">
        <v>28</v>
      </c>
      <c r="D2928" t="s">
        <v>16</v>
      </c>
      <c r="E2928" t="s">
        <v>29</v>
      </c>
      <c r="F2928" t="s">
        <v>18</v>
      </c>
    </row>
    <row r="2929" spans="2:13" x14ac:dyDescent="0.2">
      <c r="C2929" t="b">
        <v>0</v>
      </c>
      <c r="D2929">
        <v>840.05</v>
      </c>
      <c r="E2929" t="s">
        <v>30</v>
      </c>
    </row>
    <row r="2930" spans="2:13" x14ac:dyDescent="0.2">
      <c r="C2930" t="b">
        <v>0</v>
      </c>
      <c r="D2930">
        <v>940.06</v>
      </c>
      <c r="E2930" t="s">
        <v>30</v>
      </c>
    </row>
    <row r="2931" spans="2:13" x14ac:dyDescent="0.2">
      <c r="C2931" t="b">
        <v>0</v>
      </c>
      <c r="D2931">
        <v>850.05</v>
      </c>
      <c r="E2931" t="s">
        <v>30</v>
      </c>
    </row>
    <row r="2932" spans="2:13" x14ac:dyDescent="0.2">
      <c r="C2932" t="b">
        <v>0</v>
      </c>
      <c r="D2932">
        <v>730.04</v>
      </c>
      <c r="E2932" t="s">
        <v>30</v>
      </c>
    </row>
    <row r="2933" spans="2:13" x14ac:dyDescent="0.2">
      <c r="C2933" t="b">
        <v>0</v>
      </c>
      <c r="D2933">
        <v>970.07</v>
      </c>
      <c r="E2933" t="s">
        <v>30</v>
      </c>
    </row>
    <row r="2934" spans="2:13" x14ac:dyDescent="0.2">
      <c r="C2934" t="b">
        <v>0</v>
      </c>
      <c r="D2934">
        <v>920.07</v>
      </c>
      <c r="E2934" t="s">
        <v>30</v>
      </c>
    </row>
    <row r="2935" spans="2:13" x14ac:dyDescent="0.2">
      <c r="C2935" t="b">
        <v>0</v>
      </c>
      <c r="D2935">
        <v>880.06</v>
      </c>
      <c r="E2935" t="s">
        <v>30</v>
      </c>
    </row>
    <row r="2936" spans="2:13" x14ac:dyDescent="0.2">
      <c r="B2936" t="s">
        <v>11</v>
      </c>
    </row>
    <row r="2937" spans="2:13" x14ac:dyDescent="0.2">
      <c r="B2937" t="s">
        <v>12</v>
      </c>
      <c r="C2937" t="s">
        <v>13</v>
      </c>
      <c r="D2937" t="s">
        <v>14</v>
      </c>
      <c r="E2937" t="s">
        <v>15</v>
      </c>
      <c r="F2937" t="s">
        <v>16</v>
      </c>
      <c r="G2937" t="s">
        <v>17</v>
      </c>
      <c r="H2937" t="s">
        <v>18</v>
      </c>
      <c r="I2937" t="s">
        <v>19</v>
      </c>
      <c r="J2937" t="s">
        <v>20</v>
      </c>
      <c r="K2937" t="s">
        <v>21</v>
      </c>
      <c r="L2937" t="s">
        <v>22</v>
      </c>
      <c r="M2937" t="s">
        <v>23</v>
      </c>
    </row>
    <row r="2938" spans="2:13" x14ac:dyDescent="0.2">
      <c r="B2938" t="s">
        <v>32</v>
      </c>
      <c r="C2938">
        <v>72</v>
      </c>
      <c r="E2938" t="s">
        <v>25</v>
      </c>
      <c r="F2938">
        <v>664.33</v>
      </c>
      <c r="G2938">
        <v>8.5</v>
      </c>
      <c r="K2938">
        <v>0.1</v>
      </c>
      <c r="L2938">
        <v>7</v>
      </c>
      <c r="M2938">
        <v>89.1</v>
      </c>
    </row>
    <row r="2939" spans="2:13" x14ac:dyDescent="0.2">
      <c r="C2939" t="s">
        <v>27</v>
      </c>
    </row>
    <row r="2940" spans="2:13" x14ac:dyDescent="0.2">
      <c r="C2940" t="s">
        <v>28</v>
      </c>
      <c r="D2940" t="s">
        <v>16</v>
      </c>
      <c r="E2940" t="s">
        <v>29</v>
      </c>
      <c r="F2940" t="s">
        <v>18</v>
      </c>
    </row>
    <row r="2941" spans="2:13" x14ac:dyDescent="0.2">
      <c r="C2941" t="b">
        <v>0</v>
      </c>
      <c r="D2941">
        <v>720.05</v>
      </c>
      <c r="E2941" t="s">
        <v>30</v>
      </c>
    </row>
    <row r="2942" spans="2:13" x14ac:dyDescent="0.2">
      <c r="C2942" t="b">
        <v>0</v>
      </c>
      <c r="D2942">
        <v>640.04</v>
      </c>
      <c r="E2942" t="s">
        <v>30</v>
      </c>
    </row>
    <row r="2943" spans="2:13" x14ac:dyDescent="0.2">
      <c r="C2943" t="b">
        <v>0</v>
      </c>
      <c r="D2943">
        <v>620.04</v>
      </c>
      <c r="E2943" t="s">
        <v>30</v>
      </c>
    </row>
    <row r="2944" spans="2:13" x14ac:dyDescent="0.2">
      <c r="C2944" t="b">
        <v>0</v>
      </c>
      <c r="D2944">
        <v>730.04</v>
      </c>
      <c r="E2944" t="s">
        <v>30</v>
      </c>
    </row>
    <row r="2945" spans="1:13" x14ac:dyDescent="0.2">
      <c r="C2945" t="b">
        <v>0</v>
      </c>
      <c r="D2945">
        <v>610.03</v>
      </c>
      <c r="E2945" t="s">
        <v>30</v>
      </c>
    </row>
    <row r="2946" spans="1:13" x14ac:dyDescent="0.2">
      <c r="C2946" t="b">
        <v>0</v>
      </c>
      <c r="D2946">
        <v>720.05</v>
      </c>
      <c r="E2946" t="s">
        <v>30</v>
      </c>
    </row>
    <row r="2947" spans="1:13" x14ac:dyDescent="0.2">
      <c r="C2947" t="b">
        <v>0</v>
      </c>
      <c r="D2947">
        <v>610.04</v>
      </c>
      <c r="E2947" t="s">
        <v>30</v>
      </c>
    </row>
    <row r="2948" spans="1:13" x14ac:dyDescent="0.2">
      <c r="B2948" t="s">
        <v>11</v>
      </c>
    </row>
    <row r="2949" spans="1:13" x14ac:dyDescent="0.2">
      <c r="B2949" t="s">
        <v>12</v>
      </c>
      <c r="C2949" t="s">
        <v>13</v>
      </c>
      <c r="D2949" t="s">
        <v>14</v>
      </c>
      <c r="E2949" t="s">
        <v>15</v>
      </c>
      <c r="F2949" t="s">
        <v>16</v>
      </c>
      <c r="G2949" t="s">
        <v>17</v>
      </c>
      <c r="H2949" t="s">
        <v>18</v>
      </c>
      <c r="I2949" t="s">
        <v>19</v>
      </c>
      <c r="J2949" t="s">
        <v>20</v>
      </c>
      <c r="K2949" t="s">
        <v>21</v>
      </c>
      <c r="L2949" t="s">
        <v>22</v>
      </c>
      <c r="M2949" t="s">
        <v>23</v>
      </c>
    </row>
    <row r="2950" spans="1:13" x14ac:dyDescent="0.2">
      <c r="B2950" t="s">
        <v>33</v>
      </c>
      <c r="C2950">
        <v>89</v>
      </c>
      <c r="E2950" t="s">
        <v>25</v>
      </c>
      <c r="F2950">
        <v>3433.4</v>
      </c>
      <c r="G2950">
        <v>5.6</v>
      </c>
      <c r="K2950">
        <v>0.1</v>
      </c>
      <c r="L2950">
        <v>7</v>
      </c>
      <c r="M2950">
        <v>87</v>
      </c>
    </row>
    <row r="2951" spans="1:13" x14ac:dyDescent="0.2">
      <c r="C2951" t="s">
        <v>27</v>
      </c>
    </row>
    <row r="2952" spans="1:13" x14ac:dyDescent="0.2">
      <c r="C2952" t="s">
        <v>28</v>
      </c>
      <c r="D2952" t="s">
        <v>16</v>
      </c>
      <c r="E2952" t="s">
        <v>29</v>
      </c>
      <c r="F2952" t="s">
        <v>18</v>
      </c>
    </row>
    <row r="2953" spans="1:13" x14ac:dyDescent="0.2">
      <c r="C2953" t="b">
        <v>0</v>
      </c>
      <c r="D2953">
        <v>3290.5</v>
      </c>
      <c r="E2953" t="s">
        <v>30</v>
      </c>
    </row>
    <row r="2954" spans="1:13" x14ac:dyDescent="0.2">
      <c r="C2954" t="b">
        <v>0</v>
      </c>
      <c r="D2954">
        <v>3810.64</v>
      </c>
      <c r="E2954" t="s">
        <v>30</v>
      </c>
    </row>
    <row r="2955" spans="1:13" x14ac:dyDescent="0.2">
      <c r="C2955" t="b">
        <v>0</v>
      </c>
      <c r="D2955">
        <v>3250.49</v>
      </c>
      <c r="E2955" t="s">
        <v>30</v>
      </c>
    </row>
    <row r="2956" spans="1:13" x14ac:dyDescent="0.2">
      <c r="C2956" t="b">
        <v>0</v>
      </c>
      <c r="D2956">
        <v>3420.55</v>
      </c>
      <c r="E2956" t="s">
        <v>30</v>
      </c>
    </row>
    <row r="2957" spans="1:13" x14ac:dyDescent="0.2">
      <c r="C2957" t="b">
        <v>0</v>
      </c>
      <c r="D2957">
        <v>3320.5</v>
      </c>
      <c r="E2957" t="s">
        <v>30</v>
      </c>
    </row>
    <row r="2958" spans="1:13" x14ac:dyDescent="0.2">
      <c r="C2958" t="b">
        <v>0</v>
      </c>
      <c r="D2958">
        <v>3390.53</v>
      </c>
      <c r="E2958" t="s">
        <v>30</v>
      </c>
    </row>
    <row r="2959" spans="1:13" x14ac:dyDescent="0.2">
      <c r="C2959" t="b">
        <v>0</v>
      </c>
      <c r="D2959">
        <v>3550.59</v>
      </c>
      <c r="E2959" t="s">
        <v>30</v>
      </c>
    </row>
    <row r="2960" spans="1:13" x14ac:dyDescent="0.2">
      <c r="A2960" t="s">
        <v>0</v>
      </c>
    </row>
    <row r="2961" spans="2:13" x14ac:dyDescent="0.2"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</row>
    <row r="2962" spans="2:13" x14ac:dyDescent="0.2">
      <c r="B2962" t="b">
        <v>0</v>
      </c>
      <c r="C2962" t="s">
        <v>213</v>
      </c>
      <c r="D2962" t="s">
        <v>214</v>
      </c>
      <c r="E2962" t="s">
        <v>9</v>
      </c>
      <c r="G2962" t="s">
        <v>212</v>
      </c>
    </row>
    <row r="2963" spans="2:13" x14ac:dyDescent="0.2">
      <c r="B2963" t="s">
        <v>11</v>
      </c>
    </row>
    <row r="2964" spans="2:13" x14ac:dyDescent="0.2">
      <c r="B2964" t="s">
        <v>12</v>
      </c>
      <c r="C2964" t="s">
        <v>13</v>
      </c>
      <c r="D2964" t="s">
        <v>14</v>
      </c>
      <c r="E2964" t="s">
        <v>15</v>
      </c>
      <c r="F2964" t="s">
        <v>16</v>
      </c>
      <c r="G2964" t="s">
        <v>17</v>
      </c>
      <c r="H2964" t="s">
        <v>18</v>
      </c>
      <c r="I2964" t="s">
        <v>19</v>
      </c>
      <c r="J2964" t="s">
        <v>20</v>
      </c>
      <c r="K2964" t="s">
        <v>21</v>
      </c>
      <c r="L2964" t="s">
        <v>22</v>
      </c>
      <c r="M2964" t="s">
        <v>23</v>
      </c>
    </row>
    <row r="2965" spans="2:13" x14ac:dyDescent="0.2">
      <c r="B2965" t="s">
        <v>24</v>
      </c>
      <c r="C2965">
        <v>59</v>
      </c>
      <c r="E2965" t="s">
        <v>25</v>
      </c>
      <c r="F2965">
        <v>278.58999999999997</v>
      </c>
      <c r="G2965">
        <v>28.9</v>
      </c>
      <c r="H2965">
        <v>0</v>
      </c>
      <c r="I2965" t="s">
        <v>26</v>
      </c>
      <c r="J2965">
        <v>36.1</v>
      </c>
      <c r="K2965">
        <v>0.1</v>
      </c>
      <c r="L2965">
        <v>7</v>
      </c>
    </row>
    <row r="2966" spans="2:13" x14ac:dyDescent="0.2">
      <c r="C2966" t="s">
        <v>27</v>
      </c>
    </row>
    <row r="2967" spans="2:13" x14ac:dyDescent="0.2">
      <c r="C2967" t="s">
        <v>28</v>
      </c>
      <c r="D2967" t="s">
        <v>16</v>
      </c>
      <c r="E2967" t="s">
        <v>29</v>
      </c>
      <c r="F2967" t="s">
        <v>18</v>
      </c>
    </row>
    <row r="2968" spans="2:13" x14ac:dyDescent="0.2">
      <c r="C2968" t="b">
        <v>0</v>
      </c>
      <c r="D2968">
        <v>260.01</v>
      </c>
      <c r="E2968" t="s">
        <v>30</v>
      </c>
      <c r="F2968">
        <v>0</v>
      </c>
    </row>
    <row r="2969" spans="2:13" x14ac:dyDescent="0.2">
      <c r="C2969" t="b">
        <v>0</v>
      </c>
      <c r="D2969">
        <v>360.02</v>
      </c>
      <c r="E2969" t="s">
        <v>30</v>
      </c>
      <c r="F2969">
        <v>0</v>
      </c>
    </row>
    <row r="2970" spans="2:13" x14ac:dyDescent="0.2">
      <c r="C2970" t="b">
        <v>0</v>
      </c>
      <c r="D2970">
        <v>180.01</v>
      </c>
      <c r="E2970" t="s">
        <v>30</v>
      </c>
      <c r="F2970">
        <v>0</v>
      </c>
    </row>
    <row r="2971" spans="2:13" x14ac:dyDescent="0.2">
      <c r="C2971" t="b">
        <v>0</v>
      </c>
      <c r="D2971">
        <v>220.01</v>
      </c>
      <c r="E2971" t="s">
        <v>30</v>
      </c>
      <c r="F2971">
        <v>0</v>
      </c>
    </row>
    <row r="2972" spans="2:13" x14ac:dyDescent="0.2">
      <c r="C2972" t="b">
        <v>0</v>
      </c>
      <c r="D2972">
        <v>380.02</v>
      </c>
      <c r="E2972" t="s">
        <v>30</v>
      </c>
      <c r="F2972">
        <v>0</v>
      </c>
    </row>
    <row r="2973" spans="2:13" x14ac:dyDescent="0.2">
      <c r="C2973" t="b">
        <v>0</v>
      </c>
      <c r="D2973">
        <v>210.01</v>
      </c>
      <c r="E2973" t="s">
        <v>30</v>
      </c>
      <c r="F2973">
        <v>0</v>
      </c>
    </row>
    <row r="2974" spans="2:13" x14ac:dyDescent="0.2">
      <c r="C2974" t="b">
        <v>0</v>
      </c>
      <c r="D2974">
        <v>340.02</v>
      </c>
      <c r="E2974" t="s">
        <v>30</v>
      </c>
      <c r="F2974">
        <v>0</v>
      </c>
    </row>
    <row r="2975" spans="2:13" x14ac:dyDescent="0.2">
      <c r="B2975" t="s">
        <v>11</v>
      </c>
    </row>
    <row r="2976" spans="2:13" x14ac:dyDescent="0.2">
      <c r="B2976" t="s">
        <v>12</v>
      </c>
      <c r="C2976" t="s">
        <v>13</v>
      </c>
      <c r="D2976" t="s">
        <v>14</v>
      </c>
      <c r="E2976" t="s">
        <v>15</v>
      </c>
      <c r="F2976" t="s">
        <v>16</v>
      </c>
      <c r="G2976" t="s">
        <v>17</v>
      </c>
      <c r="H2976" t="s">
        <v>18</v>
      </c>
      <c r="I2976" t="s">
        <v>19</v>
      </c>
      <c r="J2976" t="s">
        <v>20</v>
      </c>
      <c r="K2976" t="s">
        <v>21</v>
      </c>
      <c r="L2976" t="s">
        <v>22</v>
      </c>
      <c r="M2976" t="s">
        <v>23</v>
      </c>
    </row>
    <row r="2977" spans="2:13" x14ac:dyDescent="0.2">
      <c r="B2977" t="s">
        <v>31</v>
      </c>
      <c r="C2977">
        <v>45</v>
      </c>
      <c r="E2977" t="s">
        <v>25</v>
      </c>
      <c r="F2977">
        <v>1027.22</v>
      </c>
      <c r="G2977">
        <v>10.199999999999999</v>
      </c>
      <c r="K2977">
        <v>0.1</v>
      </c>
      <c r="L2977">
        <v>7</v>
      </c>
      <c r="M2977">
        <v>99.4</v>
      </c>
    </row>
    <row r="2978" spans="2:13" x14ac:dyDescent="0.2">
      <c r="C2978" t="s">
        <v>27</v>
      </c>
    </row>
    <row r="2979" spans="2:13" x14ac:dyDescent="0.2">
      <c r="C2979" t="s">
        <v>28</v>
      </c>
      <c r="D2979" t="s">
        <v>16</v>
      </c>
      <c r="E2979" t="s">
        <v>29</v>
      </c>
      <c r="F2979" t="s">
        <v>18</v>
      </c>
    </row>
    <row r="2980" spans="2:13" x14ac:dyDescent="0.2">
      <c r="C2980" t="b">
        <v>0</v>
      </c>
      <c r="D2980">
        <v>970.06</v>
      </c>
      <c r="E2980" t="s">
        <v>30</v>
      </c>
    </row>
    <row r="2981" spans="2:13" x14ac:dyDescent="0.2">
      <c r="C2981" t="b">
        <v>0</v>
      </c>
      <c r="D2981">
        <v>980.07</v>
      </c>
      <c r="E2981" t="s">
        <v>30</v>
      </c>
    </row>
    <row r="2982" spans="2:13" x14ac:dyDescent="0.2">
      <c r="C2982" t="b">
        <v>0</v>
      </c>
      <c r="D2982">
        <v>1080.08</v>
      </c>
      <c r="E2982" t="s">
        <v>30</v>
      </c>
    </row>
    <row r="2983" spans="2:13" x14ac:dyDescent="0.2">
      <c r="C2983" t="b">
        <v>0</v>
      </c>
      <c r="D2983">
        <v>1210.0999999999999</v>
      </c>
      <c r="E2983" t="s">
        <v>30</v>
      </c>
    </row>
    <row r="2984" spans="2:13" x14ac:dyDescent="0.2">
      <c r="C2984" t="b">
        <v>0</v>
      </c>
      <c r="D2984">
        <v>890.06</v>
      </c>
      <c r="E2984" t="s">
        <v>30</v>
      </c>
    </row>
    <row r="2985" spans="2:13" x14ac:dyDescent="0.2">
      <c r="C2985" t="b">
        <v>0</v>
      </c>
      <c r="D2985">
        <v>1080.08</v>
      </c>
      <c r="E2985" t="s">
        <v>30</v>
      </c>
    </row>
    <row r="2986" spans="2:13" x14ac:dyDescent="0.2">
      <c r="C2986" t="b">
        <v>0</v>
      </c>
      <c r="D2986">
        <v>980.07</v>
      </c>
      <c r="E2986" t="s">
        <v>30</v>
      </c>
    </row>
    <row r="2987" spans="2:13" x14ac:dyDescent="0.2">
      <c r="B2987" t="s">
        <v>11</v>
      </c>
    </row>
    <row r="2988" spans="2:13" x14ac:dyDescent="0.2">
      <c r="B2988" t="s">
        <v>12</v>
      </c>
      <c r="C2988" t="s">
        <v>13</v>
      </c>
      <c r="D2988" t="s">
        <v>14</v>
      </c>
      <c r="E2988" t="s">
        <v>15</v>
      </c>
      <c r="F2988" t="s">
        <v>16</v>
      </c>
      <c r="G2988" t="s">
        <v>17</v>
      </c>
      <c r="H2988" t="s">
        <v>18</v>
      </c>
      <c r="I2988" t="s">
        <v>19</v>
      </c>
      <c r="J2988" t="s">
        <v>20</v>
      </c>
      <c r="K2988" t="s">
        <v>21</v>
      </c>
      <c r="L2988" t="s">
        <v>22</v>
      </c>
      <c r="M2988" t="s">
        <v>23</v>
      </c>
    </row>
    <row r="2989" spans="2:13" x14ac:dyDescent="0.2">
      <c r="B2989" t="s">
        <v>32</v>
      </c>
      <c r="C2989">
        <v>72</v>
      </c>
      <c r="E2989" t="s">
        <v>25</v>
      </c>
      <c r="F2989">
        <v>807.19</v>
      </c>
      <c r="G2989">
        <v>13</v>
      </c>
      <c r="K2989">
        <v>0.1</v>
      </c>
      <c r="L2989">
        <v>7</v>
      </c>
      <c r="M2989">
        <v>108.2</v>
      </c>
    </row>
    <row r="2990" spans="2:13" x14ac:dyDescent="0.2">
      <c r="C2990" t="s">
        <v>27</v>
      </c>
    </row>
    <row r="2991" spans="2:13" x14ac:dyDescent="0.2">
      <c r="C2991" t="s">
        <v>28</v>
      </c>
      <c r="D2991" t="s">
        <v>16</v>
      </c>
      <c r="E2991" t="s">
        <v>29</v>
      </c>
      <c r="F2991" t="s">
        <v>18</v>
      </c>
    </row>
    <row r="2992" spans="2:13" x14ac:dyDescent="0.2">
      <c r="C2992" t="b">
        <v>0</v>
      </c>
      <c r="D2992">
        <v>1020.07</v>
      </c>
      <c r="E2992" t="s">
        <v>30</v>
      </c>
    </row>
    <row r="2993" spans="2:13" x14ac:dyDescent="0.2">
      <c r="C2993" t="b">
        <v>0</v>
      </c>
      <c r="D2993">
        <v>810.05</v>
      </c>
      <c r="E2993" t="s">
        <v>30</v>
      </c>
    </row>
    <row r="2994" spans="2:13" x14ac:dyDescent="0.2">
      <c r="C2994" t="b">
        <v>0</v>
      </c>
      <c r="D2994">
        <v>770.05</v>
      </c>
      <c r="E2994" t="s">
        <v>30</v>
      </c>
    </row>
    <row r="2995" spans="2:13" x14ac:dyDescent="0.2">
      <c r="C2995" t="b">
        <v>0</v>
      </c>
      <c r="D2995">
        <v>750.05</v>
      </c>
      <c r="E2995" t="s">
        <v>30</v>
      </c>
    </row>
    <row r="2996" spans="2:13" x14ac:dyDescent="0.2">
      <c r="C2996" t="b">
        <v>0</v>
      </c>
      <c r="D2996">
        <v>750.04</v>
      </c>
      <c r="E2996" t="s">
        <v>30</v>
      </c>
    </row>
    <row r="2997" spans="2:13" x14ac:dyDescent="0.2">
      <c r="C2997" t="b">
        <v>0</v>
      </c>
      <c r="D2997">
        <v>850.06</v>
      </c>
      <c r="E2997" t="s">
        <v>30</v>
      </c>
    </row>
    <row r="2998" spans="2:13" x14ac:dyDescent="0.2">
      <c r="C2998" t="b">
        <v>0</v>
      </c>
      <c r="D2998">
        <v>700.04</v>
      </c>
      <c r="E2998" t="s">
        <v>30</v>
      </c>
    </row>
    <row r="2999" spans="2:13" x14ac:dyDescent="0.2">
      <c r="B2999" t="s">
        <v>11</v>
      </c>
    </row>
    <row r="3000" spans="2:13" x14ac:dyDescent="0.2">
      <c r="B3000" t="s">
        <v>12</v>
      </c>
      <c r="C3000" t="s">
        <v>13</v>
      </c>
      <c r="D3000" t="s">
        <v>14</v>
      </c>
      <c r="E3000" t="s">
        <v>15</v>
      </c>
      <c r="F3000" t="s">
        <v>16</v>
      </c>
      <c r="G3000" t="s">
        <v>17</v>
      </c>
      <c r="H3000" t="s">
        <v>18</v>
      </c>
      <c r="I3000" t="s">
        <v>19</v>
      </c>
      <c r="J3000" t="s">
        <v>20</v>
      </c>
      <c r="K3000" t="s">
        <v>21</v>
      </c>
      <c r="L3000" t="s">
        <v>22</v>
      </c>
      <c r="M3000" t="s">
        <v>23</v>
      </c>
    </row>
    <row r="3001" spans="2:13" x14ac:dyDescent="0.2">
      <c r="B3001" t="s">
        <v>33</v>
      </c>
      <c r="C3001">
        <v>89</v>
      </c>
      <c r="E3001" t="s">
        <v>25</v>
      </c>
      <c r="F3001">
        <v>4276.54</v>
      </c>
      <c r="G3001">
        <v>2.8</v>
      </c>
      <c r="K3001">
        <v>0.1</v>
      </c>
      <c r="L3001">
        <v>7</v>
      </c>
      <c r="M3001">
        <v>108.4</v>
      </c>
    </row>
    <row r="3002" spans="2:13" x14ac:dyDescent="0.2">
      <c r="C3002" t="s">
        <v>27</v>
      </c>
    </row>
    <row r="3003" spans="2:13" x14ac:dyDescent="0.2">
      <c r="C3003" t="s">
        <v>28</v>
      </c>
      <c r="D3003" t="s">
        <v>16</v>
      </c>
      <c r="E3003" t="s">
        <v>29</v>
      </c>
      <c r="F3003" t="s">
        <v>18</v>
      </c>
    </row>
    <row r="3004" spans="2:13" x14ac:dyDescent="0.2">
      <c r="C3004" t="b">
        <v>0</v>
      </c>
      <c r="D3004">
        <v>4140.8</v>
      </c>
      <c r="E3004" t="s">
        <v>30</v>
      </c>
    </row>
    <row r="3005" spans="2:13" x14ac:dyDescent="0.2">
      <c r="C3005" t="b">
        <v>0</v>
      </c>
      <c r="D3005">
        <v>4100.72</v>
      </c>
      <c r="E3005" t="s">
        <v>30</v>
      </c>
    </row>
    <row r="3006" spans="2:13" x14ac:dyDescent="0.2">
      <c r="C3006" t="b">
        <v>0</v>
      </c>
      <c r="D3006">
        <v>4330.8500000000004</v>
      </c>
      <c r="E3006" t="s">
        <v>30</v>
      </c>
    </row>
    <row r="3007" spans="2:13" x14ac:dyDescent="0.2">
      <c r="C3007" t="b">
        <v>0</v>
      </c>
      <c r="D3007">
        <v>4400.8599999999997</v>
      </c>
      <c r="E3007" t="s">
        <v>30</v>
      </c>
    </row>
    <row r="3008" spans="2:13" x14ac:dyDescent="0.2">
      <c r="C3008" t="b">
        <v>0</v>
      </c>
      <c r="D3008">
        <v>4280.83</v>
      </c>
      <c r="E3008" t="s">
        <v>30</v>
      </c>
    </row>
    <row r="3009" spans="1:13" x14ac:dyDescent="0.2">
      <c r="C3009" t="b">
        <v>0</v>
      </c>
      <c r="D3009">
        <v>4260.83</v>
      </c>
      <c r="E3009" t="s">
        <v>30</v>
      </c>
    </row>
    <row r="3010" spans="1:13" x14ac:dyDescent="0.2">
      <c r="C3010" t="b">
        <v>0</v>
      </c>
      <c r="D3010">
        <v>4420.8599999999997</v>
      </c>
      <c r="E3010" t="s">
        <v>30</v>
      </c>
    </row>
    <row r="3011" spans="1:13" x14ac:dyDescent="0.2">
      <c r="A3011" t="s">
        <v>0</v>
      </c>
    </row>
    <row r="3012" spans="1:13" x14ac:dyDescent="0.2">
      <c r="B3012" t="s">
        <v>1</v>
      </c>
      <c r="C3012" t="s">
        <v>2</v>
      </c>
      <c r="D3012" t="s">
        <v>3</v>
      </c>
      <c r="E3012" t="s">
        <v>4</v>
      </c>
      <c r="F3012" t="s">
        <v>5</v>
      </c>
      <c r="G3012" t="s">
        <v>6</v>
      </c>
    </row>
    <row r="3013" spans="1:13" x14ac:dyDescent="0.2">
      <c r="B3013" t="b">
        <v>0</v>
      </c>
      <c r="C3013" t="s">
        <v>215</v>
      </c>
      <c r="D3013" t="s">
        <v>216</v>
      </c>
      <c r="E3013" t="s">
        <v>150</v>
      </c>
      <c r="G3013" t="s">
        <v>217</v>
      </c>
    </row>
    <row r="3014" spans="1:13" x14ac:dyDescent="0.2">
      <c r="B3014" t="s">
        <v>11</v>
      </c>
    </row>
    <row r="3015" spans="1:13" x14ac:dyDescent="0.2">
      <c r="B3015" t="s">
        <v>12</v>
      </c>
      <c r="C3015" t="s">
        <v>13</v>
      </c>
      <c r="D3015" t="s">
        <v>14</v>
      </c>
      <c r="E3015" t="s">
        <v>15</v>
      </c>
      <c r="F3015" t="s">
        <v>16</v>
      </c>
      <c r="G3015" t="s">
        <v>17</v>
      </c>
      <c r="H3015" t="s">
        <v>18</v>
      </c>
      <c r="I3015" t="s">
        <v>19</v>
      </c>
      <c r="J3015" t="s">
        <v>20</v>
      </c>
      <c r="K3015" t="s">
        <v>21</v>
      </c>
      <c r="L3015" t="s">
        <v>22</v>
      </c>
      <c r="M3015" t="s">
        <v>23</v>
      </c>
    </row>
    <row r="3016" spans="1:13" x14ac:dyDescent="0.2">
      <c r="B3016" t="s">
        <v>24</v>
      </c>
      <c r="C3016">
        <v>59</v>
      </c>
      <c r="E3016" t="s">
        <v>25</v>
      </c>
      <c r="F3016">
        <v>207367.06</v>
      </c>
      <c r="G3016">
        <v>1.5</v>
      </c>
      <c r="H3016">
        <v>9.1999999999999998E-2</v>
      </c>
      <c r="I3016" t="s">
        <v>26</v>
      </c>
      <c r="J3016">
        <v>1.5</v>
      </c>
      <c r="K3016">
        <v>0.1</v>
      </c>
      <c r="L3016">
        <v>7</v>
      </c>
    </row>
    <row r="3017" spans="1:13" x14ac:dyDescent="0.2">
      <c r="C3017" t="s">
        <v>27</v>
      </c>
    </row>
    <row r="3018" spans="1:13" x14ac:dyDescent="0.2">
      <c r="C3018" t="s">
        <v>28</v>
      </c>
      <c r="D3018" t="s">
        <v>16</v>
      </c>
      <c r="E3018" t="s">
        <v>29</v>
      </c>
      <c r="F3018" t="s">
        <v>18</v>
      </c>
    </row>
    <row r="3019" spans="1:13" x14ac:dyDescent="0.2">
      <c r="C3019" t="b">
        <v>0</v>
      </c>
      <c r="D3019">
        <v>205025.56</v>
      </c>
      <c r="E3019" t="s">
        <v>30</v>
      </c>
      <c r="F3019">
        <v>9.0999999999999998E-2</v>
      </c>
    </row>
    <row r="3020" spans="1:13" x14ac:dyDescent="0.2">
      <c r="C3020" t="b">
        <v>0</v>
      </c>
      <c r="D3020">
        <v>204721.81</v>
      </c>
      <c r="E3020" t="s">
        <v>30</v>
      </c>
      <c r="F3020">
        <v>9.0999999999999998E-2</v>
      </c>
    </row>
    <row r="3021" spans="1:13" x14ac:dyDescent="0.2">
      <c r="C3021" t="b">
        <v>0</v>
      </c>
      <c r="D3021">
        <v>204808.2</v>
      </c>
      <c r="E3021" t="s">
        <v>30</v>
      </c>
      <c r="F3021">
        <v>9.0999999999999998E-2</v>
      </c>
    </row>
    <row r="3022" spans="1:13" x14ac:dyDescent="0.2">
      <c r="C3022" t="b">
        <v>0</v>
      </c>
      <c r="D3022">
        <v>205196.99</v>
      </c>
      <c r="E3022" t="s">
        <v>30</v>
      </c>
      <c r="F3022">
        <v>9.0999999999999998E-2</v>
      </c>
    </row>
    <row r="3023" spans="1:13" x14ac:dyDescent="0.2">
      <c r="C3023" t="b">
        <v>0</v>
      </c>
      <c r="D3023">
        <v>212184.41</v>
      </c>
      <c r="E3023" t="s">
        <v>30</v>
      </c>
      <c r="F3023">
        <v>9.4E-2</v>
      </c>
    </row>
    <row r="3024" spans="1:13" x14ac:dyDescent="0.2">
      <c r="C3024" t="b">
        <v>0</v>
      </c>
      <c r="D3024">
        <v>209934.53</v>
      </c>
      <c r="E3024" t="s">
        <v>30</v>
      </c>
      <c r="F3024">
        <v>9.2999999999999999E-2</v>
      </c>
    </row>
    <row r="3025" spans="2:13" x14ac:dyDescent="0.2">
      <c r="C3025" t="b">
        <v>0</v>
      </c>
      <c r="D3025">
        <v>209697.89</v>
      </c>
      <c r="E3025" t="s">
        <v>30</v>
      </c>
      <c r="F3025">
        <v>9.2999999999999999E-2</v>
      </c>
    </row>
    <row r="3026" spans="2:13" x14ac:dyDescent="0.2">
      <c r="B3026" t="s">
        <v>11</v>
      </c>
    </row>
    <row r="3027" spans="2:13" x14ac:dyDescent="0.2">
      <c r="B3027" t="s">
        <v>12</v>
      </c>
      <c r="C3027" t="s">
        <v>13</v>
      </c>
      <c r="D3027" t="s">
        <v>14</v>
      </c>
      <c r="E3027" t="s">
        <v>15</v>
      </c>
      <c r="F3027" t="s">
        <v>16</v>
      </c>
      <c r="G3027" t="s">
        <v>17</v>
      </c>
      <c r="H3027" t="s">
        <v>18</v>
      </c>
      <c r="I3027" t="s">
        <v>19</v>
      </c>
      <c r="J3027" t="s">
        <v>20</v>
      </c>
      <c r="K3027" t="s">
        <v>21</v>
      </c>
      <c r="L3027" t="s">
        <v>22</v>
      </c>
      <c r="M3027" t="s">
        <v>23</v>
      </c>
    </row>
    <row r="3028" spans="2:13" x14ac:dyDescent="0.2">
      <c r="B3028" t="s">
        <v>31</v>
      </c>
      <c r="C3028">
        <v>45</v>
      </c>
      <c r="E3028" t="s">
        <v>25</v>
      </c>
      <c r="F3028">
        <v>867.2</v>
      </c>
      <c r="G3028">
        <v>11.3</v>
      </c>
      <c r="K3028">
        <v>0.1</v>
      </c>
      <c r="L3028">
        <v>7</v>
      </c>
      <c r="M3028">
        <v>84</v>
      </c>
    </row>
    <row r="3029" spans="2:13" x14ac:dyDescent="0.2">
      <c r="C3029" t="s">
        <v>27</v>
      </c>
    </row>
    <row r="3030" spans="2:13" x14ac:dyDescent="0.2">
      <c r="C3030" t="s">
        <v>28</v>
      </c>
      <c r="D3030" t="s">
        <v>16</v>
      </c>
      <c r="E3030" t="s">
        <v>29</v>
      </c>
      <c r="F3030" t="s">
        <v>18</v>
      </c>
    </row>
    <row r="3031" spans="2:13" x14ac:dyDescent="0.2">
      <c r="C3031" t="b">
        <v>0</v>
      </c>
      <c r="D3031">
        <v>930.07</v>
      </c>
      <c r="E3031" t="s">
        <v>30</v>
      </c>
    </row>
    <row r="3032" spans="2:13" x14ac:dyDescent="0.2">
      <c r="C3032" t="b">
        <v>0</v>
      </c>
      <c r="D3032">
        <v>880.06</v>
      </c>
      <c r="E3032" t="s">
        <v>30</v>
      </c>
    </row>
    <row r="3033" spans="2:13" x14ac:dyDescent="0.2">
      <c r="C3033" t="b">
        <v>0</v>
      </c>
      <c r="D3033">
        <v>920.07</v>
      </c>
      <c r="E3033" t="s">
        <v>30</v>
      </c>
    </row>
    <row r="3034" spans="2:13" x14ac:dyDescent="0.2">
      <c r="C3034" t="b">
        <v>0</v>
      </c>
      <c r="D3034">
        <v>1000.06</v>
      </c>
      <c r="E3034" t="s">
        <v>30</v>
      </c>
    </row>
    <row r="3035" spans="2:13" x14ac:dyDescent="0.2">
      <c r="C3035" t="b">
        <v>0</v>
      </c>
      <c r="D3035">
        <v>830.06</v>
      </c>
      <c r="E3035" t="s">
        <v>30</v>
      </c>
    </row>
    <row r="3036" spans="2:13" x14ac:dyDescent="0.2">
      <c r="C3036" t="b">
        <v>0</v>
      </c>
      <c r="D3036">
        <v>700.04</v>
      </c>
      <c r="E3036" t="s">
        <v>30</v>
      </c>
    </row>
    <row r="3037" spans="2:13" x14ac:dyDescent="0.2">
      <c r="C3037" t="b">
        <v>0</v>
      </c>
      <c r="D3037">
        <v>810.05</v>
      </c>
      <c r="E3037" t="s">
        <v>30</v>
      </c>
    </row>
    <row r="3038" spans="2:13" x14ac:dyDescent="0.2">
      <c r="B3038" t="s">
        <v>11</v>
      </c>
    </row>
    <row r="3039" spans="2:13" x14ac:dyDescent="0.2">
      <c r="B3039" t="s">
        <v>12</v>
      </c>
      <c r="C3039" t="s">
        <v>13</v>
      </c>
      <c r="D3039" t="s">
        <v>14</v>
      </c>
      <c r="E3039" t="s">
        <v>15</v>
      </c>
      <c r="F3039" t="s">
        <v>16</v>
      </c>
      <c r="G3039" t="s">
        <v>17</v>
      </c>
      <c r="H3039" t="s">
        <v>18</v>
      </c>
      <c r="I3039" t="s">
        <v>19</v>
      </c>
      <c r="J3039" t="s">
        <v>20</v>
      </c>
      <c r="K3039" t="s">
        <v>21</v>
      </c>
      <c r="L3039" t="s">
        <v>22</v>
      </c>
      <c r="M3039" t="s">
        <v>23</v>
      </c>
    </row>
    <row r="3040" spans="2:13" x14ac:dyDescent="0.2">
      <c r="B3040" t="s">
        <v>32</v>
      </c>
      <c r="C3040">
        <v>72</v>
      </c>
      <c r="E3040" t="s">
        <v>25</v>
      </c>
      <c r="F3040">
        <v>727.19</v>
      </c>
      <c r="G3040">
        <v>15.3</v>
      </c>
      <c r="K3040">
        <v>0.1</v>
      </c>
      <c r="L3040">
        <v>7</v>
      </c>
      <c r="M3040">
        <v>97.5</v>
      </c>
    </row>
    <row r="3041" spans="2:13" x14ac:dyDescent="0.2">
      <c r="C3041" t="s">
        <v>27</v>
      </c>
    </row>
    <row r="3042" spans="2:13" x14ac:dyDescent="0.2">
      <c r="C3042" t="s">
        <v>28</v>
      </c>
      <c r="D3042" t="s">
        <v>16</v>
      </c>
      <c r="E3042" t="s">
        <v>29</v>
      </c>
      <c r="F3042" t="s">
        <v>18</v>
      </c>
    </row>
    <row r="3043" spans="2:13" x14ac:dyDescent="0.2">
      <c r="C3043" t="b">
        <v>0</v>
      </c>
      <c r="D3043">
        <v>600.04</v>
      </c>
      <c r="E3043" t="s">
        <v>30</v>
      </c>
    </row>
    <row r="3044" spans="2:13" x14ac:dyDescent="0.2">
      <c r="C3044" t="b">
        <v>0</v>
      </c>
      <c r="D3044">
        <v>760.06</v>
      </c>
      <c r="E3044" t="s">
        <v>30</v>
      </c>
    </row>
    <row r="3045" spans="2:13" x14ac:dyDescent="0.2">
      <c r="C3045" t="b">
        <v>0</v>
      </c>
      <c r="D3045">
        <v>550.03</v>
      </c>
      <c r="E3045" t="s">
        <v>30</v>
      </c>
    </row>
    <row r="3046" spans="2:13" x14ac:dyDescent="0.2">
      <c r="C3046" t="b">
        <v>0</v>
      </c>
      <c r="D3046">
        <v>730.04</v>
      </c>
      <c r="E3046" t="s">
        <v>30</v>
      </c>
    </row>
    <row r="3047" spans="2:13" x14ac:dyDescent="0.2">
      <c r="C3047" t="b">
        <v>0</v>
      </c>
      <c r="D3047">
        <v>790.05</v>
      </c>
      <c r="E3047" t="s">
        <v>30</v>
      </c>
    </row>
    <row r="3048" spans="2:13" x14ac:dyDescent="0.2">
      <c r="C3048" t="b">
        <v>0</v>
      </c>
      <c r="D3048">
        <v>850.05</v>
      </c>
      <c r="E3048" t="s">
        <v>30</v>
      </c>
    </row>
    <row r="3049" spans="2:13" x14ac:dyDescent="0.2">
      <c r="C3049" t="b">
        <v>0</v>
      </c>
      <c r="D3049">
        <v>810.06</v>
      </c>
      <c r="E3049" t="s">
        <v>30</v>
      </c>
    </row>
    <row r="3050" spans="2:13" x14ac:dyDescent="0.2">
      <c r="B3050" t="s">
        <v>11</v>
      </c>
    </row>
    <row r="3051" spans="2:13" x14ac:dyDescent="0.2">
      <c r="B3051" t="s">
        <v>12</v>
      </c>
      <c r="C3051" t="s">
        <v>13</v>
      </c>
      <c r="D3051" t="s">
        <v>14</v>
      </c>
      <c r="E3051" t="s">
        <v>15</v>
      </c>
      <c r="F3051" t="s">
        <v>16</v>
      </c>
      <c r="G3051" t="s">
        <v>17</v>
      </c>
      <c r="H3051" t="s">
        <v>18</v>
      </c>
      <c r="I3051" t="s">
        <v>19</v>
      </c>
      <c r="J3051" t="s">
        <v>20</v>
      </c>
      <c r="K3051" t="s">
        <v>21</v>
      </c>
      <c r="L3051" t="s">
        <v>22</v>
      </c>
      <c r="M3051" t="s">
        <v>23</v>
      </c>
    </row>
    <row r="3052" spans="2:13" x14ac:dyDescent="0.2">
      <c r="B3052" t="s">
        <v>33</v>
      </c>
      <c r="C3052">
        <v>89</v>
      </c>
      <c r="E3052" t="s">
        <v>25</v>
      </c>
      <c r="F3052">
        <v>3837.8</v>
      </c>
      <c r="G3052">
        <v>9.6</v>
      </c>
      <c r="K3052">
        <v>0.1</v>
      </c>
      <c r="L3052">
        <v>7</v>
      </c>
      <c r="M3052">
        <v>97.3</v>
      </c>
    </row>
    <row r="3053" spans="2:13" x14ac:dyDescent="0.2">
      <c r="C3053" t="s">
        <v>27</v>
      </c>
    </row>
    <row r="3054" spans="2:13" x14ac:dyDescent="0.2">
      <c r="C3054" t="s">
        <v>28</v>
      </c>
      <c r="D3054" t="s">
        <v>16</v>
      </c>
      <c r="E3054" t="s">
        <v>29</v>
      </c>
      <c r="F3054" t="s">
        <v>18</v>
      </c>
    </row>
    <row r="3055" spans="2:13" x14ac:dyDescent="0.2">
      <c r="C3055" t="b">
        <v>0</v>
      </c>
      <c r="D3055">
        <v>3860.67</v>
      </c>
      <c r="E3055" t="s">
        <v>30</v>
      </c>
    </row>
    <row r="3056" spans="2:13" x14ac:dyDescent="0.2">
      <c r="C3056" t="b">
        <v>0</v>
      </c>
      <c r="D3056">
        <v>3530.56</v>
      </c>
      <c r="E3056" t="s">
        <v>30</v>
      </c>
    </row>
    <row r="3057" spans="1:13" x14ac:dyDescent="0.2">
      <c r="C3057" t="b">
        <v>0</v>
      </c>
      <c r="D3057">
        <v>3980.71</v>
      </c>
      <c r="E3057" t="s">
        <v>30</v>
      </c>
    </row>
    <row r="3058" spans="1:13" x14ac:dyDescent="0.2">
      <c r="C3058" t="b">
        <v>0</v>
      </c>
      <c r="D3058">
        <v>3170.44</v>
      </c>
      <c r="E3058" t="s">
        <v>30</v>
      </c>
    </row>
    <row r="3059" spans="1:13" x14ac:dyDescent="0.2">
      <c r="C3059" t="b">
        <v>0</v>
      </c>
      <c r="D3059">
        <v>3990.72</v>
      </c>
      <c r="E3059" t="s">
        <v>30</v>
      </c>
    </row>
    <row r="3060" spans="1:13" x14ac:dyDescent="0.2">
      <c r="C3060" t="b">
        <v>0</v>
      </c>
      <c r="D3060">
        <v>4100.7</v>
      </c>
      <c r="E3060" t="s">
        <v>30</v>
      </c>
    </row>
    <row r="3061" spans="1:13" x14ac:dyDescent="0.2">
      <c r="C3061" t="b">
        <v>0</v>
      </c>
      <c r="D3061">
        <v>4230.78</v>
      </c>
      <c r="E3061" t="s">
        <v>30</v>
      </c>
    </row>
    <row r="3062" spans="1:13" x14ac:dyDescent="0.2">
      <c r="A3062" t="s">
        <v>0</v>
      </c>
    </row>
    <row r="3063" spans="1:13" x14ac:dyDescent="0.2">
      <c r="B3063" t="s">
        <v>1</v>
      </c>
      <c r="C3063" t="s">
        <v>2</v>
      </c>
      <c r="D3063" t="s">
        <v>3</v>
      </c>
      <c r="E3063" t="s">
        <v>4</v>
      </c>
      <c r="F3063" t="s">
        <v>5</v>
      </c>
      <c r="G3063" t="s">
        <v>6</v>
      </c>
    </row>
    <row r="3064" spans="1:13" x14ac:dyDescent="0.2">
      <c r="B3064" t="b">
        <v>0</v>
      </c>
      <c r="C3064" t="s">
        <v>218</v>
      </c>
      <c r="D3064" t="s">
        <v>219</v>
      </c>
      <c r="E3064" t="s">
        <v>9</v>
      </c>
      <c r="G3064" t="s">
        <v>212</v>
      </c>
    </row>
    <row r="3065" spans="1:13" x14ac:dyDescent="0.2">
      <c r="B3065" t="s">
        <v>11</v>
      </c>
    </row>
    <row r="3066" spans="1:13" x14ac:dyDescent="0.2">
      <c r="B3066" t="s">
        <v>12</v>
      </c>
      <c r="C3066" t="s">
        <v>13</v>
      </c>
      <c r="D3066" t="s">
        <v>14</v>
      </c>
      <c r="E3066" t="s">
        <v>15</v>
      </c>
      <c r="F3066" t="s">
        <v>16</v>
      </c>
      <c r="G3066" t="s">
        <v>17</v>
      </c>
      <c r="H3066" t="s">
        <v>18</v>
      </c>
      <c r="I3066" t="s">
        <v>19</v>
      </c>
      <c r="J3066" t="s">
        <v>20</v>
      </c>
      <c r="K3066" t="s">
        <v>21</v>
      </c>
      <c r="L3066" t="s">
        <v>22</v>
      </c>
      <c r="M3066" t="s">
        <v>23</v>
      </c>
    </row>
    <row r="3067" spans="1:13" x14ac:dyDescent="0.2">
      <c r="B3067" t="s">
        <v>24</v>
      </c>
      <c r="C3067">
        <v>59</v>
      </c>
      <c r="E3067" t="s">
        <v>25</v>
      </c>
      <c r="F3067">
        <v>158.58000000000001</v>
      </c>
      <c r="G3067">
        <v>29.5</v>
      </c>
      <c r="H3067">
        <v>0</v>
      </c>
      <c r="I3067" t="s">
        <v>26</v>
      </c>
      <c r="J3067">
        <v>45.4</v>
      </c>
      <c r="K3067">
        <v>0.1</v>
      </c>
      <c r="L3067">
        <v>7</v>
      </c>
    </row>
    <row r="3068" spans="1:13" x14ac:dyDescent="0.2">
      <c r="C3068" t="s">
        <v>27</v>
      </c>
    </row>
    <row r="3069" spans="1:13" x14ac:dyDescent="0.2">
      <c r="C3069" t="s">
        <v>28</v>
      </c>
      <c r="D3069" t="s">
        <v>16</v>
      </c>
      <c r="E3069" t="s">
        <v>29</v>
      </c>
      <c r="F3069" t="s">
        <v>18</v>
      </c>
    </row>
    <row r="3070" spans="1:13" x14ac:dyDescent="0.2">
      <c r="C3070" t="b">
        <v>0</v>
      </c>
      <c r="D3070">
        <v>180.01</v>
      </c>
      <c r="E3070" t="s">
        <v>30</v>
      </c>
      <c r="F3070">
        <v>0</v>
      </c>
    </row>
    <row r="3071" spans="1:13" x14ac:dyDescent="0.2">
      <c r="C3071" t="b">
        <v>0</v>
      </c>
      <c r="D3071">
        <v>140.01</v>
      </c>
      <c r="E3071" t="s">
        <v>30</v>
      </c>
      <c r="F3071">
        <v>0</v>
      </c>
    </row>
    <row r="3072" spans="1:13" x14ac:dyDescent="0.2">
      <c r="C3072" t="b">
        <v>0</v>
      </c>
      <c r="D3072">
        <v>120</v>
      </c>
      <c r="E3072" t="s">
        <v>30</v>
      </c>
      <c r="F3072">
        <v>0</v>
      </c>
    </row>
    <row r="3073" spans="2:13" x14ac:dyDescent="0.2">
      <c r="C3073" t="b">
        <v>0</v>
      </c>
      <c r="D3073">
        <v>190.01</v>
      </c>
      <c r="E3073" t="s">
        <v>30</v>
      </c>
      <c r="F3073">
        <v>0</v>
      </c>
    </row>
    <row r="3074" spans="2:13" x14ac:dyDescent="0.2">
      <c r="C3074" t="b">
        <v>0</v>
      </c>
      <c r="D3074">
        <v>240.01</v>
      </c>
      <c r="E3074" t="s">
        <v>30</v>
      </c>
      <c r="F3074">
        <v>0</v>
      </c>
    </row>
    <row r="3075" spans="2:13" x14ac:dyDescent="0.2">
      <c r="C3075" t="b">
        <v>0</v>
      </c>
      <c r="D3075">
        <v>110</v>
      </c>
      <c r="E3075" t="s">
        <v>30</v>
      </c>
      <c r="F3075">
        <v>0</v>
      </c>
    </row>
    <row r="3076" spans="2:13" x14ac:dyDescent="0.2">
      <c r="C3076" t="b">
        <v>0</v>
      </c>
      <c r="D3076">
        <v>130</v>
      </c>
      <c r="E3076" t="s">
        <v>30</v>
      </c>
      <c r="F3076">
        <v>0</v>
      </c>
    </row>
    <row r="3077" spans="2:13" x14ac:dyDescent="0.2">
      <c r="B3077" t="s">
        <v>11</v>
      </c>
    </row>
    <row r="3078" spans="2:13" x14ac:dyDescent="0.2">
      <c r="B3078" t="s">
        <v>12</v>
      </c>
      <c r="C3078" t="s">
        <v>13</v>
      </c>
      <c r="D3078" t="s">
        <v>14</v>
      </c>
      <c r="E3078" t="s">
        <v>15</v>
      </c>
      <c r="F3078" t="s">
        <v>16</v>
      </c>
      <c r="G3078" t="s">
        <v>17</v>
      </c>
      <c r="H3078" t="s">
        <v>18</v>
      </c>
      <c r="I3078" t="s">
        <v>19</v>
      </c>
      <c r="J3078" t="s">
        <v>20</v>
      </c>
      <c r="K3078" t="s">
        <v>21</v>
      </c>
      <c r="L3078" t="s">
        <v>22</v>
      </c>
      <c r="M3078" t="s">
        <v>23</v>
      </c>
    </row>
    <row r="3079" spans="2:13" x14ac:dyDescent="0.2">
      <c r="B3079" t="s">
        <v>31</v>
      </c>
      <c r="C3079">
        <v>45</v>
      </c>
      <c r="E3079" t="s">
        <v>25</v>
      </c>
      <c r="F3079">
        <v>882.92</v>
      </c>
      <c r="G3079">
        <v>14.3</v>
      </c>
      <c r="K3079">
        <v>0.1</v>
      </c>
      <c r="L3079">
        <v>7</v>
      </c>
      <c r="M3079">
        <v>85.5</v>
      </c>
    </row>
    <row r="3080" spans="2:13" x14ac:dyDescent="0.2">
      <c r="C3080" t="s">
        <v>27</v>
      </c>
    </row>
    <row r="3081" spans="2:13" x14ac:dyDescent="0.2">
      <c r="C3081" t="s">
        <v>28</v>
      </c>
      <c r="D3081" t="s">
        <v>16</v>
      </c>
      <c r="E3081" t="s">
        <v>29</v>
      </c>
      <c r="F3081" t="s">
        <v>18</v>
      </c>
    </row>
    <row r="3082" spans="2:13" x14ac:dyDescent="0.2">
      <c r="C3082" t="b">
        <v>0</v>
      </c>
      <c r="D3082">
        <v>880.06</v>
      </c>
      <c r="E3082" t="s">
        <v>30</v>
      </c>
    </row>
    <row r="3083" spans="2:13" x14ac:dyDescent="0.2">
      <c r="C3083" t="b">
        <v>0</v>
      </c>
      <c r="D3083">
        <v>870.06</v>
      </c>
      <c r="E3083" t="s">
        <v>30</v>
      </c>
    </row>
    <row r="3084" spans="2:13" x14ac:dyDescent="0.2">
      <c r="C3084" t="b">
        <v>0</v>
      </c>
      <c r="D3084">
        <v>640.04</v>
      </c>
      <c r="E3084" t="s">
        <v>30</v>
      </c>
    </row>
    <row r="3085" spans="2:13" x14ac:dyDescent="0.2">
      <c r="C3085" t="b">
        <v>0</v>
      </c>
      <c r="D3085">
        <v>840.05</v>
      </c>
      <c r="E3085" t="s">
        <v>30</v>
      </c>
    </row>
    <row r="3086" spans="2:13" x14ac:dyDescent="0.2">
      <c r="C3086" t="b">
        <v>0</v>
      </c>
      <c r="D3086">
        <v>1030.08</v>
      </c>
      <c r="E3086" t="s">
        <v>30</v>
      </c>
    </row>
    <row r="3087" spans="2:13" x14ac:dyDescent="0.2">
      <c r="C3087" t="b">
        <v>0</v>
      </c>
      <c r="D3087">
        <v>940.06</v>
      </c>
      <c r="E3087" t="s">
        <v>30</v>
      </c>
    </row>
    <row r="3088" spans="2:13" x14ac:dyDescent="0.2">
      <c r="C3088" t="b">
        <v>0</v>
      </c>
      <c r="D3088">
        <v>980.07</v>
      </c>
      <c r="E3088" t="s">
        <v>30</v>
      </c>
    </row>
    <row r="3089" spans="2:13" x14ac:dyDescent="0.2">
      <c r="B3089" t="s">
        <v>11</v>
      </c>
    </row>
    <row r="3090" spans="2:13" x14ac:dyDescent="0.2">
      <c r="B3090" t="s">
        <v>12</v>
      </c>
      <c r="C3090" t="s">
        <v>13</v>
      </c>
      <c r="D3090" t="s">
        <v>14</v>
      </c>
      <c r="E3090" t="s">
        <v>15</v>
      </c>
      <c r="F3090" t="s">
        <v>16</v>
      </c>
      <c r="G3090" t="s">
        <v>17</v>
      </c>
      <c r="H3090" t="s">
        <v>18</v>
      </c>
      <c r="I3090" t="s">
        <v>19</v>
      </c>
      <c r="J3090" t="s">
        <v>20</v>
      </c>
      <c r="K3090" t="s">
        <v>21</v>
      </c>
      <c r="L3090" t="s">
        <v>22</v>
      </c>
      <c r="M3090" t="s">
        <v>23</v>
      </c>
    </row>
    <row r="3091" spans="2:13" x14ac:dyDescent="0.2">
      <c r="B3091" t="s">
        <v>32</v>
      </c>
      <c r="C3091">
        <v>72</v>
      </c>
      <c r="E3091" t="s">
        <v>25</v>
      </c>
      <c r="F3091">
        <v>755.76</v>
      </c>
      <c r="G3091">
        <v>19.399999999999999</v>
      </c>
      <c r="K3091">
        <v>0.1</v>
      </c>
      <c r="L3091">
        <v>7</v>
      </c>
      <c r="M3091">
        <v>101.3</v>
      </c>
    </row>
    <row r="3092" spans="2:13" x14ac:dyDescent="0.2">
      <c r="C3092" t="s">
        <v>27</v>
      </c>
    </row>
    <row r="3093" spans="2:13" x14ac:dyDescent="0.2">
      <c r="C3093" t="s">
        <v>28</v>
      </c>
      <c r="D3093" t="s">
        <v>16</v>
      </c>
      <c r="E3093" t="s">
        <v>29</v>
      </c>
      <c r="F3093" t="s">
        <v>18</v>
      </c>
    </row>
    <row r="3094" spans="2:13" x14ac:dyDescent="0.2">
      <c r="C3094" t="b">
        <v>0</v>
      </c>
      <c r="D3094">
        <v>570.04</v>
      </c>
      <c r="E3094" t="s">
        <v>30</v>
      </c>
    </row>
    <row r="3095" spans="2:13" x14ac:dyDescent="0.2">
      <c r="C3095" t="b">
        <v>0</v>
      </c>
      <c r="D3095">
        <v>770.06</v>
      </c>
      <c r="E3095" t="s">
        <v>30</v>
      </c>
    </row>
    <row r="3096" spans="2:13" x14ac:dyDescent="0.2">
      <c r="C3096" t="b">
        <v>0</v>
      </c>
      <c r="D3096">
        <v>760.05</v>
      </c>
      <c r="E3096" t="s">
        <v>30</v>
      </c>
    </row>
    <row r="3097" spans="2:13" x14ac:dyDescent="0.2">
      <c r="C3097" t="b">
        <v>0</v>
      </c>
      <c r="D3097">
        <v>700.04</v>
      </c>
      <c r="E3097" t="s">
        <v>30</v>
      </c>
    </row>
    <row r="3098" spans="2:13" x14ac:dyDescent="0.2">
      <c r="C3098" t="b">
        <v>0</v>
      </c>
      <c r="D3098">
        <v>970.07</v>
      </c>
      <c r="E3098" t="s">
        <v>30</v>
      </c>
    </row>
    <row r="3099" spans="2:13" x14ac:dyDescent="0.2">
      <c r="C3099" t="b">
        <v>0</v>
      </c>
      <c r="D3099">
        <v>610.03</v>
      </c>
      <c r="E3099" t="s">
        <v>30</v>
      </c>
    </row>
    <row r="3100" spans="2:13" x14ac:dyDescent="0.2">
      <c r="C3100" t="b">
        <v>0</v>
      </c>
      <c r="D3100">
        <v>910.06</v>
      </c>
      <c r="E3100" t="s">
        <v>30</v>
      </c>
    </row>
    <row r="3101" spans="2:13" x14ac:dyDescent="0.2">
      <c r="B3101" t="s">
        <v>11</v>
      </c>
    </row>
    <row r="3102" spans="2:13" x14ac:dyDescent="0.2">
      <c r="B3102" t="s">
        <v>12</v>
      </c>
      <c r="C3102" t="s">
        <v>13</v>
      </c>
      <c r="D3102" t="s">
        <v>14</v>
      </c>
      <c r="E3102" t="s">
        <v>15</v>
      </c>
      <c r="F3102" t="s">
        <v>16</v>
      </c>
      <c r="G3102" t="s">
        <v>17</v>
      </c>
      <c r="H3102" t="s">
        <v>18</v>
      </c>
      <c r="I3102" t="s">
        <v>19</v>
      </c>
      <c r="J3102" t="s">
        <v>20</v>
      </c>
      <c r="K3102" t="s">
        <v>21</v>
      </c>
      <c r="L3102" t="s">
        <v>22</v>
      </c>
      <c r="M3102" t="s">
        <v>23</v>
      </c>
    </row>
    <row r="3103" spans="2:13" x14ac:dyDescent="0.2">
      <c r="B3103" t="s">
        <v>33</v>
      </c>
      <c r="C3103">
        <v>89</v>
      </c>
      <c r="E3103" t="s">
        <v>25</v>
      </c>
      <c r="F3103">
        <v>4077.89</v>
      </c>
      <c r="G3103">
        <v>7.7</v>
      </c>
      <c r="K3103">
        <v>0.1</v>
      </c>
      <c r="L3103">
        <v>7</v>
      </c>
      <c r="M3103">
        <v>103.4</v>
      </c>
    </row>
    <row r="3104" spans="2:13" x14ac:dyDescent="0.2">
      <c r="C3104" t="s">
        <v>27</v>
      </c>
    </row>
    <row r="3105" spans="1:13" x14ac:dyDescent="0.2">
      <c r="C3105" t="s">
        <v>28</v>
      </c>
      <c r="D3105" t="s">
        <v>16</v>
      </c>
      <c r="E3105" t="s">
        <v>29</v>
      </c>
      <c r="F3105" t="s">
        <v>18</v>
      </c>
    </row>
    <row r="3106" spans="1:13" x14ac:dyDescent="0.2">
      <c r="C3106" t="b">
        <v>0</v>
      </c>
      <c r="D3106">
        <v>3540.58</v>
      </c>
      <c r="E3106" t="s">
        <v>30</v>
      </c>
    </row>
    <row r="3107" spans="1:13" x14ac:dyDescent="0.2">
      <c r="C3107" t="b">
        <v>0</v>
      </c>
      <c r="D3107">
        <v>4000.71</v>
      </c>
      <c r="E3107" t="s">
        <v>30</v>
      </c>
    </row>
    <row r="3108" spans="1:13" x14ac:dyDescent="0.2">
      <c r="C3108" t="b">
        <v>0</v>
      </c>
      <c r="D3108">
        <v>4150.74</v>
      </c>
      <c r="E3108" t="s">
        <v>30</v>
      </c>
    </row>
    <row r="3109" spans="1:13" x14ac:dyDescent="0.2">
      <c r="C3109" t="b">
        <v>0</v>
      </c>
      <c r="D3109">
        <v>4300.82</v>
      </c>
      <c r="E3109" t="s">
        <v>30</v>
      </c>
    </row>
    <row r="3110" spans="1:13" x14ac:dyDescent="0.2">
      <c r="C3110" t="b">
        <v>0</v>
      </c>
      <c r="D3110">
        <v>3860.69</v>
      </c>
      <c r="E3110" t="s">
        <v>30</v>
      </c>
    </row>
    <row r="3111" spans="1:13" x14ac:dyDescent="0.2">
      <c r="C3111" t="b">
        <v>0</v>
      </c>
      <c r="D3111">
        <v>4190.8500000000004</v>
      </c>
      <c r="E3111" t="s">
        <v>30</v>
      </c>
    </row>
    <row r="3112" spans="1:13" x14ac:dyDescent="0.2">
      <c r="C3112" t="b">
        <v>0</v>
      </c>
      <c r="D3112">
        <v>4500.8599999999997</v>
      </c>
      <c r="E3112" t="s">
        <v>30</v>
      </c>
    </row>
    <row r="3113" spans="1:13" x14ac:dyDescent="0.2">
      <c r="A3113" t="s">
        <v>0</v>
      </c>
    </row>
    <row r="3114" spans="1:13" x14ac:dyDescent="0.2"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t="s">
        <v>6</v>
      </c>
    </row>
    <row r="3115" spans="1:13" x14ac:dyDescent="0.2">
      <c r="B3115" t="b">
        <v>0</v>
      </c>
      <c r="C3115" t="s">
        <v>220</v>
      </c>
      <c r="D3115" t="s">
        <v>221</v>
      </c>
      <c r="E3115" t="s">
        <v>9</v>
      </c>
      <c r="G3115" t="s">
        <v>212</v>
      </c>
    </row>
    <row r="3116" spans="1:13" x14ac:dyDescent="0.2">
      <c r="B3116" t="s">
        <v>11</v>
      </c>
    </row>
    <row r="3117" spans="1:13" x14ac:dyDescent="0.2">
      <c r="B3117" t="s">
        <v>12</v>
      </c>
      <c r="C3117" t="s">
        <v>13</v>
      </c>
      <c r="D3117" t="s">
        <v>14</v>
      </c>
      <c r="E3117" t="s">
        <v>15</v>
      </c>
      <c r="F3117" t="s">
        <v>16</v>
      </c>
      <c r="G3117" t="s">
        <v>17</v>
      </c>
      <c r="H3117" t="s">
        <v>18</v>
      </c>
      <c r="I3117" t="s">
        <v>19</v>
      </c>
      <c r="J3117" t="s">
        <v>20</v>
      </c>
      <c r="K3117" t="s">
        <v>21</v>
      </c>
      <c r="L3117" t="s">
        <v>22</v>
      </c>
      <c r="M3117" t="s">
        <v>23</v>
      </c>
    </row>
    <row r="3118" spans="1:13" x14ac:dyDescent="0.2">
      <c r="B3118" t="s">
        <v>24</v>
      </c>
      <c r="C3118">
        <v>59</v>
      </c>
      <c r="E3118" t="s">
        <v>25</v>
      </c>
      <c r="F3118">
        <v>172.87</v>
      </c>
      <c r="G3118">
        <v>14.8</v>
      </c>
      <c r="H3118">
        <v>0</v>
      </c>
      <c r="I3118" t="s">
        <v>26</v>
      </c>
      <c r="J3118">
        <v>21.9</v>
      </c>
      <c r="K3118">
        <v>0.1</v>
      </c>
      <c r="L3118">
        <v>7</v>
      </c>
    </row>
    <row r="3119" spans="1:13" x14ac:dyDescent="0.2">
      <c r="C3119" t="s">
        <v>27</v>
      </c>
    </row>
    <row r="3120" spans="1:13" x14ac:dyDescent="0.2">
      <c r="C3120" t="s">
        <v>28</v>
      </c>
      <c r="D3120" t="s">
        <v>16</v>
      </c>
      <c r="E3120" t="s">
        <v>29</v>
      </c>
      <c r="F3120" t="s">
        <v>18</v>
      </c>
    </row>
    <row r="3121" spans="2:13" x14ac:dyDescent="0.2">
      <c r="C3121" t="b">
        <v>0</v>
      </c>
      <c r="D3121">
        <v>180.01</v>
      </c>
      <c r="E3121" t="s">
        <v>30</v>
      </c>
      <c r="F3121">
        <v>0</v>
      </c>
    </row>
    <row r="3122" spans="2:13" x14ac:dyDescent="0.2">
      <c r="C3122" t="b">
        <v>0</v>
      </c>
      <c r="D3122">
        <v>130.01</v>
      </c>
      <c r="E3122" t="s">
        <v>30</v>
      </c>
      <c r="F3122">
        <v>0</v>
      </c>
    </row>
    <row r="3123" spans="2:13" x14ac:dyDescent="0.2">
      <c r="C3123" t="b">
        <v>0</v>
      </c>
      <c r="D3123">
        <v>150.01</v>
      </c>
      <c r="E3123" t="s">
        <v>30</v>
      </c>
      <c r="F3123">
        <v>0</v>
      </c>
    </row>
    <row r="3124" spans="2:13" x14ac:dyDescent="0.2">
      <c r="C3124" t="b">
        <v>0</v>
      </c>
      <c r="D3124">
        <v>200.01</v>
      </c>
      <c r="E3124" t="s">
        <v>30</v>
      </c>
      <c r="F3124">
        <v>0</v>
      </c>
    </row>
    <row r="3125" spans="2:13" x14ac:dyDescent="0.2">
      <c r="C3125" t="b">
        <v>0</v>
      </c>
      <c r="D3125">
        <v>180.01</v>
      </c>
      <c r="E3125" t="s">
        <v>30</v>
      </c>
      <c r="F3125">
        <v>0</v>
      </c>
    </row>
    <row r="3126" spans="2:13" x14ac:dyDescent="0.2">
      <c r="C3126" t="b">
        <v>0</v>
      </c>
      <c r="D3126">
        <v>200.01</v>
      </c>
      <c r="E3126" t="s">
        <v>30</v>
      </c>
      <c r="F3126">
        <v>0</v>
      </c>
    </row>
    <row r="3127" spans="2:13" x14ac:dyDescent="0.2">
      <c r="C3127" t="b">
        <v>0</v>
      </c>
      <c r="D3127">
        <v>170.01</v>
      </c>
      <c r="E3127" t="s">
        <v>30</v>
      </c>
      <c r="F3127">
        <v>0</v>
      </c>
    </row>
    <row r="3128" spans="2:13" x14ac:dyDescent="0.2">
      <c r="B3128" t="s">
        <v>11</v>
      </c>
    </row>
    <row r="3129" spans="2:13" x14ac:dyDescent="0.2">
      <c r="B3129" t="s">
        <v>12</v>
      </c>
      <c r="C3129" t="s">
        <v>13</v>
      </c>
      <c r="D3129" t="s">
        <v>14</v>
      </c>
      <c r="E3129" t="s">
        <v>15</v>
      </c>
      <c r="F3129" t="s">
        <v>16</v>
      </c>
      <c r="G3129" t="s">
        <v>17</v>
      </c>
      <c r="H3129" t="s">
        <v>18</v>
      </c>
      <c r="I3129" t="s">
        <v>19</v>
      </c>
      <c r="J3129" t="s">
        <v>20</v>
      </c>
      <c r="K3129" t="s">
        <v>21</v>
      </c>
      <c r="L3129" t="s">
        <v>22</v>
      </c>
      <c r="M3129" t="s">
        <v>23</v>
      </c>
    </row>
    <row r="3130" spans="2:13" x14ac:dyDescent="0.2">
      <c r="B3130" t="s">
        <v>31</v>
      </c>
      <c r="C3130">
        <v>45</v>
      </c>
      <c r="E3130" t="s">
        <v>25</v>
      </c>
      <c r="F3130">
        <v>1181.52</v>
      </c>
      <c r="G3130">
        <v>23</v>
      </c>
      <c r="K3130">
        <v>0.1</v>
      </c>
      <c r="L3130">
        <v>7</v>
      </c>
      <c r="M3130">
        <v>114.4</v>
      </c>
    </row>
    <row r="3131" spans="2:13" x14ac:dyDescent="0.2">
      <c r="C3131" t="s">
        <v>27</v>
      </c>
    </row>
    <row r="3132" spans="2:13" x14ac:dyDescent="0.2">
      <c r="C3132" t="s">
        <v>28</v>
      </c>
      <c r="D3132" t="s">
        <v>16</v>
      </c>
      <c r="E3132" t="s">
        <v>29</v>
      </c>
      <c r="F3132" t="s">
        <v>18</v>
      </c>
    </row>
    <row r="3133" spans="2:13" x14ac:dyDescent="0.2">
      <c r="C3133" t="b">
        <v>0</v>
      </c>
      <c r="D3133">
        <v>1010.07</v>
      </c>
      <c r="E3133" t="s">
        <v>30</v>
      </c>
    </row>
    <row r="3134" spans="2:13" x14ac:dyDescent="0.2">
      <c r="C3134" t="b">
        <v>0</v>
      </c>
      <c r="D3134">
        <v>940.07</v>
      </c>
      <c r="E3134" t="s">
        <v>30</v>
      </c>
    </row>
    <row r="3135" spans="2:13" x14ac:dyDescent="0.2">
      <c r="C3135" t="b">
        <v>0</v>
      </c>
      <c r="D3135">
        <v>940.06</v>
      </c>
      <c r="E3135" t="s">
        <v>30</v>
      </c>
    </row>
    <row r="3136" spans="2:13" x14ac:dyDescent="0.2">
      <c r="C3136" t="b">
        <v>0</v>
      </c>
      <c r="D3136">
        <v>1070.08</v>
      </c>
      <c r="E3136" t="s">
        <v>30</v>
      </c>
    </row>
    <row r="3137" spans="2:13" x14ac:dyDescent="0.2">
      <c r="C3137" t="b">
        <v>0</v>
      </c>
      <c r="D3137">
        <v>1300.1099999999999</v>
      </c>
      <c r="E3137" t="s">
        <v>30</v>
      </c>
    </row>
    <row r="3138" spans="2:13" x14ac:dyDescent="0.2">
      <c r="C3138" t="b">
        <v>0</v>
      </c>
      <c r="D3138">
        <v>1330.11</v>
      </c>
      <c r="E3138" t="s">
        <v>30</v>
      </c>
    </row>
    <row r="3139" spans="2:13" x14ac:dyDescent="0.2">
      <c r="C3139" t="b">
        <v>0</v>
      </c>
      <c r="D3139">
        <v>1680.15</v>
      </c>
      <c r="E3139" t="s">
        <v>30</v>
      </c>
    </row>
    <row r="3140" spans="2:13" x14ac:dyDescent="0.2">
      <c r="B3140" t="s">
        <v>11</v>
      </c>
    </row>
    <row r="3141" spans="2:13" x14ac:dyDescent="0.2">
      <c r="B3141" t="s">
        <v>12</v>
      </c>
      <c r="C3141" t="s">
        <v>13</v>
      </c>
      <c r="D3141" t="s">
        <v>14</v>
      </c>
      <c r="E3141" t="s">
        <v>15</v>
      </c>
      <c r="F3141" t="s">
        <v>16</v>
      </c>
      <c r="G3141" t="s">
        <v>17</v>
      </c>
      <c r="H3141" t="s">
        <v>18</v>
      </c>
      <c r="I3141" t="s">
        <v>19</v>
      </c>
      <c r="J3141" t="s">
        <v>20</v>
      </c>
      <c r="K3141" t="s">
        <v>21</v>
      </c>
      <c r="L3141" t="s">
        <v>22</v>
      </c>
      <c r="M3141" t="s">
        <v>23</v>
      </c>
    </row>
    <row r="3142" spans="2:13" x14ac:dyDescent="0.2">
      <c r="B3142" t="s">
        <v>32</v>
      </c>
      <c r="C3142">
        <v>72</v>
      </c>
      <c r="E3142" t="s">
        <v>25</v>
      </c>
      <c r="F3142">
        <v>834.34</v>
      </c>
      <c r="G3142">
        <v>11.9</v>
      </c>
      <c r="K3142">
        <v>0.1</v>
      </c>
      <c r="L3142">
        <v>7</v>
      </c>
      <c r="M3142">
        <v>111.9</v>
      </c>
    </row>
    <row r="3143" spans="2:13" x14ac:dyDescent="0.2">
      <c r="C3143" t="s">
        <v>27</v>
      </c>
    </row>
    <row r="3144" spans="2:13" x14ac:dyDescent="0.2">
      <c r="C3144" t="s">
        <v>28</v>
      </c>
      <c r="D3144" t="s">
        <v>16</v>
      </c>
      <c r="E3144" t="s">
        <v>29</v>
      </c>
      <c r="F3144" t="s">
        <v>18</v>
      </c>
    </row>
    <row r="3145" spans="2:13" x14ac:dyDescent="0.2">
      <c r="C3145" t="b">
        <v>0</v>
      </c>
      <c r="D3145">
        <v>790.05</v>
      </c>
      <c r="E3145" t="s">
        <v>30</v>
      </c>
    </row>
    <row r="3146" spans="2:13" x14ac:dyDescent="0.2">
      <c r="C3146" t="b">
        <v>0</v>
      </c>
      <c r="D3146">
        <v>770.05</v>
      </c>
      <c r="E3146" t="s">
        <v>30</v>
      </c>
    </row>
    <row r="3147" spans="2:13" x14ac:dyDescent="0.2">
      <c r="C3147" t="b">
        <v>0</v>
      </c>
      <c r="D3147">
        <v>900.06</v>
      </c>
      <c r="E3147" t="s">
        <v>30</v>
      </c>
    </row>
    <row r="3148" spans="2:13" x14ac:dyDescent="0.2">
      <c r="C3148" t="b">
        <v>0</v>
      </c>
      <c r="D3148">
        <v>700.05</v>
      </c>
      <c r="E3148" t="s">
        <v>30</v>
      </c>
    </row>
    <row r="3149" spans="2:13" x14ac:dyDescent="0.2">
      <c r="C3149" t="b">
        <v>0</v>
      </c>
      <c r="D3149">
        <v>790.05</v>
      </c>
      <c r="E3149" t="s">
        <v>30</v>
      </c>
    </row>
    <row r="3150" spans="2:13" x14ac:dyDescent="0.2">
      <c r="C3150" t="b">
        <v>0</v>
      </c>
      <c r="D3150">
        <v>900.07</v>
      </c>
      <c r="E3150" t="s">
        <v>30</v>
      </c>
    </row>
    <row r="3151" spans="2:13" x14ac:dyDescent="0.2">
      <c r="C3151" t="b">
        <v>0</v>
      </c>
      <c r="D3151">
        <v>990.08</v>
      </c>
      <c r="E3151" t="s">
        <v>30</v>
      </c>
    </row>
    <row r="3152" spans="2:13" x14ac:dyDescent="0.2">
      <c r="B3152" t="s">
        <v>11</v>
      </c>
    </row>
    <row r="3153" spans="1:13" x14ac:dyDescent="0.2">
      <c r="B3153" t="s">
        <v>12</v>
      </c>
      <c r="C3153" t="s">
        <v>13</v>
      </c>
      <c r="D3153" t="s">
        <v>14</v>
      </c>
      <c r="E3153" t="s">
        <v>15</v>
      </c>
      <c r="F3153" t="s">
        <v>16</v>
      </c>
      <c r="G3153" t="s">
        <v>17</v>
      </c>
      <c r="H3153" t="s">
        <v>18</v>
      </c>
      <c r="I3153" t="s">
        <v>19</v>
      </c>
      <c r="J3153" t="s">
        <v>20</v>
      </c>
      <c r="K3153" t="s">
        <v>21</v>
      </c>
      <c r="L3153" t="s">
        <v>22</v>
      </c>
      <c r="M3153" t="s">
        <v>23</v>
      </c>
    </row>
    <row r="3154" spans="1:13" x14ac:dyDescent="0.2">
      <c r="B3154" t="s">
        <v>33</v>
      </c>
      <c r="C3154">
        <v>89</v>
      </c>
      <c r="E3154" t="s">
        <v>25</v>
      </c>
      <c r="F3154">
        <v>4562.3599999999997</v>
      </c>
      <c r="G3154">
        <v>18.2</v>
      </c>
      <c r="K3154">
        <v>0.1</v>
      </c>
      <c r="L3154">
        <v>7</v>
      </c>
      <c r="M3154">
        <v>115.6</v>
      </c>
    </row>
    <row r="3155" spans="1:13" x14ac:dyDescent="0.2">
      <c r="C3155" t="s">
        <v>27</v>
      </c>
    </row>
    <row r="3156" spans="1:13" x14ac:dyDescent="0.2">
      <c r="C3156" t="s">
        <v>28</v>
      </c>
      <c r="D3156" t="s">
        <v>16</v>
      </c>
      <c r="E3156" t="s">
        <v>29</v>
      </c>
      <c r="F3156" t="s">
        <v>18</v>
      </c>
    </row>
    <row r="3157" spans="1:13" x14ac:dyDescent="0.2">
      <c r="C3157" t="b">
        <v>0</v>
      </c>
      <c r="D3157">
        <v>3850.69</v>
      </c>
      <c r="E3157" t="s">
        <v>30</v>
      </c>
    </row>
    <row r="3158" spans="1:13" x14ac:dyDescent="0.2">
      <c r="C3158" t="b">
        <v>0</v>
      </c>
      <c r="D3158">
        <v>4160.79</v>
      </c>
      <c r="E3158" t="s">
        <v>30</v>
      </c>
    </row>
    <row r="3159" spans="1:13" x14ac:dyDescent="0.2">
      <c r="C3159" t="b">
        <v>0</v>
      </c>
      <c r="D3159">
        <v>4040.72</v>
      </c>
      <c r="E3159" t="s">
        <v>30</v>
      </c>
    </row>
    <row r="3160" spans="1:13" x14ac:dyDescent="0.2">
      <c r="C3160" t="b">
        <v>0</v>
      </c>
      <c r="D3160">
        <v>4040.74</v>
      </c>
      <c r="E3160" t="s">
        <v>30</v>
      </c>
    </row>
    <row r="3161" spans="1:13" x14ac:dyDescent="0.2">
      <c r="C3161" t="b">
        <v>0</v>
      </c>
      <c r="D3161">
        <v>4330.84</v>
      </c>
      <c r="E3161" t="s">
        <v>30</v>
      </c>
    </row>
    <row r="3162" spans="1:13" x14ac:dyDescent="0.2">
      <c r="C3162" t="b">
        <v>0</v>
      </c>
      <c r="D3162">
        <v>5631.33</v>
      </c>
      <c r="E3162" t="s">
        <v>30</v>
      </c>
    </row>
    <row r="3163" spans="1:13" x14ac:dyDescent="0.2">
      <c r="C3163" t="b">
        <v>0</v>
      </c>
      <c r="D3163">
        <v>5881.43</v>
      </c>
      <c r="E3163" t="s">
        <v>30</v>
      </c>
    </row>
    <row r="3165" spans="1:13" x14ac:dyDescent="0.2">
      <c r="A3165" s="37" t="s">
        <v>512</v>
      </c>
    </row>
    <row r="3166" spans="1:13" x14ac:dyDescent="0.2">
      <c r="A3166" t="s">
        <v>0</v>
      </c>
    </row>
    <row r="3167" spans="1:13" x14ac:dyDescent="0.2">
      <c r="B3167" t="s">
        <v>1</v>
      </c>
      <c r="C3167" t="s">
        <v>2</v>
      </c>
      <c r="D3167" t="s">
        <v>3</v>
      </c>
      <c r="E3167" t="s">
        <v>4</v>
      </c>
      <c r="F3167" t="s">
        <v>5</v>
      </c>
      <c r="G3167" t="s">
        <v>6</v>
      </c>
    </row>
    <row r="3168" spans="1:13" x14ac:dyDescent="0.2">
      <c r="B3168" t="b">
        <v>0</v>
      </c>
      <c r="C3168" t="s">
        <v>7</v>
      </c>
      <c r="D3168" t="s">
        <v>299</v>
      </c>
      <c r="E3168" t="s">
        <v>9</v>
      </c>
      <c r="G3168" t="s">
        <v>10</v>
      </c>
    </row>
    <row r="3169" spans="2:13" x14ac:dyDescent="0.2">
      <c r="B3169" t="s">
        <v>11</v>
      </c>
    </row>
    <row r="3170" spans="2:13" x14ac:dyDescent="0.2">
      <c r="B3170" t="s">
        <v>12</v>
      </c>
      <c r="C3170" t="s">
        <v>13</v>
      </c>
      <c r="D3170" t="s">
        <v>14</v>
      </c>
      <c r="E3170" t="s">
        <v>15</v>
      </c>
      <c r="F3170" t="s">
        <v>16</v>
      </c>
      <c r="G3170" t="s">
        <v>17</v>
      </c>
      <c r="H3170" t="s">
        <v>18</v>
      </c>
      <c r="I3170" t="s">
        <v>19</v>
      </c>
      <c r="J3170" t="s">
        <v>20</v>
      </c>
      <c r="K3170" t="s">
        <v>21</v>
      </c>
      <c r="L3170" t="s">
        <v>22</v>
      </c>
      <c r="M3170" t="s">
        <v>23</v>
      </c>
    </row>
    <row r="3171" spans="2:13" x14ac:dyDescent="0.2">
      <c r="B3171" t="s">
        <v>24</v>
      </c>
      <c r="C3171">
        <v>59</v>
      </c>
      <c r="E3171" t="s">
        <v>25</v>
      </c>
      <c r="F3171">
        <v>88.57</v>
      </c>
      <c r="G3171">
        <v>36.5</v>
      </c>
      <c r="I3171" t="s">
        <v>26</v>
      </c>
      <c r="K3171">
        <v>0.1</v>
      </c>
      <c r="L3171">
        <v>7</v>
      </c>
    </row>
    <row r="3172" spans="2:13" x14ac:dyDescent="0.2">
      <c r="C3172" t="s">
        <v>27</v>
      </c>
    </row>
    <row r="3173" spans="2:13" x14ac:dyDescent="0.2">
      <c r="C3173" t="s">
        <v>28</v>
      </c>
      <c r="D3173" t="s">
        <v>16</v>
      </c>
      <c r="E3173" t="s">
        <v>29</v>
      </c>
      <c r="F3173" t="s">
        <v>18</v>
      </c>
    </row>
    <row r="3174" spans="2:13" x14ac:dyDescent="0.2">
      <c r="C3174" t="b">
        <v>0</v>
      </c>
      <c r="D3174">
        <v>50</v>
      </c>
      <c r="E3174" t="s">
        <v>30</v>
      </c>
    </row>
    <row r="3175" spans="2:13" x14ac:dyDescent="0.2">
      <c r="C3175" t="b">
        <v>0</v>
      </c>
      <c r="D3175">
        <v>90</v>
      </c>
      <c r="E3175" t="s">
        <v>30</v>
      </c>
    </row>
    <row r="3176" spans="2:13" x14ac:dyDescent="0.2">
      <c r="C3176" t="b">
        <v>0</v>
      </c>
      <c r="D3176">
        <v>80</v>
      </c>
      <c r="E3176" t="s">
        <v>30</v>
      </c>
    </row>
    <row r="3177" spans="2:13" x14ac:dyDescent="0.2">
      <c r="C3177" t="b">
        <v>0</v>
      </c>
      <c r="D3177">
        <v>90</v>
      </c>
      <c r="E3177" t="s">
        <v>30</v>
      </c>
    </row>
    <row r="3178" spans="2:13" x14ac:dyDescent="0.2">
      <c r="C3178" t="b">
        <v>0</v>
      </c>
      <c r="D3178">
        <v>100</v>
      </c>
      <c r="E3178" t="s">
        <v>30</v>
      </c>
    </row>
    <row r="3179" spans="2:13" x14ac:dyDescent="0.2">
      <c r="C3179" t="b">
        <v>0</v>
      </c>
      <c r="D3179">
        <v>150.01</v>
      </c>
      <c r="E3179" t="s">
        <v>30</v>
      </c>
    </row>
    <row r="3180" spans="2:13" x14ac:dyDescent="0.2">
      <c r="C3180" t="b">
        <v>0</v>
      </c>
      <c r="D3180">
        <v>60</v>
      </c>
      <c r="E3180" t="s">
        <v>30</v>
      </c>
    </row>
    <row r="3181" spans="2:13" x14ac:dyDescent="0.2">
      <c r="B3181" t="s">
        <v>11</v>
      </c>
    </row>
    <row r="3182" spans="2:13" x14ac:dyDescent="0.2">
      <c r="B3182" t="s">
        <v>12</v>
      </c>
      <c r="C3182" t="s">
        <v>13</v>
      </c>
      <c r="D3182" t="s">
        <v>14</v>
      </c>
      <c r="E3182" t="s">
        <v>15</v>
      </c>
      <c r="F3182" t="s">
        <v>16</v>
      </c>
      <c r="G3182" t="s">
        <v>17</v>
      </c>
      <c r="H3182" t="s">
        <v>18</v>
      </c>
      <c r="I3182" t="s">
        <v>19</v>
      </c>
      <c r="J3182" t="s">
        <v>20</v>
      </c>
      <c r="K3182" t="s">
        <v>21</v>
      </c>
      <c r="L3182" t="s">
        <v>22</v>
      </c>
      <c r="M3182" t="s">
        <v>23</v>
      </c>
    </row>
    <row r="3183" spans="2:13" x14ac:dyDescent="0.2">
      <c r="B3183" t="s">
        <v>31</v>
      </c>
      <c r="C3183">
        <v>45</v>
      </c>
      <c r="E3183" t="s">
        <v>25</v>
      </c>
      <c r="F3183">
        <v>1140.0899999999999</v>
      </c>
      <c r="G3183">
        <v>16.2</v>
      </c>
      <c r="K3183">
        <v>0.1</v>
      </c>
      <c r="L3183">
        <v>7</v>
      </c>
    </row>
    <row r="3184" spans="2:13" x14ac:dyDescent="0.2">
      <c r="C3184" t="s">
        <v>27</v>
      </c>
    </row>
    <row r="3185" spans="2:13" x14ac:dyDescent="0.2">
      <c r="C3185" t="s">
        <v>28</v>
      </c>
      <c r="D3185" t="s">
        <v>16</v>
      </c>
      <c r="E3185" t="s">
        <v>29</v>
      </c>
      <c r="F3185" t="s">
        <v>18</v>
      </c>
    </row>
    <row r="3186" spans="2:13" x14ac:dyDescent="0.2">
      <c r="C3186" t="b">
        <v>0</v>
      </c>
      <c r="D3186">
        <v>1390.12</v>
      </c>
      <c r="E3186" t="s">
        <v>30</v>
      </c>
    </row>
    <row r="3187" spans="2:13" x14ac:dyDescent="0.2">
      <c r="C3187" t="b">
        <v>0</v>
      </c>
      <c r="D3187">
        <v>1120.08</v>
      </c>
      <c r="E3187" t="s">
        <v>30</v>
      </c>
    </row>
    <row r="3188" spans="2:13" x14ac:dyDescent="0.2">
      <c r="C3188" t="b">
        <v>0</v>
      </c>
      <c r="D3188">
        <v>1020.07</v>
      </c>
      <c r="E3188" t="s">
        <v>30</v>
      </c>
    </row>
    <row r="3189" spans="2:13" x14ac:dyDescent="0.2">
      <c r="C3189" t="b">
        <v>0</v>
      </c>
      <c r="D3189">
        <v>970.06</v>
      </c>
      <c r="E3189" t="s">
        <v>30</v>
      </c>
    </row>
    <row r="3190" spans="2:13" x14ac:dyDescent="0.2">
      <c r="C3190" t="b">
        <v>0</v>
      </c>
      <c r="D3190">
        <v>1080.08</v>
      </c>
      <c r="E3190" t="s">
        <v>30</v>
      </c>
    </row>
    <row r="3191" spans="2:13" x14ac:dyDescent="0.2">
      <c r="C3191" t="b">
        <v>0</v>
      </c>
      <c r="D3191">
        <v>990.06</v>
      </c>
      <c r="E3191" t="s">
        <v>30</v>
      </c>
    </row>
    <row r="3192" spans="2:13" x14ac:dyDescent="0.2">
      <c r="C3192" t="b">
        <v>0</v>
      </c>
      <c r="D3192">
        <v>1410.13</v>
      </c>
      <c r="E3192" t="s">
        <v>30</v>
      </c>
    </row>
    <row r="3193" spans="2:13" x14ac:dyDescent="0.2">
      <c r="B3193" t="s">
        <v>11</v>
      </c>
    </row>
    <row r="3194" spans="2:13" x14ac:dyDescent="0.2">
      <c r="B3194" t="s">
        <v>12</v>
      </c>
      <c r="C3194" t="s">
        <v>13</v>
      </c>
      <c r="D3194" t="s">
        <v>14</v>
      </c>
      <c r="E3194" t="s">
        <v>15</v>
      </c>
      <c r="F3194" t="s">
        <v>16</v>
      </c>
      <c r="G3194" t="s">
        <v>17</v>
      </c>
      <c r="H3194" t="s">
        <v>18</v>
      </c>
      <c r="I3194" t="s">
        <v>19</v>
      </c>
      <c r="J3194" t="s">
        <v>20</v>
      </c>
      <c r="K3194" t="s">
        <v>21</v>
      </c>
      <c r="L3194" t="s">
        <v>22</v>
      </c>
      <c r="M3194" t="s">
        <v>23</v>
      </c>
    </row>
    <row r="3195" spans="2:13" x14ac:dyDescent="0.2">
      <c r="B3195" t="s">
        <v>32</v>
      </c>
      <c r="C3195">
        <v>72</v>
      </c>
      <c r="E3195" t="s">
        <v>25</v>
      </c>
      <c r="F3195">
        <v>1088.6500000000001</v>
      </c>
      <c r="G3195">
        <v>13</v>
      </c>
      <c r="K3195">
        <v>0.1</v>
      </c>
      <c r="L3195">
        <v>7</v>
      </c>
    </row>
    <row r="3196" spans="2:13" x14ac:dyDescent="0.2">
      <c r="C3196" t="s">
        <v>27</v>
      </c>
    </row>
    <row r="3197" spans="2:13" x14ac:dyDescent="0.2">
      <c r="C3197" t="s">
        <v>28</v>
      </c>
      <c r="D3197" t="s">
        <v>16</v>
      </c>
      <c r="E3197" t="s">
        <v>29</v>
      </c>
      <c r="F3197" t="s">
        <v>18</v>
      </c>
    </row>
    <row r="3198" spans="2:13" x14ac:dyDescent="0.2">
      <c r="C3198" t="b">
        <v>0</v>
      </c>
      <c r="D3198">
        <v>1170.0999999999999</v>
      </c>
      <c r="E3198" t="s">
        <v>30</v>
      </c>
    </row>
    <row r="3199" spans="2:13" x14ac:dyDescent="0.2">
      <c r="C3199" t="b">
        <v>0</v>
      </c>
      <c r="D3199">
        <v>980.08</v>
      </c>
      <c r="E3199" t="s">
        <v>30</v>
      </c>
    </row>
    <row r="3200" spans="2:13" x14ac:dyDescent="0.2">
      <c r="C3200" t="b">
        <v>0</v>
      </c>
      <c r="D3200">
        <v>1090.08</v>
      </c>
      <c r="E3200" t="s">
        <v>30</v>
      </c>
    </row>
    <row r="3201" spans="2:13" x14ac:dyDescent="0.2">
      <c r="C3201" t="b">
        <v>0</v>
      </c>
      <c r="D3201">
        <v>940.06</v>
      </c>
      <c r="E3201" t="s">
        <v>30</v>
      </c>
    </row>
    <row r="3202" spans="2:13" x14ac:dyDescent="0.2">
      <c r="C3202" t="b">
        <v>0</v>
      </c>
      <c r="D3202">
        <v>1070.07</v>
      </c>
      <c r="E3202" t="s">
        <v>30</v>
      </c>
    </row>
    <row r="3203" spans="2:13" x14ac:dyDescent="0.2">
      <c r="C3203" t="b">
        <v>0</v>
      </c>
      <c r="D3203">
        <v>1010.07</v>
      </c>
      <c r="E3203" t="s">
        <v>30</v>
      </c>
    </row>
    <row r="3204" spans="2:13" x14ac:dyDescent="0.2">
      <c r="C3204" t="b">
        <v>0</v>
      </c>
      <c r="D3204">
        <v>1360.11</v>
      </c>
      <c r="E3204" t="s">
        <v>30</v>
      </c>
    </row>
    <row r="3205" spans="2:13" x14ac:dyDescent="0.2">
      <c r="B3205" t="s">
        <v>11</v>
      </c>
    </row>
    <row r="3206" spans="2:13" x14ac:dyDescent="0.2">
      <c r="B3206" t="s">
        <v>12</v>
      </c>
      <c r="C3206" t="s">
        <v>13</v>
      </c>
      <c r="D3206" t="s">
        <v>14</v>
      </c>
      <c r="E3206" t="s">
        <v>15</v>
      </c>
      <c r="F3206" t="s">
        <v>16</v>
      </c>
      <c r="G3206" t="s">
        <v>17</v>
      </c>
      <c r="H3206" t="s">
        <v>18</v>
      </c>
      <c r="I3206" t="s">
        <v>19</v>
      </c>
      <c r="J3206" t="s">
        <v>20</v>
      </c>
      <c r="K3206" t="s">
        <v>21</v>
      </c>
      <c r="L3206" t="s">
        <v>22</v>
      </c>
      <c r="M3206" t="s">
        <v>23</v>
      </c>
    </row>
    <row r="3207" spans="2:13" x14ac:dyDescent="0.2">
      <c r="B3207" t="s">
        <v>33</v>
      </c>
      <c r="C3207">
        <v>89</v>
      </c>
      <c r="E3207" t="s">
        <v>25</v>
      </c>
      <c r="F3207">
        <v>6170.18</v>
      </c>
      <c r="G3207">
        <v>6.1</v>
      </c>
      <c r="K3207">
        <v>0.1</v>
      </c>
      <c r="L3207">
        <v>7</v>
      </c>
    </row>
    <row r="3208" spans="2:13" x14ac:dyDescent="0.2">
      <c r="C3208" t="s">
        <v>27</v>
      </c>
    </row>
    <row r="3209" spans="2:13" x14ac:dyDescent="0.2">
      <c r="C3209" t="s">
        <v>28</v>
      </c>
      <c r="D3209" t="s">
        <v>16</v>
      </c>
      <c r="E3209" t="s">
        <v>29</v>
      </c>
      <c r="F3209" t="s">
        <v>18</v>
      </c>
    </row>
    <row r="3210" spans="2:13" x14ac:dyDescent="0.2">
      <c r="C3210" t="b">
        <v>0</v>
      </c>
      <c r="D3210">
        <v>6451.74</v>
      </c>
      <c r="E3210" t="s">
        <v>30</v>
      </c>
    </row>
    <row r="3211" spans="2:13" x14ac:dyDescent="0.2">
      <c r="C3211" t="b">
        <v>0</v>
      </c>
      <c r="D3211">
        <v>6191.61</v>
      </c>
      <c r="E3211" t="s">
        <v>30</v>
      </c>
    </row>
    <row r="3212" spans="2:13" x14ac:dyDescent="0.2">
      <c r="C3212" t="b">
        <v>0</v>
      </c>
      <c r="D3212">
        <v>5801.42</v>
      </c>
      <c r="E3212" t="s">
        <v>30</v>
      </c>
    </row>
    <row r="3213" spans="2:13" x14ac:dyDescent="0.2">
      <c r="C3213" t="b">
        <v>0</v>
      </c>
      <c r="D3213">
        <v>6081.57</v>
      </c>
      <c r="E3213" t="s">
        <v>30</v>
      </c>
    </row>
    <row r="3214" spans="2:13" x14ac:dyDescent="0.2">
      <c r="C3214" t="b">
        <v>0</v>
      </c>
      <c r="D3214">
        <v>5801.45</v>
      </c>
      <c r="E3214" t="s">
        <v>30</v>
      </c>
    </row>
    <row r="3215" spans="2:13" x14ac:dyDescent="0.2">
      <c r="C3215" t="b">
        <v>0</v>
      </c>
      <c r="D3215">
        <v>6011.56</v>
      </c>
      <c r="E3215" t="s">
        <v>30</v>
      </c>
    </row>
    <row r="3216" spans="2:13" x14ac:dyDescent="0.2">
      <c r="C3216" t="b">
        <v>0</v>
      </c>
      <c r="D3216">
        <v>6851.9</v>
      </c>
      <c r="E3216" t="s">
        <v>30</v>
      </c>
    </row>
    <row r="3217" spans="1:13" x14ac:dyDescent="0.2">
      <c r="A3217" t="s">
        <v>0</v>
      </c>
    </row>
    <row r="3218" spans="1:13" x14ac:dyDescent="0.2">
      <c r="B3218" t="s">
        <v>1</v>
      </c>
      <c r="C3218" t="s">
        <v>2</v>
      </c>
      <c r="D3218" t="s">
        <v>3</v>
      </c>
      <c r="E3218" t="s">
        <v>4</v>
      </c>
      <c r="F3218" t="s">
        <v>5</v>
      </c>
      <c r="G3218" t="s">
        <v>6</v>
      </c>
    </row>
    <row r="3219" spans="1:13" x14ac:dyDescent="0.2">
      <c r="B3219" t="b">
        <v>0</v>
      </c>
      <c r="C3219" t="s">
        <v>34</v>
      </c>
      <c r="D3219" t="s">
        <v>300</v>
      </c>
      <c r="E3219" t="s">
        <v>9</v>
      </c>
      <c r="G3219" t="s">
        <v>10</v>
      </c>
    </row>
    <row r="3220" spans="1:13" x14ac:dyDescent="0.2">
      <c r="B3220" t="s">
        <v>11</v>
      </c>
    </row>
    <row r="3221" spans="1:13" x14ac:dyDescent="0.2">
      <c r="B3221" t="s">
        <v>12</v>
      </c>
      <c r="C3221" t="s">
        <v>13</v>
      </c>
      <c r="D3221" t="s">
        <v>14</v>
      </c>
      <c r="E3221" t="s">
        <v>15</v>
      </c>
      <c r="F3221" t="s">
        <v>16</v>
      </c>
      <c r="G3221" t="s">
        <v>17</v>
      </c>
      <c r="H3221" t="s">
        <v>18</v>
      </c>
      <c r="I3221" t="s">
        <v>19</v>
      </c>
      <c r="J3221" t="s">
        <v>20</v>
      </c>
      <c r="K3221" t="s">
        <v>21</v>
      </c>
      <c r="L3221" t="s">
        <v>22</v>
      </c>
      <c r="M3221" t="s">
        <v>23</v>
      </c>
    </row>
    <row r="3222" spans="1:13" x14ac:dyDescent="0.2">
      <c r="B3222" t="s">
        <v>24</v>
      </c>
      <c r="C3222">
        <v>59</v>
      </c>
      <c r="E3222" t="s">
        <v>25</v>
      </c>
      <c r="F3222">
        <v>51.43</v>
      </c>
      <c r="G3222">
        <v>38</v>
      </c>
      <c r="I3222" t="s">
        <v>26</v>
      </c>
      <c r="K3222">
        <v>0.1</v>
      </c>
      <c r="L3222">
        <v>7</v>
      </c>
    </row>
    <row r="3223" spans="1:13" x14ac:dyDescent="0.2">
      <c r="C3223" t="s">
        <v>27</v>
      </c>
    </row>
    <row r="3224" spans="1:13" x14ac:dyDescent="0.2">
      <c r="C3224" t="s">
        <v>28</v>
      </c>
      <c r="D3224" t="s">
        <v>16</v>
      </c>
      <c r="E3224" t="s">
        <v>29</v>
      </c>
      <c r="F3224" t="s">
        <v>18</v>
      </c>
    </row>
    <row r="3225" spans="1:13" x14ac:dyDescent="0.2">
      <c r="C3225" t="b">
        <v>0</v>
      </c>
      <c r="D3225">
        <v>70</v>
      </c>
      <c r="E3225" t="s">
        <v>30</v>
      </c>
    </row>
    <row r="3226" spans="1:13" x14ac:dyDescent="0.2">
      <c r="C3226" t="b">
        <v>0</v>
      </c>
      <c r="D3226">
        <v>60</v>
      </c>
      <c r="E3226" t="s">
        <v>30</v>
      </c>
    </row>
    <row r="3227" spans="1:13" x14ac:dyDescent="0.2">
      <c r="C3227" t="b">
        <v>0</v>
      </c>
      <c r="D3227">
        <v>50</v>
      </c>
      <c r="E3227" t="s">
        <v>30</v>
      </c>
    </row>
    <row r="3228" spans="1:13" x14ac:dyDescent="0.2">
      <c r="C3228" t="b">
        <v>0</v>
      </c>
      <c r="D3228">
        <v>60</v>
      </c>
      <c r="E3228" t="s">
        <v>30</v>
      </c>
    </row>
    <row r="3229" spans="1:13" x14ac:dyDescent="0.2">
      <c r="C3229" t="b">
        <v>0</v>
      </c>
      <c r="D3229">
        <v>10</v>
      </c>
      <c r="E3229" t="s">
        <v>30</v>
      </c>
    </row>
    <row r="3230" spans="1:13" x14ac:dyDescent="0.2">
      <c r="C3230" t="b">
        <v>0</v>
      </c>
      <c r="D3230">
        <v>60</v>
      </c>
      <c r="E3230" t="s">
        <v>30</v>
      </c>
    </row>
    <row r="3231" spans="1:13" x14ac:dyDescent="0.2">
      <c r="C3231" t="b">
        <v>0</v>
      </c>
      <c r="D3231">
        <v>50</v>
      </c>
      <c r="E3231" t="s">
        <v>30</v>
      </c>
    </row>
    <row r="3232" spans="1:13" x14ac:dyDescent="0.2">
      <c r="B3232" t="s">
        <v>11</v>
      </c>
    </row>
    <row r="3233" spans="2:13" x14ac:dyDescent="0.2">
      <c r="B3233" t="s">
        <v>12</v>
      </c>
      <c r="C3233" t="s">
        <v>13</v>
      </c>
      <c r="D3233" t="s">
        <v>14</v>
      </c>
      <c r="E3233" t="s">
        <v>15</v>
      </c>
      <c r="F3233" t="s">
        <v>16</v>
      </c>
      <c r="G3233" t="s">
        <v>17</v>
      </c>
      <c r="H3233" t="s">
        <v>18</v>
      </c>
      <c r="I3233" t="s">
        <v>19</v>
      </c>
      <c r="J3233" t="s">
        <v>20</v>
      </c>
      <c r="K3233" t="s">
        <v>21</v>
      </c>
      <c r="L3233" t="s">
        <v>22</v>
      </c>
      <c r="M3233" t="s">
        <v>23</v>
      </c>
    </row>
    <row r="3234" spans="2:13" x14ac:dyDescent="0.2">
      <c r="B3234" t="s">
        <v>31</v>
      </c>
      <c r="C3234">
        <v>45</v>
      </c>
      <c r="E3234" t="s">
        <v>25</v>
      </c>
      <c r="F3234">
        <v>1264.3900000000001</v>
      </c>
      <c r="G3234">
        <v>7.9</v>
      </c>
      <c r="K3234">
        <v>0.1</v>
      </c>
      <c r="L3234">
        <v>7</v>
      </c>
    </row>
    <row r="3235" spans="2:13" x14ac:dyDescent="0.2">
      <c r="C3235" t="s">
        <v>27</v>
      </c>
    </row>
    <row r="3236" spans="2:13" x14ac:dyDescent="0.2">
      <c r="C3236" t="s">
        <v>28</v>
      </c>
      <c r="D3236" t="s">
        <v>16</v>
      </c>
      <c r="E3236" t="s">
        <v>29</v>
      </c>
      <c r="F3236" t="s">
        <v>18</v>
      </c>
    </row>
    <row r="3237" spans="2:13" x14ac:dyDescent="0.2">
      <c r="C3237" t="b">
        <v>0</v>
      </c>
      <c r="D3237">
        <v>1230.0999999999999</v>
      </c>
      <c r="E3237" t="s">
        <v>30</v>
      </c>
    </row>
    <row r="3238" spans="2:13" x14ac:dyDescent="0.2">
      <c r="C3238" t="b">
        <v>0</v>
      </c>
      <c r="D3238">
        <v>1340.11</v>
      </c>
      <c r="E3238" t="s">
        <v>30</v>
      </c>
    </row>
    <row r="3239" spans="2:13" x14ac:dyDescent="0.2">
      <c r="C3239" t="b">
        <v>0</v>
      </c>
      <c r="D3239">
        <v>1220.0999999999999</v>
      </c>
      <c r="E3239" t="s">
        <v>30</v>
      </c>
    </row>
    <row r="3240" spans="2:13" x14ac:dyDescent="0.2">
      <c r="C3240" t="b">
        <v>0</v>
      </c>
      <c r="D3240">
        <v>1270.0999999999999</v>
      </c>
      <c r="E3240" t="s">
        <v>30</v>
      </c>
    </row>
    <row r="3241" spans="2:13" x14ac:dyDescent="0.2">
      <c r="C3241" t="b">
        <v>0</v>
      </c>
      <c r="D3241">
        <v>1080.07</v>
      </c>
      <c r="E3241" t="s">
        <v>30</v>
      </c>
    </row>
    <row r="3242" spans="2:13" x14ac:dyDescent="0.2">
      <c r="C3242" t="b">
        <v>0</v>
      </c>
      <c r="D3242">
        <v>1360.12</v>
      </c>
      <c r="E3242" t="s">
        <v>30</v>
      </c>
    </row>
    <row r="3243" spans="2:13" x14ac:dyDescent="0.2">
      <c r="C3243" t="b">
        <v>0</v>
      </c>
      <c r="D3243">
        <v>1350.12</v>
      </c>
      <c r="E3243" t="s">
        <v>30</v>
      </c>
    </row>
    <row r="3244" spans="2:13" x14ac:dyDescent="0.2">
      <c r="B3244" t="s">
        <v>11</v>
      </c>
    </row>
    <row r="3245" spans="2:13" x14ac:dyDescent="0.2">
      <c r="B3245" t="s">
        <v>12</v>
      </c>
      <c r="C3245" t="s">
        <v>13</v>
      </c>
      <c r="D3245" t="s">
        <v>14</v>
      </c>
      <c r="E3245" t="s">
        <v>15</v>
      </c>
      <c r="F3245" t="s">
        <v>16</v>
      </c>
      <c r="G3245" t="s">
        <v>17</v>
      </c>
      <c r="H3245" t="s">
        <v>18</v>
      </c>
      <c r="I3245" t="s">
        <v>19</v>
      </c>
      <c r="J3245" t="s">
        <v>20</v>
      </c>
      <c r="K3245" t="s">
        <v>21</v>
      </c>
      <c r="L3245" t="s">
        <v>22</v>
      </c>
      <c r="M3245" t="s">
        <v>23</v>
      </c>
    </row>
    <row r="3246" spans="2:13" x14ac:dyDescent="0.2">
      <c r="B3246" t="s">
        <v>32</v>
      </c>
      <c r="C3246">
        <v>72</v>
      </c>
      <c r="E3246" t="s">
        <v>25</v>
      </c>
      <c r="F3246">
        <v>1204.3800000000001</v>
      </c>
      <c r="G3246">
        <v>9.5</v>
      </c>
      <c r="K3246">
        <v>0.1</v>
      </c>
      <c r="L3246">
        <v>7</v>
      </c>
    </row>
    <row r="3247" spans="2:13" x14ac:dyDescent="0.2">
      <c r="C3247" t="s">
        <v>27</v>
      </c>
    </row>
    <row r="3248" spans="2:13" x14ac:dyDescent="0.2">
      <c r="C3248" t="s">
        <v>28</v>
      </c>
      <c r="D3248" t="s">
        <v>16</v>
      </c>
      <c r="E3248" t="s">
        <v>29</v>
      </c>
      <c r="F3248" t="s">
        <v>18</v>
      </c>
    </row>
    <row r="3249" spans="2:13" x14ac:dyDescent="0.2">
      <c r="C3249" t="b">
        <v>0</v>
      </c>
      <c r="D3249">
        <v>1280.0999999999999</v>
      </c>
      <c r="E3249" t="s">
        <v>30</v>
      </c>
    </row>
    <row r="3250" spans="2:13" x14ac:dyDescent="0.2">
      <c r="C3250" t="b">
        <v>0</v>
      </c>
      <c r="D3250">
        <v>1360.1</v>
      </c>
      <c r="E3250" t="s">
        <v>30</v>
      </c>
    </row>
    <row r="3251" spans="2:13" x14ac:dyDescent="0.2">
      <c r="C3251" t="b">
        <v>0</v>
      </c>
      <c r="D3251">
        <v>1130.0899999999999</v>
      </c>
      <c r="E3251" t="s">
        <v>30</v>
      </c>
    </row>
    <row r="3252" spans="2:13" x14ac:dyDescent="0.2">
      <c r="C3252" t="b">
        <v>0</v>
      </c>
      <c r="D3252">
        <v>1000.08</v>
      </c>
      <c r="E3252" t="s">
        <v>30</v>
      </c>
    </row>
    <row r="3253" spans="2:13" x14ac:dyDescent="0.2">
      <c r="C3253" t="b">
        <v>0</v>
      </c>
      <c r="D3253">
        <v>1200.0899999999999</v>
      </c>
      <c r="E3253" t="s">
        <v>30</v>
      </c>
    </row>
    <row r="3254" spans="2:13" x14ac:dyDescent="0.2">
      <c r="C3254" t="b">
        <v>0</v>
      </c>
      <c r="D3254">
        <v>1240.0999999999999</v>
      </c>
      <c r="E3254" t="s">
        <v>30</v>
      </c>
    </row>
    <row r="3255" spans="2:13" x14ac:dyDescent="0.2">
      <c r="C3255" t="b">
        <v>0</v>
      </c>
      <c r="D3255">
        <v>1220.0899999999999</v>
      </c>
      <c r="E3255" t="s">
        <v>30</v>
      </c>
    </row>
    <row r="3256" spans="2:13" x14ac:dyDescent="0.2">
      <c r="B3256" t="s">
        <v>11</v>
      </c>
    </row>
    <row r="3257" spans="2:13" x14ac:dyDescent="0.2">
      <c r="B3257" t="s">
        <v>12</v>
      </c>
      <c r="C3257" t="s">
        <v>13</v>
      </c>
      <c r="D3257" t="s">
        <v>14</v>
      </c>
      <c r="E3257" t="s">
        <v>15</v>
      </c>
      <c r="F3257" t="s">
        <v>16</v>
      </c>
      <c r="G3257" t="s">
        <v>17</v>
      </c>
      <c r="H3257" t="s">
        <v>18</v>
      </c>
      <c r="I3257" t="s">
        <v>19</v>
      </c>
      <c r="J3257" t="s">
        <v>20</v>
      </c>
      <c r="K3257" t="s">
        <v>21</v>
      </c>
      <c r="L3257" t="s">
        <v>22</v>
      </c>
      <c r="M3257" t="s">
        <v>23</v>
      </c>
    </row>
    <row r="3258" spans="2:13" x14ac:dyDescent="0.2">
      <c r="B3258" t="s">
        <v>33</v>
      </c>
      <c r="C3258">
        <v>89</v>
      </c>
      <c r="E3258" t="s">
        <v>25</v>
      </c>
      <c r="F3258">
        <v>7200.69</v>
      </c>
      <c r="G3258">
        <v>1.9</v>
      </c>
      <c r="K3258">
        <v>0.1</v>
      </c>
      <c r="L3258">
        <v>7</v>
      </c>
    </row>
    <row r="3259" spans="2:13" x14ac:dyDescent="0.2">
      <c r="C3259" t="s">
        <v>27</v>
      </c>
    </row>
    <row r="3260" spans="2:13" x14ac:dyDescent="0.2">
      <c r="C3260" t="s">
        <v>28</v>
      </c>
      <c r="D3260" t="s">
        <v>16</v>
      </c>
      <c r="E3260" t="s">
        <v>29</v>
      </c>
      <c r="F3260" t="s">
        <v>18</v>
      </c>
    </row>
    <row r="3261" spans="2:13" x14ac:dyDescent="0.2">
      <c r="C3261" t="b">
        <v>0</v>
      </c>
      <c r="D3261">
        <v>7122.1</v>
      </c>
      <c r="E3261" t="s">
        <v>30</v>
      </c>
    </row>
    <row r="3262" spans="2:13" x14ac:dyDescent="0.2">
      <c r="C3262" t="b">
        <v>0</v>
      </c>
      <c r="D3262">
        <v>7072.06</v>
      </c>
      <c r="E3262" t="s">
        <v>30</v>
      </c>
    </row>
    <row r="3263" spans="2:13" x14ac:dyDescent="0.2">
      <c r="C3263" t="b">
        <v>0</v>
      </c>
      <c r="D3263">
        <v>7362.11</v>
      </c>
      <c r="E3263" t="s">
        <v>30</v>
      </c>
    </row>
    <row r="3264" spans="2:13" x14ac:dyDescent="0.2">
      <c r="C3264" t="b">
        <v>0</v>
      </c>
      <c r="D3264">
        <v>7052.08</v>
      </c>
      <c r="E3264" t="s">
        <v>30</v>
      </c>
    </row>
    <row r="3265" spans="1:13" x14ac:dyDescent="0.2">
      <c r="C3265" t="b">
        <v>0</v>
      </c>
      <c r="D3265">
        <v>7252.1</v>
      </c>
      <c r="E3265" t="s">
        <v>30</v>
      </c>
    </row>
    <row r="3266" spans="1:13" x14ac:dyDescent="0.2">
      <c r="C3266" t="b">
        <v>0</v>
      </c>
      <c r="D3266">
        <v>7162.1</v>
      </c>
      <c r="E3266" t="s">
        <v>30</v>
      </c>
    </row>
    <row r="3267" spans="1:13" x14ac:dyDescent="0.2">
      <c r="C3267" t="b">
        <v>0</v>
      </c>
      <c r="D3267">
        <v>7382.27</v>
      </c>
      <c r="E3267" t="s">
        <v>30</v>
      </c>
    </row>
    <row r="3268" spans="1:13" x14ac:dyDescent="0.2">
      <c r="A3268" t="s">
        <v>0</v>
      </c>
    </row>
    <row r="3269" spans="1:13" x14ac:dyDescent="0.2">
      <c r="B3269" t="s">
        <v>1</v>
      </c>
      <c r="C3269" t="s">
        <v>2</v>
      </c>
      <c r="D3269" t="s">
        <v>3</v>
      </c>
      <c r="E3269" t="s">
        <v>4</v>
      </c>
      <c r="F3269" t="s">
        <v>5</v>
      </c>
      <c r="G3269" t="s">
        <v>6</v>
      </c>
    </row>
    <row r="3270" spans="1:13" x14ac:dyDescent="0.2">
      <c r="B3270" t="b">
        <v>0</v>
      </c>
      <c r="C3270" t="s">
        <v>36</v>
      </c>
      <c r="D3270" t="s">
        <v>301</v>
      </c>
      <c r="E3270" t="s">
        <v>9</v>
      </c>
      <c r="G3270" t="s">
        <v>10</v>
      </c>
    </row>
    <row r="3271" spans="1:13" x14ac:dyDescent="0.2">
      <c r="B3271" t="s">
        <v>11</v>
      </c>
    </row>
    <row r="3272" spans="1:13" x14ac:dyDescent="0.2">
      <c r="B3272" t="s">
        <v>12</v>
      </c>
      <c r="C3272" t="s">
        <v>13</v>
      </c>
      <c r="D3272" t="s">
        <v>14</v>
      </c>
      <c r="E3272" t="s">
        <v>15</v>
      </c>
      <c r="F3272" t="s">
        <v>16</v>
      </c>
      <c r="G3272" t="s">
        <v>17</v>
      </c>
      <c r="H3272" t="s">
        <v>18</v>
      </c>
      <c r="I3272" t="s">
        <v>19</v>
      </c>
      <c r="J3272" t="s">
        <v>20</v>
      </c>
      <c r="K3272" t="s">
        <v>21</v>
      </c>
      <c r="L3272" t="s">
        <v>22</v>
      </c>
      <c r="M3272" t="s">
        <v>23</v>
      </c>
    </row>
    <row r="3273" spans="1:13" x14ac:dyDescent="0.2">
      <c r="B3273" t="s">
        <v>24</v>
      </c>
      <c r="C3273">
        <v>59</v>
      </c>
      <c r="E3273" t="s">
        <v>25</v>
      </c>
      <c r="F3273">
        <v>57.14</v>
      </c>
      <c r="G3273">
        <v>51.2</v>
      </c>
      <c r="I3273" t="s">
        <v>26</v>
      </c>
      <c r="K3273">
        <v>0.1</v>
      </c>
      <c r="L3273">
        <v>7</v>
      </c>
    </row>
    <row r="3274" spans="1:13" x14ac:dyDescent="0.2">
      <c r="C3274" t="s">
        <v>27</v>
      </c>
    </row>
    <row r="3275" spans="1:13" x14ac:dyDescent="0.2">
      <c r="C3275" t="s">
        <v>28</v>
      </c>
      <c r="D3275" t="s">
        <v>16</v>
      </c>
      <c r="E3275" t="s">
        <v>29</v>
      </c>
      <c r="F3275" t="s">
        <v>18</v>
      </c>
    </row>
    <row r="3276" spans="1:13" x14ac:dyDescent="0.2">
      <c r="C3276" t="b">
        <v>0</v>
      </c>
      <c r="D3276">
        <v>50</v>
      </c>
      <c r="E3276" t="s">
        <v>30</v>
      </c>
    </row>
    <row r="3277" spans="1:13" x14ac:dyDescent="0.2">
      <c r="C3277" t="b">
        <v>0</v>
      </c>
      <c r="D3277">
        <v>30</v>
      </c>
      <c r="E3277" t="s">
        <v>30</v>
      </c>
    </row>
    <row r="3278" spans="1:13" x14ac:dyDescent="0.2">
      <c r="C3278" t="b">
        <v>0</v>
      </c>
      <c r="D3278">
        <v>90</v>
      </c>
      <c r="E3278" t="s">
        <v>30</v>
      </c>
    </row>
    <row r="3279" spans="1:13" x14ac:dyDescent="0.2">
      <c r="C3279" t="b">
        <v>0</v>
      </c>
      <c r="D3279">
        <v>50</v>
      </c>
      <c r="E3279" t="s">
        <v>30</v>
      </c>
    </row>
    <row r="3280" spans="1:13" x14ac:dyDescent="0.2">
      <c r="C3280" t="b">
        <v>0</v>
      </c>
      <c r="D3280">
        <v>60</v>
      </c>
      <c r="E3280" t="s">
        <v>30</v>
      </c>
    </row>
    <row r="3281" spans="2:13" x14ac:dyDescent="0.2">
      <c r="C3281" t="b">
        <v>0</v>
      </c>
      <c r="D3281">
        <v>20</v>
      </c>
      <c r="E3281" t="s">
        <v>30</v>
      </c>
    </row>
    <row r="3282" spans="2:13" x14ac:dyDescent="0.2">
      <c r="C3282" t="b">
        <v>0</v>
      </c>
      <c r="D3282">
        <v>100</v>
      </c>
      <c r="E3282" t="s">
        <v>30</v>
      </c>
    </row>
    <row r="3283" spans="2:13" x14ac:dyDescent="0.2">
      <c r="B3283" t="s">
        <v>11</v>
      </c>
    </row>
    <row r="3284" spans="2:13" x14ac:dyDescent="0.2">
      <c r="B3284" t="s">
        <v>12</v>
      </c>
      <c r="C3284" t="s">
        <v>13</v>
      </c>
      <c r="D3284" t="s">
        <v>14</v>
      </c>
      <c r="E3284" t="s">
        <v>15</v>
      </c>
      <c r="F3284" t="s">
        <v>16</v>
      </c>
      <c r="G3284" t="s">
        <v>17</v>
      </c>
      <c r="H3284" t="s">
        <v>18</v>
      </c>
      <c r="I3284" t="s">
        <v>19</v>
      </c>
      <c r="J3284" t="s">
        <v>20</v>
      </c>
      <c r="K3284" t="s">
        <v>21</v>
      </c>
      <c r="L3284" t="s">
        <v>22</v>
      </c>
      <c r="M3284" t="s">
        <v>23</v>
      </c>
    </row>
    <row r="3285" spans="2:13" x14ac:dyDescent="0.2">
      <c r="B3285" t="s">
        <v>31</v>
      </c>
      <c r="C3285">
        <v>45</v>
      </c>
      <c r="E3285" t="s">
        <v>25</v>
      </c>
      <c r="F3285">
        <v>1608.72</v>
      </c>
      <c r="G3285">
        <v>16.899999999999999</v>
      </c>
      <c r="K3285">
        <v>0.1</v>
      </c>
      <c r="L3285">
        <v>7</v>
      </c>
    </row>
    <row r="3286" spans="2:13" x14ac:dyDescent="0.2">
      <c r="C3286" t="s">
        <v>27</v>
      </c>
    </row>
    <row r="3287" spans="2:13" x14ac:dyDescent="0.2">
      <c r="C3287" t="s">
        <v>28</v>
      </c>
      <c r="D3287" t="s">
        <v>16</v>
      </c>
      <c r="E3287" t="s">
        <v>29</v>
      </c>
      <c r="F3287" t="s">
        <v>18</v>
      </c>
    </row>
    <row r="3288" spans="2:13" x14ac:dyDescent="0.2">
      <c r="C3288" t="b">
        <v>0</v>
      </c>
      <c r="D3288">
        <v>1610.14</v>
      </c>
      <c r="E3288" t="s">
        <v>30</v>
      </c>
    </row>
    <row r="3289" spans="2:13" x14ac:dyDescent="0.2">
      <c r="C3289" t="b">
        <v>0</v>
      </c>
      <c r="D3289">
        <v>1830.18</v>
      </c>
      <c r="E3289" t="s">
        <v>30</v>
      </c>
    </row>
    <row r="3290" spans="2:13" x14ac:dyDescent="0.2">
      <c r="C3290" t="b">
        <v>0</v>
      </c>
      <c r="D3290">
        <v>1700.17</v>
      </c>
      <c r="E3290" t="s">
        <v>30</v>
      </c>
    </row>
    <row r="3291" spans="2:13" x14ac:dyDescent="0.2">
      <c r="C3291" t="b">
        <v>0</v>
      </c>
      <c r="D3291">
        <v>2010.23</v>
      </c>
      <c r="E3291" t="s">
        <v>30</v>
      </c>
    </row>
    <row r="3292" spans="2:13" x14ac:dyDescent="0.2">
      <c r="C3292" t="b">
        <v>0</v>
      </c>
      <c r="D3292">
        <v>1560.14</v>
      </c>
      <c r="E3292" t="s">
        <v>30</v>
      </c>
    </row>
    <row r="3293" spans="2:13" x14ac:dyDescent="0.2">
      <c r="C3293" t="b">
        <v>0</v>
      </c>
      <c r="D3293">
        <v>1270.0899999999999</v>
      </c>
      <c r="E3293" t="s">
        <v>30</v>
      </c>
    </row>
    <row r="3294" spans="2:13" x14ac:dyDescent="0.2">
      <c r="C3294" t="b">
        <v>0</v>
      </c>
      <c r="D3294">
        <v>1280.0999999999999</v>
      </c>
      <c r="E3294" t="s">
        <v>30</v>
      </c>
    </row>
    <row r="3295" spans="2:13" x14ac:dyDescent="0.2">
      <c r="B3295" t="s">
        <v>11</v>
      </c>
    </row>
    <row r="3296" spans="2:13" x14ac:dyDescent="0.2">
      <c r="B3296" t="s">
        <v>12</v>
      </c>
      <c r="C3296" t="s">
        <v>13</v>
      </c>
      <c r="D3296" t="s">
        <v>14</v>
      </c>
      <c r="E3296" t="s">
        <v>15</v>
      </c>
      <c r="F3296" t="s">
        <v>16</v>
      </c>
      <c r="G3296" t="s">
        <v>17</v>
      </c>
      <c r="H3296" t="s">
        <v>18</v>
      </c>
      <c r="I3296" t="s">
        <v>19</v>
      </c>
      <c r="J3296" t="s">
        <v>20</v>
      </c>
      <c r="K3296" t="s">
        <v>21</v>
      </c>
      <c r="L3296" t="s">
        <v>22</v>
      </c>
      <c r="M3296" t="s">
        <v>23</v>
      </c>
    </row>
    <row r="3297" spans="2:13" x14ac:dyDescent="0.2">
      <c r="B3297" t="s">
        <v>32</v>
      </c>
      <c r="C3297">
        <v>72</v>
      </c>
      <c r="E3297" t="s">
        <v>25</v>
      </c>
      <c r="F3297">
        <v>1412.98</v>
      </c>
      <c r="G3297">
        <v>11.8</v>
      </c>
      <c r="K3297">
        <v>0.1</v>
      </c>
      <c r="L3297">
        <v>7</v>
      </c>
    </row>
    <row r="3298" spans="2:13" x14ac:dyDescent="0.2">
      <c r="C3298" t="s">
        <v>27</v>
      </c>
    </row>
    <row r="3299" spans="2:13" x14ac:dyDescent="0.2">
      <c r="C3299" t="s">
        <v>28</v>
      </c>
      <c r="D3299" t="s">
        <v>16</v>
      </c>
      <c r="E3299" t="s">
        <v>29</v>
      </c>
      <c r="F3299" t="s">
        <v>18</v>
      </c>
    </row>
    <row r="3300" spans="2:13" x14ac:dyDescent="0.2">
      <c r="C3300" t="b">
        <v>0</v>
      </c>
      <c r="D3300">
        <v>1440.12</v>
      </c>
      <c r="E3300" t="s">
        <v>30</v>
      </c>
    </row>
    <row r="3301" spans="2:13" x14ac:dyDescent="0.2">
      <c r="C3301" t="b">
        <v>0</v>
      </c>
      <c r="D3301">
        <v>1410.13</v>
      </c>
      <c r="E3301" t="s">
        <v>30</v>
      </c>
    </row>
    <row r="3302" spans="2:13" x14ac:dyDescent="0.2">
      <c r="C3302" t="b">
        <v>0</v>
      </c>
      <c r="D3302">
        <v>1530.14</v>
      </c>
      <c r="E3302" t="s">
        <v>30</v>
      </c>
    </row>
    <row r="3303" spans="2:13" x14ac:dyDescent="0.2">
      <c r="C3303" t="b">
        <v>0</v>
      </c>
      <c r="D3303">
        <v>1520.13</v>
      </c>
      <c r="E3303" t="s">
        <v>30</v>
      </c>
    </row>
    <row r="3304" spans="2:13" x14ac:dyDescent="0.2">
      <c r="C3304" t="b">
        <v>0</v>
      </c>
      <c r="D3304">
        <v>1570.17</v>
      </c>
      <c r="E3304" t="s">
        <v>30</v>
      </c>
    </row>
    <row r="3305" spans="2:13" x14ac:dyDescent="0.2">
      <c r="C3305" t="b">
        <v>0</v>
      </c>
      <c r="D3305">
        <v>1340.11</v>
      </c>
      <c r="E3305" t="s">
        <v>30</v>
      </c>
    </row>
    <row r="3306" spans="2:13" x14ac:dyDescent="0.2">
      <c r="C3306" t="b">
        <v>0</v>
      </c>
      <c r="D3306">
        <v>1080.0899999999999</v>
      </c>
      <c r="E3306" t="s">
        <v>30</v>
      </c>
    </row>
    <row r="3307" spans="2:13" x14ac:dyDescent="0.2">
      <c r="B3307" t="s">
        <v>11</v>
      </c>
    </row>
    <row r="3308" spans="2:13" x14ac:dyDescent="0.2">
      <c r="B3308" t="s">
        <v>12</v>
      </c>
      <c r="C3308" t="s">
        <v>13</v>
      </c>
      <c r="D3308" t="s">
        <v>14</v>
      </c>
      <c r="E3308" t="s">
        <v>15</v>
      </c>
      <c r="F3308" t="s">
        <v>16</v>
      </c>
      <c r="G3308" t="s">
        <v>17</v>
      </c>
      <c r="H3308" t="s">
        <v>18</v>
      </c>
      <c r="I3308" t="s">
        <v>19</v>
      </c>
      <c r="J3308" t="s">
        <v>20</v>
      </c>
      <c r="K3308" t="s">
        <v>21</v>
      </c>
      <c r="L3308" t="s">
        <v>22</v>
      </c>
      <c r="M3308" t="s">
        <v>23</v>
      </c>
    </row>
    <row r="3309" spans="2:13" x14ac:dyDescent="0.2">
      <c r="B3309" t="s">
        <v>33</v>
      </c>
      <c r="C3309">
        <v>89</v>
      </c>
      <c r="E3309" t="s">
        <v>25</v>
      </c>
      <c r="F3309">
        <v>8987.6</v>
      </c>
      <c r="G3309">
        <v>17.100000000000001</v>
      </c>
      <c r="K3309">
        <v>0.1</v>
      </c>
      <c r="L3309">
        <v>7</v>
      </c>
    </row>
    <row r="3310" spans="2:13" x14ac:dyDescent="0.2">
      <c r="C3310" t="s">
        <v>27</v>
      </c>
    </row>
    <row r="3311" spans="2:13" x14ac:dyDescent="0.2">
      <c r="C3311" t="s">
        <v>28</v>
      </c>
      <c r="D3311" t="s">
        <v>16</v>
      </c>
      <c r="E3311" t="s">
        <v>29</v>
      </c>
      <c r="F3311" t="s">
        <v>18</v>
      </c>
    </row>
    <row r="3312" spans="2:13" x14ac:dyDescent="0.2">
      <c r="C3312" t="b">
        <v>0</v>
      </c>
      <c r="D3312">
        <v>9283.43</v>
      </c>
      <c r="E3312" t="s">
        <v>30</v>
      </c>
    </row>
    <row r="3313" spans="1:13" x14ac:dyDescent="0.2">
      <c r="C3313" t="b">
        <v>0</v>
      </c>
      <c r="D3313">
        <v>9603.69</v>
      </c>
      <c r="E3313" t="s">
        <v>30</v>
      </c>
    </row>
    <row r="3314" spans="1:13" x14ac:dyDescent="0.2">
      <c r="C3314" t="b">
        <v>0</v>
      </c>
      <c r="D3314">
        <v>10053.98</v>
      </c>
      <c r="E3314" t="s">
        <v>30</v>
      </c>
    </row>
    <row r="3315" spans="1:13" x14ac:dyDescent="0.2">
      <c r="C3315" t="b">
        <v>0</v>
      </c>
      <c r="D3315">
        <v>9763.7800000000007</v>
      </c>
      <c r="E3315" t="s">
        <v>30</v>
      </c>
    </row>
    <row r="3316" spans="1:13" x14ac:dyDescent="0.2">
      <c r="C3316" t="b">
        <v>0</v>
      </c>
      <c r="D3316">
        <v>10054.01</v>
      </c>
      <c r="E3316" t="s">
        <v>30</v>
      </c>
    </row>
    <row r="3317" spans="1:13" x14ac:dyDescent="0.2">
      <c r="C3317" t="b">
        <v>0</v>
      </c>
      <c r="D3317">
        <v>8412.9</v>
      </c>
      <c r="E3317" t="s">
        <v>30</v>
      </c>
    </row>
    <row r="3318" spans="1:13" x14ac:dyDescent="0.2">
      <c r="C3318" t="b">
        <v>0</v>
      </c>
      <c r="D3318">
        <v>5741.42</v>
      </c>
      <c r="E3318" t="s">
        <v>30</v>
      </c>
    </row>
    <row r="3319" spans="1:13" x14ac:dyDescent="0.2">
      <c r="A3319" t="s">
        <v>0</v>
      </c>
    </row>
    <row r="3320" spans="1:13" x14ac:dyDescent="0.2">
      <c r="B3320" t="s">
        <v>1</v>
      </c>
      <c r="C3320" t="s">
        <v>2</v>
      </c>
      <c r="D3320" t="s">
        <v>3</v>
      </c>
      <c r="E3320" t="s">
        <v>4</v>
      </c>
      <c r="F3320" t="s">
        <v>5</v>
      </c>
      <c r="G3320" t="s">
        <v>6</v>
      </c>
    </row>
    <row r="3321" spans="1:13" x14ac:dyDescent="0.2">
      <c r="B3321" t="b">
        <v>0</v>
      </c>
      <c r="C3321" t="s">
        <v>38</v>
      </c>
      <c r="D3321" t="s">
        <v>302</v>
      </c>
      <c r="E3321" t="s">
        <v>9</v>
      </c>
      <c r="G3321" t="s">
        <v>10</v>
      </c>
    </row>
    <row r="3322" spans="1:13" x14ac:dyDescent="0.2">
      <c r="B3322" t="s">
        <v>11</v>
      </c>
    </row>
    <row r="3323" spans="1:13" x14ac:dyDescent="0.2">
      <c r="B3323" t="s">
        <v>12</v>
      </c>
      <c r="C3323" t="s">
        <v>13</v>
      </c>
      <c r="D3323" t="s">
        <v>14</v>
      </c>
      <c r="E3323" t="s">
        <v>15</v>
      </c>
      <c r="F3323" t="s">
        <v>16</v>
      </c>
      <c r="G3323" t="s">
        <v>17</v>
      </c>
      <c r="H3323" t="s">
        <v>18</v>
      </c>
      <c r="I3323" t="s">
        <v>19</v>
      </c>
      <c r="J3323" t="s">
        <v>20</v>
      </c>
      <c r="K3323" t="s">
        <v>21</v>
      </c>
      <c r="L3323" t="s">
        <v>22</v>
      </c>
      <c r="M3323" t="s">
        <v>23</v>
      </c>
    </row>
    <row r="3324" spans="1:13" x14ac:dyDescent="0.2">
      <c r="B3324" t="s">
        <v>24</v>
      </c>
      <c r="C3324">
        <v>59</v>
      </c>
      <c r="E3324" t="s">
        <v>25</v>
      </c>
      <c r="F3324">
        <v>47.14</v>
      </c>
      <c r="G3324">
        <v>45.4</v>
      </c>
      <c r="I3324" t="s">
        <v>26</v>
      </c>
      <c r="K3324">
        <v>0.1</v>
      </c>
      <c r="L3324">
        <v>7</v>
      </c>
    </row>
    <row r="3325" spans="1:13" x14ac:dyDescent="0.2">
      <c r="C3325" t="s">
        <v>27</v>
      </c>
    </row>
    <row r="3326" spans="1:13" x14ac:dyDescent="0.2">
      <c r="C3326" t="s">
        <v>28</v>
      </c>
      <c r="D3326" t="s">
        <v>16</v>
      </c>
      <c r="E3326" t="s">
        <v>29</v>
      </c>
      <c r="F3326" t="s">
        <v>18</v>
      </c>
    </row>
    <row r="3327" spans="1:13" x14ac:dyDescent="0.2">
      <c r="C3327" t="b">
        <v>0</v>
      </c>
      <c r="D3327">
        <v>80</v>
      </c>
      <c r="E3327" t="s">
        <v>30</v>
      </c>
    </row>
    <row r="3328" spans="1:13" x14ac:dyDescent="0.2">
      <c r="C3328" t="b">
        <v>0</v>
      </c>
      <c r="D3328">
        <v>70</v>
      </c>
      <c r="E3328" t="s">
        <v>30</v>
      </c>
    </row>
    <row r="3329" spans="2:13" x14ac:dyDescent="0.2">
      <c r="C3329" t="b">
        <v>0</v>
      </c>
      <c r="D3329">
        <v>30</v>
      </c>
      <c r="E3329" t="s">
        <v>30</v>
      </c>
    </row>
    <row r="3330" spans="2:13" x14ac:dyDescent="0.2">
      <c r="C3330" t="b">
        <v>0</v>
      </c>
      <c r="D3330">
        <v>40</v>
      </c>
      <c r="E3330" t="s">
        <v>30</v>
      </c>
    </row>
    <row r="3331" spans="2:13" x14ac:dyDescent="0.2">
      <c r="C3331" t="b">
        <v>0</v>
      </c>
      <c r="D3331">
        <v>50</v>
      </c>
      <c r="E3331" t="s">
        <v>30</v>
      </c>
    </row>
    <row r="3332" spans="2:13" x14ac:dyDescent="0.2">
      <c r="C3332" t="b">
        <v>0</v>
      </c>
      <c r="D3332">
        <v>40</v>
      </c>
      <c r="E3332" t="s">
        <v>30</v>
      </c>
    </row>
    <row r="3333" spans="2:13" x14ac:dyDescent="0.2">
      <c r="C3333" t="b">
        <v>0</v>
      </c>
      <c r="D3333">
        <v>20</v>
      </c>
      <c r="E3333" t="s">
        <v>30</v>
      </c>
    </row>
    <row r="3334" spans="2:13" x14ac:dyDescent="0.2">
      <c r="B3334" t="s">
        <v>11</v>
      </c>
    </row>
    <row r="3335" spans="2:13" x14ac:dyDescent="0.2">
      <c r="B3335" t="s">
        <v>12</v>
      </c>
      <c r="C3335" t="s">
        <v>13</v>
      </c>
      <c r="D3335" t="s">
        <v>14</v>
      </c>
      <c r="E3335" t="s">
        <v>15</v>
      </c>
      <c r="F3335" t="s">
        <v>16</v>
      </c>
      <c r="G3335" t="s">
        <v>17</v>
      </c>
      <c r="H3335" t="s">
        <v>18</v>
      </c>
      <c r="I3335" t="s">
        <v>19</v>
      </c>
      <c r="J3335" t="s">
        <v>20</v>
      </c>
      <c r="K3335" t="s">
        <v>21</v>
      </c>
      <c r="L3335" t="s">
        <v>22</v>
      </c>
      <c r="M3335" t="s">
        <v>23</v>
      </c>
    </row>
    <row r="3336" spans="2:13" x14ac:dyDescent="0.2">
      <c r="B3336" t="s">
        <v>31</v>
      </c>
      <c r="C3336">
        <v>45</v>
      </c>
      <c r="E3336" t="s">
        <v>25</v>
      </c>
      <c r="F3336">
        <v>1404.41</v>
      </c>
      <c r="G3336">
        <v>10.3</v>
      </c>
      <c r="K3336">
        <v>0.1</v>
      </c>
      <c r="L3336">
        <v>7</v>
      </c>
    </row>
    <row r="3337" spans="2:13" x14ac:dyDescent="0.2">
      <c r="C3337" t="s">
        <v>27</v>
      </c>
    </row>
    <row r="3338" spans="2:13" x14ac:dyDescent="0.2">
      <c r="C3338" t="s">
        <v>28</v>
      </c>
      <c r="D3338" t="s">
        <v>16</v>
      </c>
      <c r="E3338" t="s">
        <v>29</v>
      </c>
      <c r="F3338" t="s">
        <v>18</v>
      </c>
    </row>
    <row r="3339" spans="2:13" x14ac:dyDescent="0.2">
      <c r="C3339" t="b">
        <v>0</v>
      </c>
      <c r="D3339">
        <v>1430.12</v>
      </c>
      <c r="E3339" t="s">
        <v>30</v>
      </c>
    </row>
    <row r="3340" spans="2:13" x14ac:dyDescent="0.2">
      <c r="C3340" t="b">
        <v>0</v>
      </c>
      <c r="D3340">
        <v>1170.08</v>
      </c>
      <c r="E3340" t="s">
        <v>30</v>
      </c>
    </row>
    <row r="3341" spans="2:13" x14ac:dyDescent="0.2">
      <c r="C3341" t="b">
        <v>0</v>
      </c>
      <c r="D3341">
        <v>1280.1199999999999</v>
      </c>
      <c r="E3341" t="s">
        <v>30</v>
      </c>
    </row>
    <row r="3342" spans="2:13" x14ac:dyDescent="0.2">
      <c r="C3342" t="b">
        <v>0</v>
      </c>
      <c r="D3342">
        <v>1600.14</v>
      </c>
      <c r="E3342" t="s">
        <v>30</v>
      </c>
    </row>
    <row r="3343" spans="2:13" x14ac:dyDescent="0.2">
      <c r="C3343" t="b">
        <v>0</v>
      </c>
      <c r="D3343">
        <v>1400.13</v>
      </c>
      <c r="E3343" t="s">
        <v>30</v>
      </c>
    </row>
    <row r="3344" spans="2:13" x14ac:dyDescent="0.2">
      <c r="C3344" t="b">
        <v>0</v>
      </c>
      <c r="D3344">
        <v>1420.13</v>
      </c>
      <c r="E3344" t="s">
        <v>30</v>
      </c>
    </row>
    <row r="3345" spans="2:13" x14ac:dyDescent="0.2">
      <c r="C3345" t="b">
        <v>0</v>
      </c>
      <c r="D3345">
        <v>1530.13</v>
      </c>
      <c r="E3345" t="s">
        <v>30</v>
      </c>
    </row>
    <row r="3346" spans="2:13" x14ac:dyDescent="0.2">
      <c r="B3346" t="s">
        <v>11</v>
      </c>
    </row>
    <row r="3347" spans="2:13" x14ac:dyDescent="0.2">
      <c r="B3347" t="s">
        <v>12</v>
      </c>
      <c r="C3347" t="s">
        <v>13</v>
      </c>
      <c r="D3347" t="s">
        <v>14</v>
      </c>
      <c r="E3347" t="s">
        <v>15</v>
      </c>
      <c r="F3347" t="s">
        <v>16</v>
      </c>
      <c r="G3347" t="s">
        <v>17</v>
      </c>
      <c r="H3347" t="s">
        <v>18</v>
      </c>
      <c r="I3347" t="s">
        <v>19</v>
      </c>
      <c r="J3347" t="s">
        <v>20</v>
      </c>
      <c r="K3347" t="s">
        <v>21</v>
      </c>
      <c r="L3347" t="s">
        <v>22</v>
      </c>
      <c r="M3347" t="s">
        <v>23</v>
      </c>
    </row>
    <row r="3348" spans="2:13" x14ac:dyDescent="0.2">
      <c r="B3348" t="s">
        <v>32</v>
      </c>
      <c r="C3348">
        <v>72</v>
      </c>
      <c r="E3348" t="s">
        <v>25</v>
      </c>
      <c r="F3348">
        <v>1351.54</v>
      </c>
      <c r="G3348">
        <v>9.4</v>
      </c>
      <c r="K3348">
        <v>0.1</v>
      </c>
      <c r="L3348">
        <v>7</v>
      </c>
    </row>
    <row r="3349" spans="2:13" x14ac:dyDescent="0.2">
      <c r="C3349" t="s">
        <v>27</v>
      </c>
    </row>
    <row r="3350" spans="2:13" x14ac:dyDescent="0.2">
      <c r="C3350" t="s">
        <v>28</v>
      </c>
      <c r="D3350" t="s">
        <v>16</v>
      </c>
      <c r="E3350" t="s">
        <v>29</v>
      </c>
      <c r="F3350" t="s">
        <v>18</v>
      </c>
    </row>
    <row r="3351" spans="2:13" x14ac:dyDescent="0.2">
      <c r="C3351" t="b">
        <v>0</v>
      </c>
      <c r="D3351">
        <v>1340.11</v>
      </c>
      <c r="E3351" t="s">
        <v>30</v>
      </c>
    </row>
    <row r="3352" spans="2:13" x14ac:dyDescent="0.2">
      <c r="C3352" t="b">
        <v>0</v>
      </c>
      <c r="D3352">
        <v>1320.11</v>
      </c>
      <c r="E3352" t="s">
        <v>30</v>
      </c>
    </row>
    <row r="3353" spans="2:13" x14ac:dyDescent="0.2">
      <c r="C3353" t="b">
        <v>0</v>
      </c>
      <c r="D3353">
        <v>1320.12</v>
      </c>
      <c r="E3353" t="s">
        <v>30</v>
      </c>
    </row>
    <row r="3354" spans="2:13" x14ac:dyDescent="0.2">
      <c r="C3354" t="b">
        <v>0</v>
      </c>
      <c r="D3354">
        <v>1630.15</v>
      </c>
      <c r="E3354" t="s">
        <v>30</v>
      </c>
    </row>
    <row r="3355" spans="2:13" x14ac:dyDescent="0.2">
      <c r="C3355" t="b">
        <v>0</v>
      </c>
      <c r="D3355">
        <v>1280.1099999999999</v>
      </c>
      <c r="E3355" t="s">
        <v>30</v>
      </c>
    </row>
    <row r="3356" spans="2:13" x14ac:dyDescent="0.2">
      <c r="C3356" t="b">
        <v>0</v>
      </c>
      <c r="D3356">
        <v>1250.0899999999999</v>
      </c>
      <c r="E3356" t="s">
        <v>30</v>
      </c>
    </row>
    <row r="3357" spans="2:13" x14ac:dyDescent="0.2">
      <c r="C3357" t="b">
        <v>0</v>
      </c>
      <c r="D3357">
        <v>1320.1</v>
      </c>
      <c r="E3357" t="s">
        <v>30</v>
      </c>
    </row>
    <row r="3358" spans="2:13" x14ac:dyDescent="0.2">
      <c r="B3358" t="s">
        <v>11</v>
      </c>
    </row>
    <row r="3359" spans="2:13" x14ac:dyDescent="0.2">
      <c r="B3359" t="s">
        <v>12</v>
      </c>
      <c r="C3359" t="s">
        <v>13</v>
      </c>
      <c r="D3359" t="s">
        <v>14</v>
      </c>
      <c r="E3359" t="s">
        <v>15</v>
      </c>
      <c r="F3359" t="s">
        <v>16</v>
      </c>
      <c r="G3359" t="s">
        <v>17</v>
      </c>
      <c r="H3359" t="s">
        <v>18</v>
      </c>
      <c r="I3359" t="s">
        <v>19</v>
      </c>
      <c r="J3359" t="s">
        <v>20</v>
      </c>
      <c r="K3359" t="s">
        <v>21</v>
      </c>
      <c r="L3359" t="s">
        <v>22</v>
      </c>
      <c r="M3359" t="s">
        <v>23</v>
      </c>
    </row>
    <row r="3360" spans="2:13" x14ac:dyDescent="0.2">
      <c r="B3360" t="s">
        <v>33</v>
      </c>
      <c r="C3360">
        <v>89</v>
      </c>
      <c r="E3360" t="s">
        <v>25</v>
      </c>
      <c r="F3360">
        <v>7759.59</v>
      </c>
      <c r="G3360">
        <v>4</v>
      </c>
      <c r="K3360">
        <v>0.1</v>
      </c>
      <c r="L3360">
        <v>7</v>
      </c>
    </row>
    <row r="3361" spans="1:13" x14ac:dyDescent="0.2">
      <c r="C3361" t="s">
        <v>27</v>
      </c>
    </row>
    <row r="3362" spans="1:13" x14ac:dyDescent="0.2">
      <c r="C3362" t="s">
        <v>28</v>
      </c>
      <c r="D3362" t="s">
        <v>16</v>
      </c>
      <c r="E3362" t="s">
        <v>29</v>
      </c>
      <c r="F3362" t="s">
        <v>18</v>
      </c>
    </row>
    <row r="3363" spans="1:13" x14ac:dyDescent="0.2">
      <c r="C3363" t="b">
        <v>0</v>
      </c>
      <c r="D3363">
        <v>7432.18</v>
      </c>
      <c r="E3363" t="s">
        <v>30</v>
      </c>
    </row>
    <row r="3364" spans="1:13" x14ac:dyDescent="0.2">
      <c r="C3364" t="b">
        <v>0</v>
      </c>
      <c r="D3364">
        <v>7582.29</v>
      </c>
      <c r="E3364" t="s">
        <v>30</v>
      </c>
    </row>
    <row r="3365" spans="1:13" x14ac:dyDescent="0.2">
      <c r="C3365" t="b">
        <v>0</v>
      </c>
      <c r="D3365">
        <v>7402.26</v>
      </c>
      <c r="E3365" t="s">
        <v>30</v>
      </c>
    </row>
    <row r="3366" spans="1:13" x14ac:dyDescent="0.2">
      <c r="C3366" t="b">
        <v>0</v>
      </c>
      <c r="D3366">
        <v>7962.59</v>
      </c>
      <c r="E3366" t="s">
        <v>30</v>
      </c>
    </row>
    <row r="3367" spans="1:13" x14ac:dyDescent="0.2">
      <c r="C3367" t="b">
        <v>0</v>
      </c>
      <c r="D3367">
        <v>7912.6</v>
      </c>
      <c r="E3367" t="s">
        <v>30</v>
      </c>
    </row>
    <row r="3368" spans="1:13" x14ac:dyDescent="0.2">
      <c r="C3368" t="b">
        <v>0</v>
      </c>
      <c r="D3368">
        <v>8252.74</v>
      </c>
      <c r="E3368" t="s">
        <v>30</v>
      </c>
    </row>
    <row r="3369" spans="1:13" x14ac:dyDescent="0.2">
      <c r="C3369" t="b">
        <v>0</v>
      </c>
      <c r="D3369">
        <v>7772.47</v>
      </c>
      <c r="E3369" t="s">
        <v>30</v>
      </c>
    </row>
    <row r="3370" spans="1:13" x14ac:dyDescent="0.2">
      <c r="A3370" t="s">
        <v>0</v>
      </c>
    </row>
    <row r="3371" spans="1:13" x14ac:dyDescent="0.2">
      <c r="B3371" t="s">
        <v>1</v>
      </c>
      <c r="C3371" t="s">
        <v>2</v>
      </c>
      <c r="D3371" t="s">
        <v>3</v>
      </c>
      <c r="E3371" t="s">
        <v>4</v>
      </c>
      <c r="F3371" t="s">
        <v>5</v>
      </c>
      <c r="G3371" t="s">
        <v>6</v>
      </c>
    </row>
    <row r="3372" spans="1:13" x14ac:dyDescent="0.2">
      <c r="B3372" t="b">
        <v>0</v>
      </c>
      <c r="C3372" t="s">
        <v>40</v>
      </c>
      <c r="D3372" t="s">
        <v>303</v>
      </c>
      <c r="E3372" t="s">
        <v>9</v>
      </c>
      <c r="G3372" t="s">
        <v>10</v>
      </c>
    </row>
    <row r="3373" spans="1:13" x14ac:dyDescent="0.2">
      <c r="B3373" t="s">
        <v>11</v>
      </c>
    </row>
    <row r="3374" spans="1:13" x14ac:dyDescent="0.2">
      <c r="B3374" t="s">
        <v>12</v>
      </c>
      <c r="C3374" t="s">
        <v>13</v>
      </c>
      <c r="D3374" t="s">
        <v>14</v>
      </c>
      <c r="E3374" t="s">
        <v>15</v>
      </c>
      <c r="F3374" t="s">
        <v>16</v>
      </c>
      <c r="G3374" t="s">
        <v>17</v>
      </c>
      <c r="H3374" t="s">
        <v>18</v>
      </c>
      <c r="I3374" t="s">
        <v>19</v>
      </c>
      <c r="J3374" t="s">
        <v>20</v>
      </c>
      <c r="K3374" t="s">
        <v>21</v>
      </c>
      <c r="L3374" t="s">
        <v>22</v>
      </c>
      <c r="M3374" t="s">
        <v>23</v>
      </c>
    </row>
    <row r="3375" spans="1:13" x14ac:dyDescent="0.2">
      <c r="B3375" t="s">
        <v>24</v>
      </c>
      <c r="C3375">
        <v>59</v>
      </c>
      <c r="E3375" t="s">
        <v>25</v>
      </c>
      <c r="F3375">
        <v>47.14</v>
      </c>
      <c r="G3375">
        <v>36.200000000000003</v>
      </c>
      <c r="I3375" t="s">
        <v>26</v>
      </c>
      <c r="K3375">
        <v>0.1</v>
      </c>
      <c r="L3375">
        <v>7</v>
      </c>
    </row>
    <row r="3376" spans="1:13" x14ac:dyDescent="0.2">
      <c r="C3376" t="s">
        <v>27</v>
      </c>
    </row>
    <row r="3377" spans="2:13" x14ac:dyDescent="0.2">
      <c r="C3377" t="s">
        <v>28</v>
      </c>
      <c r="D3377" t="s">
        <v>16</v>
      </c>
      <c r="E3377" t="s">
        <v>29</v>
      </c>
      <c r="F3377" t="s">
        <v>18</v>
      </c>
    </row>
    <row r="3378" spans="2:13" x14ac:dyDescent="0.2">
      <c r="C3378" t="b">
        <v>0</v>
      </c>
      <c r="D3378">
        <v>60</v>
      </c>
      <c r="E3378" t="s">
        <v>30</v>
      </c>
    </row>
    <row r="3379" spans="2:13" x14ac:dyDescent="0.2">
      <c r="C3379" t="b">
        <v>0</v>
      </c>
      <c r="D3379">
        <v>60</v>
      </c>
      <c r="E3379" t="s">
        <v>30</v>
      </c>
    </row>
    <row r="3380" spans="2:13" x14ac:dyDescent="0.2">
      <c r="C3380" t="b">
        <v>0</v>
      </c>
      <c r="D3380">
        <v>30</v>
      </c>
      <c r="E3380" t="s">
        <v>30</v>
      </c>
    </row>
    <row r="3381" spans="2:13" x14ac:dyDescent="0.2">
      <c r="C3381" t="b">
        <v>0</v>
      </c>
      <c r="D3381">
        <v>60</v>
      </c>
      <c r="E3381" t="s">
        <v>30</v>
      </c>
    </row>
    <row r="3382" spans="2:13" x14ac:dyDescent="0.2">
      <c r="C3382" t="b">
        <v>0</v>
      </c>
      <c r="D3382">
        <v>20</v>
      </c>
      <c r="E3382" t="s">
        <v>30</v>
      </c>
    </row>
    <row r="3383" spans="2:13" x14ac:dyDescent="0.2">
      <c r="C3383" t="b">
        <v>0</v>
      </c>
      <c r="D3383">
        <v>60</v>
      </c>
      <c r="E3383" t="s">
        <v>30</v>
      </c>
    </row>
    <row r="3384" spans="2:13" x14ac:dyDescent="0.2">
      <c r="C3384" t="b">
        <v>0</v>
      </c>
      <c r="D3384">
        <v>40</v>
      </c>
      <c r="E3384" t="s">
        <v>30</v>
      </c>
    </row>
    <row r="3385" spans="2:13" x14ac:dyDescent="0.2">
      <c r="B3385" t="s">
        <v>11</v>
      </c>
    </row>
    <row r="3386" spans="2:13" x14ac:dyDescent="0.2">
      <c r="B3386" t="s">
        <v>12</v>
      </c>
      <c r="C3386" t="s">
        <v>13</v>
      </c>
      <c r="D3386" t="s">
        <v>14</v>
      </c>
      <c r="E3386" t="s">
        <v>15</v>
      </c>
      <c r="F3386" t="s">
        <v>16</v>
      </c>
      <c r="G3386" t="s">
        <v>17</v>
      </c>
      <c r="H3386" t="s">
        <v>18</v>
      </c>
      <c r="I3386" t="s">
        <v>19</v>
      </c>
      <c r="J3386" t="s">
        <v>20</v>
      </c>
      <c r="K3386" t="s">
        <v>21</v>
      </c>
      <c r="L3386" t="s">
        <v>22</v>
      </c>
      <c r="M3386" t="s">
        <v>23</v>
      </c>
    </row>
    <row r="3387" spans="2:13" x14ac:dyDescent="0.2">
      <c r="B3387" t="s">
        <v>31</v>
      </c>
      <c r="C3387">
        <v>45</v>
      </c>
      <c r="E3387" t="s">
        <v>25</v>
      </c>
      <c r="F3387">
        <v>1375.83</v>
      </c>
      <c r="G3387">
        <v>11.6</v>
      </c>
      <c r="K3387">
        <v>0.1</v>
      </c>
      <c r="L3387">
        <v>7</v>
      </c>
    </row>
    <row r="3388" spans="2:13" x14ac:dyDescent="0.2">
      <c r="C3388" t="s">
        <v>27</v>
      </c>
    </row>
    <row r="3389" spans="2:13" x14ac:dyDescent="0.2">
      <c r="C3389" t="s">
        <v>28</v>
      </c>
      <c r="D3389" t="s">
        <v>16</v>
      </c>
      <c r="E3389" t="s">
        <v>29</v>
      </c>
      <c r="F3389" t="s">
        <v>18</v>
      </c>
    </row>
    <row r="3390" spans="2:13" x14ac:dyDescent="0.2">
      <c r="C3390" t="b">
        <v>0</v>
      </c>
      <c r="D3390">
        <v>1400.12</v>
      </c>
      <c r="E3390" t="s">
        <v>30</v>
      </c>
    </row>
    <row r="3391" spans="2:13" x14ac:dyDescent="0.2">
      <c r="C3391" t="b">
        <v>0</v>
      </c>
      <c r="D3391">
        <v>1080.08</v>
      </c>
      <c r="E3391" t="s">
        <v>30</v>
      </c>
    </row>
    <row r="3392" spans="2:13" x14ac:dyDescent="0.2">
      <c r="C3392" t="b">
        <v>0</v>
      </c>
      <c r="D3392">
        <v>1330.1</v>
      </c>
      <c r="E3392" t="s">
        <v>30</v>
      </c>
    </row>
    <row r="3393" spans="2:13" x14ac:dyDescent="0.2">
      <c r="C3393" t="b">
        <v>0</v>
      </c>
      <c r="D3393">
        <v>1420.12</v>
      </c>
      <c r="E3393" t="s">
        <v>30</v>
      </c>
    </row>
    <row r="3394" spans="2:13" x14ac:dyDescent="0.2">
      <c r="C3394" t="b">
        <v>0</v>
      </c>
      <c r="D3394">
        <v>1330.11</v>
      </c>
      <c r="E3394" t="s">
        <v>30</v>
      </c>
    </row>
    <row r="3395" spans="2:13" x14ac:dyDescent="0.2">
      <c r="C3395" t="b">
        <v>0</v>
      </c>
      <c r="D3395">
        <v>1470.12</v>
      </c>
      <c r="E3395" t="s">
        <v>30</v>
      </c>
    </row>
    <row r="3396" spans="2:13" x14ac:dyDescent="0.2">
      <c r="C3396" t="b">
        <v>0</v>
      </c>
      <c r="D3396">
        <v>1600.14</v>
      </c>
      <c r="E3396" t="s">
        <v>30</v>
      </c>
    </row>
    <row r="3397" spans="2:13" x14ac:dyDescent="0.2">
      <c r="B3397" t="s">
        <v>11</v>
      </c>
    </row>
    <row r="3398" spans="2:13" x14ac:dyDescent="0.2">
      <c r="B3398" t="s">
        <v>12</v>
      </c>
      <c r="C3398" t="s">
        <v>13</v>
      </c>
      <c r="D3398" t="s">
        <v>14</v>
      </c>
      <c r="E3398" t="s">
        <v>15</v>
      </c>
      <c r="F3398" t="s">
        <v>16</v>
      </c>
      <c r="G3398" t="s">
        <v>17</v>
      </c>
      <c r="H3398" t="s">
        <v>18</v>
      </c>
      <c r="I3398" t="s">
        <v>19</v>
      </c>
      <c r="J3398" t="s">
        <v>20</v>
      </c>
      <c r="K3398" t="s">
        <v>21</v>
      </c>
      <c r="L3398" t="s">
        <v>22</v>
      </c>
      <c r="M3398" t="s">
        <v>23</v>
      </c>
    </row>
    <row r="3399" spans="2:13" x14ac:dyDescent="0.2">
      <c r="B3399" t="s">
        <v>32</v>
      </c>
      <c r="C3399">
        <v>72</v>
      </c>
      <c r="E3399" t="s">
        <v>25</v>
      </c>
      <c r="F3399">
        <v>1402.98</v>
      </c>
      <c r="G3399">
        <v>10.199999999999999</v>
      </c>
      <c r="K3399">
        <v>0.1</v>
      </c>
      <c r="L3399">
        <v>7</v>
      </c>
    </row>
    <row r="3400" spans="2:13" x14ac:dyDescent="0.2">
      <c r="C3400" t="s">
        <v>27</v>
      </c>
    </row>
    <row r="3401" spans="2:13" x14ac:dyDescent="0.2">
      <c r="C3401" t="s">
        <v>28</v>
      </c>
      <c r="D3401" t="s">
        <v>16</v>
      </c>
      <c r="E3401" t="s">
        <v>29</v>
      </c>
      <c r="F3401" t="s">
        <v>18</v>
      </c>
    </row>
    <row r="3402" spans="2:13" x14ac:dyDescent="0.2">
      <c r="C3402" t="b">
        <v>0</v>
      </c>
      <c r="D3402">
        <v>1640.15</v>
      </c>
      <c r="E3402" t="s">
        <v>30</v>
      </c>
    </row>
    <row r="3403" spans="2:13" x14ac:dyDescent="0.2">
      <c r="C3403" t="b">
        <v>0</v>
      </c>
      <c r="D3403">
        <v>1350.12</v>
      </c>
      <c r="E3403" t="s">
        <v>30</v>
      </c>
    </row>
    <row r="3404" spans="2:13" x14ac:dyDescent="0.2">
      <c r="C3404" t="b">
        <v>0</v>
      </c>
      <c r="D3404">
        <v>1420.13</v>
      </c>
      <c r="E3404" t="s">
        <v>30</v>
      </c>
    </row>
    <row r="3405" spans="2:13" x14ac:dyDescent="0.2">
      <c r="C3405" t="b">
        <v>0</v>
      </c>
      <c r="D3405">
        <v>1380.11</v>
      </c>
      <c r="E3405" t="s">
        <v>30</v>
      </c>
    </row>
    <row r="3406" spans="2:13" x14ac:dyDescent="0.2">
      <c r="C3406" t="b">
        <v>0</v>
      </c>
      <c r="D3406">
        <v>1230.0899999999999</v>
      </c>
      <c r="E3406" t="s">
        <v>30</v>
      </c>
    </row>
    <row r="3407" spans="2:13" x14ac:dyDescent="0.2">
      <c r="C3407" t="b">
        <v>0</v>
      </c>
      <c r="D3407">
        <v>1530.14</v>
      </c>
      <c r="E3407" t="s">
        <v>30</v>
      </c>
    </row>
    <row r="3408" spans="2:13" x14ac:dyDescent="0.2">
      <c r="C3408" t="b">
        <v>0</v>
      </c>
      <c r="D3408">
        <v>1270.1099999999999</v>
      </c>
      <c r="E3408" t="s">
        <v>30</v>
      </c>
    </row>
    <row r="3409" spans="1:13" x14ac:dyDescent="0.2">
      <c r="B3409" t="s">
        <v>11</v>
      </c>
    </row>
    <row r="3410" spans="1:13" x14ac:dyDescent="0.2">
      <c r="B3410" t="s">
        <v>12</v>
      </c>
      <c r="C3410" t="s">
        <v>13</v>
      </c>
      <c r="D3410" t="s">
        <v>14</v>
      </c>
      <c r="E3410" t="s">
        <v>15</v>
      </c>
      <c r="F3410" t="s">
        <v>16</v>
      </c>
      <c r="G3410" t="s">
        <v>17</v>
      </c>
      <c r="H3410" t="s">
        <v>18</v>
      </c>
      <c r="I3410" t="s">
        <v>19</v>
      </c>
      <c r="J3410" t="s">
        <v>20</v>
      </c>
      <c r="K3410" t="s">
        <v>21</v>
      </c>
      <c r="L3410" t="s">
        <v>22</v>
      </c>
      <c r="M3410" t="s">
        <v>23</v>
      </c>
    </row>
    <row r="3411" spans="1:13" x14ac:dyDescent="0.2">
      <c r="B3411" t="s">
        <v>33</v>
      </c>
      <c r="C3411">
        <v>89</v>
      </c>
      <c r="E3411" t="s">
        <v>25</v>
      </c>
      <c r="F3411">
        <v>7969.7</v>
      </c>
      <c r="G3411">
        <v>3.4</v>
      </c>
      <c r="K3411">
        <v>0.1</v>
      </c>
      <c r="L3411">
        <v>7</v>
      </c>
    </row>
    <row r="3412" spans="1:13" x14ac:dyDescent="0.2">
      <c r="C3412" t="s">
        <v>27</v>
      </c>
    </row>
    <row r="3413" spans="1:13" x14ac:dyDescent="0.2">
      <c r="C3413" t="s">
        <v>28</v>
      </c>
      <c r="D3413" t="s">
        <v>16</v>
      </c>
      <c r="E3413" t="s">
        <v>29</v>
      </c>
      <c r="F3413" t="s">
        <v>18</v>
      </c>
    </row>
    <row r="3414" spans="1:13" x14ac:dyDescent="0.2">
      <c r="C3414" t="b">
        <v>0</v>
      </c>
      <c r="D3414">
        <v>7852.54</v>
      </c>
      <c r="E3414" t="s">
        <v>30</v>
      </c>
    </row>
    <row r="3415" spans="1:13" x14ac:dyDescent="0.2">
      <c r="C3415" t="b">
        <v>0</v>
      </c>
      <c r="D3415">
        <v>7752.34</v>
      </c>
      <c r="E3415" t="s">
        <v>30</v>
      </c>
    </row>
    <row r="3416" spans="1:13" x14ac:dyDescent="0.2">
      <c r="C3416" t="b">
        <v>0</v>
      </c>
      <c r="D3416">
        <v>7982.56</v>
      </c>
      <c r="E3416" t="s">
        <v>30</v>
      </c>
    </row>
    <row r="3417" spans="1:13" x14ac:dyDescent="0.2">
      <c r="C3417" t="b">
        <v>0</v>
      </c>
      <c r="D3417">
        <v>7902.54</v>
      </c>
      <c r="E3417" t="s">
        <v>30</v>
      </c>
    </row>
    <row r="3418" spans="1:13" x14ac:dyDescent="0.2">
      <c r="C3418" t="b">
        <v>0</v>
      </c>
      <c r="D3418">
        <v>8442.84</v>
      </c>
      <c r="E3418" t="s">
        <v>30</v>
      </c>
    </row>
    <row r="3419" spans="1:13" x14ac:dyDescent="0.2">
      <c r="C3419" t="b">
        <v>0</v>
      </c>
      <c r="D3419">
        <v>8202.69</v>
      </c>
      <c r="E3419" t="s">
        <v>30</v>
      </c>
    </row>
    <row r="3420" spans="1:13" x14ac:dyDescent="0.2">
      <c r="C3420" t="b">
        <v>0</v>
      </c>
      <c r="D3420">
        <v>7652.38</v>
      </c>
      <c r="E3420" t="s">
        <v>30</v>
      </c>
    </row>
    <row r="3421" spans="1:13" x14ac:dyDescent="0.2">
      <c r="A3421" t="s">
        <v>0</v>
      </c>
    </row>
    <row r="3422" spans="1:13" x14ac:dyDescent="0.2">
      <c r="B3422" t="s">
        <v>1</v>
      </c>
      <c r="C3422" t="s">
        <v>2</v>
      </c>
      <c r="D3422" t="s">
        <v>3</v>
      </c>
      <c r="E3422" t="s">
        <v>4</v>
      </c>
      <c r="F3422" t="s">
        <v>5</v>
      </c>
      <c r="G3422" t="s">
        <v>6</v>
      </c>
    </row>
    <row r="3423" spans="1:13" x14ac:dyDescent="0.2">
      <c r="B3423" t="b">
        <v>0</v>
      </c>
      <c r="C3423" t="s">
        <v>42</v>
      </c>
      <c r="D3423" t="s">
        <v>304</v>
      </c>
      <c r="E3423" t="s">
        <v>44</v>
      </c>
      <c r="F3423">
        <v>1</v>
      </c>
      <c r="G3423" t="s">
        <v>45</v>
      </c>
    </row>
    <row r="3424" spans="1:13" x14ac:dyDescent="0.2">
      <c r="B3424" t="s">
        <v>11</v>
      </c>
    </row>
    <row r="3425" spans="2:13" x14ac:dyDescent="0.2">
      <c r="B3425" t="s">
        <v>12</v>
      </c>
      <c r="C3425" t="s">
        <v>13</v>
      </c>
      <c r="D3425" t="s">
        <v>14</v>
      </c>
      <c r="E3425" t="s">
        <v>15</v>
      </c>
      <c r="F3425" t="s">
        <v>16</v>
      </c>
      <c r="G3425" t="s">
        <v>17</v>
      </c>
      <c r="H3425" t="s">
        <v>18</v>
      </c>
      <c r="I3425" t="s">
        <v>19</v>
      </c>
      <c r="J3425" t="s">
        <v>20</v>
      </c>
      <c r="K3425" t="s">
        <v>21</v>
      </c>
      <c r="L3425" t="s">
        <v>22</v>
      </c>
      <c r="M3425" t="s">
        <v>23</v>
      </c>
    </row>
    <row r="3426" spans="2:13" x14ac:dyDescent="0.2">
      <c r="B3426" t="s">
        <v>24</v>
      </c>
      <c r="C3426">
        <v>59</v>
      </c>
      <c r="E3426" t="s">
        <v>25</v>
      </c>
      <c r="F3426">
        <v>38.57</v>
      </c>
      <c r="G3426">
        <v>74</v>
      </c>
      <c r="H3426">
        <v>0</v>
      </c>
      <c r="I3426" t="s">
        <v>26</v>
      </c>
      <c r="J3426" t="s">
        <v>46</v>
      </c>
      <c r="K3426">
        <v>0.1</v>
      </c>
      <c r="L3426">
        <v>7</v>
      </c>
    </row>
    <row r="3427" spans="2:13" x14ac:dyDescent="0.2">
      <c r="C3427" t="s">
        <v>27</v>
      </c>
    </row>
    <row r="3428" spans="2:13" x14ac:dyDescent="0.2">
      <c r="C3428" t="s">
        <v>28</v>
      </c>
      <c r="D3428" t="s">
        <v>16</v>
      </c>
      <c r="E3428" t="s">
        <v>29</v>
      </c>
      <c r="F3428" t="s">
        <v>18</v>
      </c>
    </row>
    <row r="3429" spans="2:13" x14ac:dyDescent="0.2">
      <c r="C3429" t="b">
        <v>0</v>
      </c>
      <c r="D3429">
        <v>40</v>
      </c>
      <c r="E3429" t="s">
        <v>30</v>
      </c>
      <c r="F3429">
        <v>0</v>
      </c>
    </row>
    <row r="3430" spans="2:13" x14ac:dyDescent="0.2">
      <c r="C3430" t="b">
        <v>0</v>
      </c>
      <c r="D3430">
        <v>10</v>
      </c>
      <c r="E3430" t="s">
        <v>30</v>
      </c>
      <c r="F3430">
        <v>0</v>
      </c>
    </row>
    <row r="3431" spans="2:13" x14ac:dyDescent="0.2">
      <c r="C3431" t="b">
        <v>0</v>
      </c>
      <c r="D3431">
        <v>30</v>
      </c>
      <c r="E3431" t="s">
        <v>30</v>
      </c>
      <c r="F3431">
        <v>0</v>
      </c>
    </row>
    <row r="3432" spans="2:13" x14ac:dyDescent="0.2">
      <c r="C3432" t="b">
        <v>0</v>
      </c>
      <c r="D3432">
        <v>90</v>
      </c>
      <c r="E3432" t="s">
        <v>30</v>
      </c>
      <c r="F3432">
        <v>0</v>
      </c>
    </row>
    <row r="3433" spans="2:13" x14ac:dyDescent="0.2">
      <c r="C3433" t="b">
        <v>0</v>
      </c>
      <c r="D3433">
        <v>10</v>
      </c>
      <c r="E3433" t="s">
        <v>30</v>
      </c>
      <c r="F3433">
        <v>0</v>
      </c>
    </row>
    <row r="3434" spans="2:13" x14ac:dyDescent="0.2">
      <c r="C3434" t="b">
        <v>0</v>
      </c>
      <c r="D3434">
        <v>30</v>
      </c>
      <c r="E3434" t="s">
        <v>30</v>
      </c>
      <c r="F3434">
        <v>0</v>
      </c>
    </row>
    <row r="3435" spans="2:13" x14ac:dyDescent="0.2">
      <c r="C3435" t="b">
        <v>0</v>
      </c>
      <c r="D3435">
        <v>60</v>
      </c>
      <c r="E3435" t="s">
        <v>30</v>
      </c>
      <c r="F3435">
        <v>0</v>
      </c>
    </row>
    <row r="3436" spans="2:13" x14ac:dyDescent="0.2">
      <c r="B3436" t="s">
        <v>11</v>
      </c>
    </row>
    <row r="3437" spans="2:13" x14ac:dyDescent="0.2">
      <c r="B3437" t="s">
        <v>12</v>
      </c>
      <c r="C3437" t="s">
        <v>13</v>
      </c>
      <c r="D3437" t="s">
        <v>14</v>
      </c>
      <c r="E3437" t="s">
        <v>15</v>
      </c>
      <c r="F3437" t="s">
        <v>16</v>
      </c>
      <c r="G3437" t="s">
        <v>17</v>
      </c>
      <c r="H3437" t="s">
        <v>18</v>
      </c>
      <c r="I3437" t="s">
        <v>19</v>
      </c>
      <c r="J3437" t="s">
        <v>20</v>
      </c>
      <c r="K3437" t="s">
        <v>21</v>
      </c>
      <c r="L3437" t="s">
        <v>22</v>
      </c>
      <c r="M3437" t="s">
        <v>23</v>
      </c>
    </row>
    <row r="3438" spans="2:13" x14ac:dyDescent="0.2">
      <c r="B3438" t="s">
        <v>31</v>
      </c>
      <c r="C3438">
        <v>45</v>
      </c>
      <c r="E3438" t="s">
        <v>25</v>
      </c>
      <c r="F3438">
        <v>1297.25</v>
      </c>
      <c r="G3438">
        <v>11.7</v>
      </c>
      <c r="K3438">
        <v>0.1</v>
      </c>
      <c r="L3438">
        <v>7</v>
      </c>
      <c r="M3438">
        <v>100</v>
      </c>
    </row>
    <row r="3439" spans="2:13" x14ac:dyDescent="0.2">
      <c r="C3439" t="s">
        <v>27</v>
      </c>
    </row>
    <row r="3440" spans="2:13" x14ac:dyDescent="0.2">
      <c r="C3440" t="s">
        <v>28</v>
      </c>
      <c r="D3440" t="s">
        <v>16</v>
      </c>
      <c r="E3440" t="s">
        <v>29</v>
      </c>
      <c r="F3440" t="s">
        <v>18</v>
      </c>
    </row>
    <row r="3441" spans="2:13" x14ac:dyDescent="0.2">
      <c r="C3441" t="b">
        <v>0</v>
      </c>
      <c r="D3441">
        <v>1270.1099999999999</v>
      </c>
      <c r="E3441" t="s">
        <v>30</v>
      </c>
    </row>
    <row r="3442" spans="2:13" x14ac:dyDescent="0.2">
      <c r="C3442" t="b">
        <v>0</v>
      </c>
      <c r="D3442">
        <v>1090.08</v>
      </c>
      <c r="E3442" t="s">
        <v>30</v>
      </c>
    </row>
    <row r="3443" spans="2:13" x14ac:dyDescent="0.2">
      <c r="C3443" t="b">
        <v>0</v>
      </c>
      <c r="D3443">
        <v>1090.0899999999999</v>
      </c>
      <c r="E3443" t="s">
        <v>30</v>
      </c>
    </row>
    <row r="3444" spans="2:13" x14ac:dyDescent="0.2">
      <c r="C3444" t="b">
        <v>0</v>
      </c>
      <c r="D3444">
        <v>1390.12</v>
      </c>
      <c r="E3444" t="s">
        <v>30</v>
      </c>
    </row>
    <row r="3445" spans="2:13" x14ac:dyDescent="0.2">
      <c r="C3445" t="b">
        <v>0</v>
      </c>
      <c r="D3445">
        <v>1430.13</v>
      </c>
      <c r="E3445" t="s">
        <v>30</v>
      </c>
    </row>
    <row r="3446" spans="2:13" x14ac:dyDescent="0.2">
      <c r="C3446" t="b">
        <v>0</v>
      </c>
      <c r="D3446">
        <v>1440.12</v>
      </c>
      <c r="E3446" t="s">
        <v>30</v>
      </c>
    </row>
    <row r="3447" spans="2:13" x14ac:dyDescent="0.2">
      <c r="C3447" t="b">
        <v>0</v>
      </c>
      <c r="D3447">
        <v>1370.11</v>
      </c>
      <c r="E3447" t="s">
        <v>30</v>
      </c>
    </row>
    <row r="3448" spans="2:13" x14ac:dyDescent="0.2">
      <c r="B3448" t="s">
        <v>11</v>
      </c>
    </row>
    <row r="3449" spans="2:13" x14ac:dyDescent="0.2">
      <c r="B3449" t="s">
        <v>12</v>
      </c>
      <c r="C3449" t="s">
        <v>13</v>
      </c>
      <c r="D3449" t="s">
        <v>14</v>
      </c>
      <c r="E3449" t="s">
        <v>15</v>
      </c>
      <c r="F3449" t="s">
        <v>16</v>
      </c>
      <c r="G3449" t="s">
        <v>17</v>
      </c>
      <c r="H3449" t="s">
        <v>18</v>
      </c>
      <c r="I3449" t="s">
        <v>19</v>
      </c>
      <c r="J3449" t="s">
        <v>20</v>
      </c>
      <c r="K3449" t="s">
        <v>21</v>
      </c>
      <c r="L3449" t="s">
        <v>22</v>
      </c>
      <c r="M3449" t="s">
        <v>23</v>
      </c>
    </row>
    <row r="3450" spans="2:13" x14ac:dyDescent="0.2">
      <c r="B3450" t="s">
        <v>32</v>
      </c>
      <c r="C3450">
        <v>72</v>
      </c>
      <c r="E3450" t="s">
        <v>25</v>
      </c>
      <c r="F3450">
        <v>1380.12</v>
      </c>
      <c r="G3450">
        <v>12.5</v>
      </c>
      <c r="K3450">
        <v>0.1</v>
      </c>
      <c r="L3450">
        <v>7</v>
      </c>
      <c r="M3450">
        <v>100</v>
      </c>
    </row>
    <row r="3451" spans="2:13" x14ac:dyDescent="0.2">
      <c r="C3451" t="s">
        <v>27</v>
      </c>
    </row>
    <row r="3452" spans="2:13" x14ac:dyDescent="0.2">
      <c r="C3452" t="s">
        <v>28</v>
      </c>
      <c r="D3452" t="s">
        <v>16</v>
      </c>
      <c r="E3452" t="s">
        <v>29</v>
      </c>
      <c r="F3452" t="s">
        <v>18</v>
      </c>
    </row>
    <row r="3453" spans="2:13" x14ac:dyDescent="0.2">
      <c r="C3453" t="b">
        <v>0</v>
      </c>
      <c r="D3453">
        <v>1120.0899999999999</v>
      </c>
      <c r="E3453" t="s">
        <v>30</v>
      </c>
    </row>
    <row r="3454" spans="2:13" x14ac:dyDescent="0.2">
      <c r="C3454" t="b">
        <v>0</v>
      </c>
      <c r="D3454">
        <v>1230.1099999999999</v>
      </c>
      <c r="E3454" t="s">
        <v>30</v>
      </c>
    </row>
    <row r="3455" spans="2:13" x14ac:dyDescent="0.2">
      <c r="C3455" t="b">
        <v>0</v>
      </c>
      <c r="D3455">
        <v>1280.0999999999999</v>
      </c>
      <c r="E3455" t="s">
        <v>30</v>
      </c>
    </row>
    <row r="3456" spans="2:13" x14ac:dyDescent="0.2">
      <c r="C3456" t="b">
        <v>0</v>
      </c>
      <c r="D3456">
        <v>1490.15</v>
      </c>
      <c r="E3456" t="s">
        <v>30</v>
      </c>
    </row>
    <row r="3457" spans="1:13" x14ac:dyDescent="0.2">
      <c r="C3457" t="b">
        <v>0</v>
      </c>
      <c r="D3457">
        <v>1550.15</v>
      </c>
      <c r="E3457" t="s">
        <v>30</v>
      </c>
    </row>
    <row r="3458" spans="1:13" x14ac:dyDescent="0.2">
      <c r="C3458" t="b">
        <v>0</v>
      </c>
      <c r="D3458">
        <v>1420.12</v>
      </c>
      <c r="E3458" t="s">
        <v>30</v>
      </c>
    </row>
    <row r="3459" spans="1:13" x14ac:dyDescent="0.2">
      <c r="C3459" t="b">
        <v>0</v>
      </c>
      <c r="D3459">
        <v>1570.14</v>
      </c>
      <c r="E3459" t="s">
        <v>30</v>
      </c>
    </row>
    <row r="3460" spans="1:13" x14ac:dyDescent="0.2">
      <c r="B3460" t="s">
        <v>11</v>
      </c>
    </row>
    <row r="3461" spans="1:13" x14ac:dyDescent="0.2">
      <c r="B3461" t="s">
        <v>12</v>
      </c>
      <c r="C3461" t="s">
        <v>13</v>
      </c>
      <c r="D3461" t="s">
        <v>14</v>
      </c>
      <c r="E3461" t="s">
        <v>15</v>
      </c>
      <c r="F3461" t="s">
        <v>16</v>
      </c>
      <c r="G3461" t="s">
        <v>17</v>
      </c>
      <c r="H3461" t="s">
        <v>18</v>
      </c>
      <c r="I3461" t="s">
        <v>19</v>
      </c>
      <c r="J3461" t="s">
        <v>20</v>
      </c>
      <c r="K3461" t="s">
        <v>21</v>
      </c>
      <c r="L3461" t="s">
        <v>22</v>
      </c>
      <c r="M3461" t="s">
        <v>23</v>
      </c>
    </row>
    <row r="3462" spans="1:13" x14ac:dyDescent="0.2">
      <c r="B3462" t="s">
        <v>33</v>
      </c>
      <c r="C3462">
        <v>89</v>
      </c>
      <c r="E3462" t="s">
        <v>25</v>
      </c>
      <c r="F3462">
        <v>7532.3</v>
      </c>
      <c r="G3462">
        <v>5.8</v>
      </c>
      <c r="K3462">
        <v>0.1</v>
      </c>
      <c r="L3462">
        <v>7</v>
      </c>
      <c r="M3462">
        <v>100</v>
      </c>
    </row>
    <row r="3463" spans="1:13" x14ac:dyDescent="0.2">
      <c r="C3463" t="s">
        <v>27</v>
      </c>
    </row>
    <row r="3464" spans="1:13" x14ac:dyDescent="0.2">
      <c r="C3464" t="s">
        <v>28</v>
      </c>
      <c r="D3464" t="s">
        <v>16</v>
      </c>
      <c r="E3464" t="s">
        <v>29</v>
      </c>
      <c r="F3464" t="s">
        <v>18</v>
      </c>
    </row>
    <row r="3465" spans="1:13" x14ac:dyDescent="0.2">
      <c r="C3465" t="b">
        <v>0</v>
      </c>
      <c r="D3465">
        <v>6941.94</v>
      </c>
      <c r="E3465" t="s">
        <v>30</v>
      </c>
    </row>
    <row r="3466" spans="1:13" x14ac:dyDescent="0.2">
      <c r="C3466" t="b">
        <v>0</v>
      </c>
      <c r="D3466">
        <v>7352.21</v>
      </c>
      <c r="E3466" t="s">
        <v>30</v>
      </c>
    </row>
    <row r="3467" spans="1:13" x14ac:dyDescent="0.2">
      <c r="C3467" t="b">
        <v>0</v>
      </c>
      <c r="D3467">
        <v>7102.08</v>
      </c>
      <c r="E3467" t="s">
        <v>30</v>
      </c>
    </row>
    <row r="3468" spans="1:13" x14ac:dyDescent="0.2">
      <c r="C3468" t="b">
        <v>0</v>
      </c>
      <c r="D3468">
        <v>8092.65</v>
      </c>
      <c r="E3468" t="s">
        <v>30</v>
      </c>
    </row>
    <row r="3469" spans="1:13" x14ac:dyDescent="0.2">
      <c r="C3469" t="b">
        <v>0</v>
      </c>
      <c r="D3469">
        <v>7452.26</v>
      </c>
      <c r="E3469" t="s">
        <v>30</v>
      </c>
    </row>
    <row r="3470" spans="1:13" x14ac:dyDescent="0.2">
      <c r="C3470" t="b">
        <v>0</v>
      </c>
      <c r="D3470">
        <v>7932.47</v>
      </c>
      <c r="E3470" t="s">
        <v>30</v>
      </c>
    </row>
    <row r="3471" spans="1:13" x14ac:dyDescent="0.2">
      <c r="C3471" t="b">
        <v>0</v>
      </c>
      <c r="D3471">
        <v>7852.48</v>
      </c>
      <c r="E3471" t="s">
        <v>30</v>
      </c>
    </row>
    <row r="3472" spans="1:13" x14ac:dyDescent="0.2">
      <c r="A3472" t="s">
        <v>0</v>
      </c>
    </row>
    <row r="3473" spans="2:13" x14ac:dyDescent="0.2"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t="s">
        <v>6</v>
      </c>
    </row>
    <row r="3474" spans="2:13" x14ac:dyDescent="0.2">
      <c r="B3474" t="b">
        <v>0</v>
      </c>
      <c r="C3474" t="s">
        <v>47</v>
      </c>
      <c r="D3474" t="s">
        <v>305</v>
      </c>
      <c r="E3474" t="s">
        <v>49</v>
      </c>
      <c r="F3474">
        <v>2</v>
      </c>
      <c r="G3474" t="s">
        <v>50</v>
      </c>
    </row>
    <row r="3475" spans="2:13" x14ac:dyDescent="0.2">
      <c r="B3475" t="s">
        <v>11</v>
      </c>
    </row>
    <row r="3476" spans="2:13" x14ac:dyDescent="0.2">
      <c r="B3476" t="s">
        <v>12</v>
      </c>
      <c r="C3476" t="s">
        <v>13</v>
      </c>
      <c r="D3476" t="s">
        <v>14</v>
      </c>
      <c r="E3476" t="s">
        <v>15</v>
      </c>
      <c r="F3476" t="s">
        <v>16</v>
      </c>
      <c r="G3476" t="s">
        <v>17</v>
      </c>
      <c r="H3476" t="s">
        <v>18</v>
      </c>
      <c r="I3476" t="s">
        <v>19</v>
      </c>
      <c r="J3476" t="s">
        <v>20</v>
      </c>
      <c r="K3476" t="s">
        <v>21</v>
      </c>
      <c r="L3476" t="s">
        <v>22</v>
      </c>
      <c r="M3476" t="s">
        <v>23</v>
      </c>
    </row>
    <row r="3477" spans="2:13" x14ac:dyDescent="0.2">
      <c r="B3477" t="s">
        <v>24</v>
      </c>
      <c r="C3477">
        <v>59</v>
      </c>
      <c r="E3477" t="s">
        <v>25</v>
      </c>
      <c r="F3477">
        <v>3053.29</v>
      </c>
      <c r="G3477">
        <v>7.1</v>
      </c>
      <c r="H3477">
        <v>1E-3</v>
      </c>
      <c r="I3477" t="s">
        <v>26</v>
      </c>
      <c r="J3477">
        <v>7.2</v>
      </c>
      <c r="K3477">
        <v>0.1</v>
      </c>
      <c r="L3477">
        <v>7</v>
      </c>
    </row>
    <row r="3478" spans="2:13" x14ac:dyDescent="0.2">
      <c r="C3478" t="s">
        <v>27</v>
      </c>
    </row>
    <row r="3479" spans="2:13" x14ac:dyDescent="0.2">
      <c r="C3479" t="s">
        <v>28</v>
      </c>
      <c r="D3479" t="s">
        <v>16</v>
      </c>
      <c r="E3479" t="s">
        <v>29</v>
      </c>
      <c r="F3479" t="s">
        <v>18</v>
      </c>
    </row>
    <row r="3480" spans="2:13" x14ac:dyDescent="0.2">
      <c r="C3480" t="b">
        <v>0</v>
      </c>
      <c r="D3480">
        <v>3150.46</v>
      </c>
      <c r="E3480" t="s">
        <v>30</v>
      </c>
      <c r="F3480">
        <v>1E-3</v>
      </c>
    </row>
    <row r="3481" spans="2:13" x14ac:dyDescent="0.2">
      <c r="C3481" t="b">
        <v>0</v>
      </c>
      <c r="D3481">
        <v>3200.47</v>
      </c>
      <c r="E3481" t="s">
        <v>30</v>
      </c>
      <c r="F3481">
        <v>1E-3</v>
      </c>
    </row>
    <row r="3482" spans="2:13" x14ac:dyDescent="0.2">
      <c r="C3482" t="b">
        <v>0</v>
      </c>
      <c r="D3482">
        <v>2740.34</v>
      </c>
      <c r="E3482" t="s">
        <v>30</v>
      </c>
      <c r="F3482">
        <v>1E-3</v>
      </c>
    </row>
    <row r="3483" spans="2:13" x14ac:dyDescent="0.2">
      <c r="C3483" t="b">
        <v>0</v>
      </c>
      <c r="D3483">
        <v>3160.44</v>
      </c>
      <c r="E3483" t="s">
        <v>30</v>
      </c>
      <c r="F3483">
        <v>1E-3</v>
      </c>
    </row>
    <row r="3484" spans="2:13" x14ac:dyDescent="0.2">
      <c r="C3484" t="b">
        <v>0</v>
      </c>
      <c r="D3484">
        <v>3340.49</v>
      </c>
      <c r="E3484" t="s">
        <v>30</v>
      </c>
      <c r="F3484">
        <v>1E-3</v>
      </c>
    </row>
    <row r="3485" spans="2:13" x14ac:dyDescent="0.2">
      <c r="C3485" t="b">
        <v>0</v>
      </c>
      <c r="D3485">
        <v>2850.42</v>
      </c>
      <c r="E3485" t="s">
        <v>30</v>
      </c>
      <c r="F3485">
        <v>1E-3</v>
      </c>
    </row>
    <row r="3486" spans="2:13" x14ac:dyDescent="0.2">
      <c r="C3486" t="b">
        <v>0</v>
      </c>
      <c r="D3486">
        <v>2930.4</v>
      </c>
      <c r="E3486" t="s">
        <v>30</v>
      </c>
      <c r="F3486">
        <v>1E-3</v>
      </c>
    </row>
    <row r="3487" spans="2:13" x14ac:dyDescent="0.2">
      <c r="B3487" t="s">
        <v>11</v>
      </c>
    </row>
    <row r="3488" spans="2:13" x14ac:dyDescent="0.2">
      <c r="B3488" t="s">
        <v>12</v>
      </c>
      <c r="C3488" t="s">
        <v>13</v>
      </c>
      <c r="D3488" t="s">
        <v>14</v>
      </c>
      <c r="E3488" t="s">
        <v>15</v>
      </c>
      <c r="F3488" t="s">
        <v>16</v>
      </c>
      <c r="G3488" t="s">
        <v>17</v>
      </c>
      <c r="H3488" t="s">
        <v>18</v>
      </c>
      <c r="I3488" t="s">
        <v>19</v>
      </c>
      <c r="J3488" t="s">
        <v>20</v>
      </c>
      <c r="K3488" t="s">
        <v>21</v>
      </c>
      <c r="L3488" t="s">
        <v>22</v>
      </c>
      <c r="M3488" t="s">
        <v>23</v>
      </c>
    </row>
    <row r="3489" spans="2:13" x14ac:dyDescent="0.2">
      <c r="B3489" t="s">
        <v>31</v>
      </c>
      <c r="C3489">
        <v>45</v>
      </c>
      <c r="E3489" t="s">
        <v>25</v>
      </c>
      <c r="F3489">
        <v>1515.85</v>
      </c>
      <c r="G3489">
        <v>8.5</v>
      </c>
      <c r="K3489">
        <v>0.1</v>
      </c>
      <c r="L3489">
        <v>7</v>
      </c>
      <c r="M3489">
        <v>116.9</v>
      </c>
    </row>
    <row r="3490" spans="2:13" x14ac:dyDescent="0.2">
      <c r="C3490" t="s">
        <v>27</v>
      </c>
    </row>
    <row r="3491" spans="2:13" x14ac:dyDescent="0.2">
      <c r="C3491" t="s">
        <v>28</v>
      </c>
      <c r="D3491" t="s">
        <v>16</v>
      </c>
      <c r="E3491" t="s">
        <v>29</v>
      </c>
      <c r="F3491" t="s">
        <v>18</v>
      </c>
    </row>
    <row r="3492" spans="2:13" x14ac:dyDescent="0.2">
      <c r="C3492" t="b">
        <v>0</v>
      </c>
      <c r="D3492">
        <v>1750.17</v>
      </c>
      <c r="E3492" t="s">
        <v>30</v>
      </c>
    </row>
    <row r="3493" spans="2:13" x14ac:dyDescent="0.2">
      <c r="C3493" t="b">
        <v>0</v>
      </c>
      <c r="D3493">
        <v>1370.11</v>
      </c>
      <c r="E3493" t="s">
        <v>30</v>
      </c>
    </row>
    <row r="3494" spans="2:13" x14ac:dyDescent="0.2">
      <c r="C3494" t="b">
        <v>0</v>
      </c>
      <c r="D3494">
        <v>1480.15</v>
      </c>
      <c r="E3494" t="s">
        <v>30</v>
      </c>
    </row>
    <row r="3495" spans="2:13" x14ac:dyDescent="0.2">
      <c r="C3495" t="b">
        <v>0</v>
      </c>
      <c r="D3495">
        <v>1610.15</v>
      </c>
      <c r="E3495" t="s">
        <v>30</v>
      </c>
    </row>
    <row r="3496" spans="2:13" x14ac:dyDescent="0.2">
      <c r="C3496" t="b">
        <v>0</v>
      </c>
      <c r="D3496">
        <v>1510.13</v>
      </c>
      <c r="E3496" t="s">
        <v>30</v>
      </c>
    </row>
    <row r="3497" spans="2:13" x14ac:dyDescent="0.2">
      <c r="C3497" t="b">
        <v>0</v>
      </c>
      <c r="D3497">
        <v>1480.12</v>
      </c>
      <c r="E3497" t="s">
        <v>30</v>
      </c>
    </row>
    <row r="3498" spans="2:13" x14ac:dyDescent="0.2">
      <c r="C3498" t="b">
        <v>0</v>
      </c>
      <c r="D3498">
        <v>1410.11</v>
      </c>
      <c r="E3498" t="s">
        <v>30</v>
      </c>
    </row>
    <row r="3499" spans="2:13" x14ac:dyDescent="0.2">
      <c r="B3499" t="s">
        <v>11</v>
      </c>
    </row>
    <row r="3500" spans="2:13" x14ac:dyDescent="0.2">
      <c r="B3500" t="s">
        <v>12</v>
      </c>
      <c r="C3500" t="s">
        <v>13</v>
      </c>
      <c r="D3500" t="s">
        <v>14</v>
      </c>
      <c r="E3500" t="s">
        <v>15</v>
      </c>
      <c r="F3500" t="s">
        <v>16</v>
      </c>
      <c r="G3500" t="s">
        <v>17</v>
      </c>
      <c r="H3500" t="s">
        <v>18</v>
      </c>
      <c r="I3500" t="s">
        <v>19</v>
      </c>
      <c r="J3500" t="s">
        <v>20</v>
      </c>
      <c r="K3500" t="s">
        <v>21</v>
      </c>
      <c r="L3500" t="s">
        <v>22</v>
      </c>
      <c r="M3500" t="s">
        <v>23</v>
      </c>
    </row>
    <row r="3501" spans="2:13" x14ac:dyDescent="0.2">
      <c r="B3501" t="s">
        <v>32</v>
      </c>
      <c r="C3501">
        <v>72</v>
      </c>
      <c r="E3501" t="s">
        <v>25</v>
      </c>
      <c r="F3501">
        <v>1424.41</v>
      </c>
      <c r="G3501">
        <v>7.1</v>
      </c>
      <c r="K3501">
        <v>0.1</v>
      </c>
      <c r="L3501">
        <v>7</v>
      </c>
      <c r="M3501">
        <v>103.2</v>
      </c>
    </row>
    <row r="3502" spans="2:13" x14ac:dyDescent="0.2">
      <c r="C3502" t="s">
        <v>27</v>
      </c>
    </row>
    <row r="3503" spans="2:13" x14ac:dyDescent="0.2">
      <c r="C3503" t="s">
        <v>28</v>
      </c>
      <c r="D3503" t="s">
        <v>16</v>
      </c>
      <c r="E3503" t="s">
        <v>29</v>
      </c>
      <c r="F3503" t="s">
        <v>18</v>
      </c>
    </row>
    <row r="3504" spans="2:13" x14ac:dyDescent="0.2">
      <c r="C3504" t="b">
        <v>0</v>
      </c>
      <c r="D3504">
        <v>1570.15</v>
      </c>
      <c r="E3504" t="s">
        <v>30</v>
      </c>
    </row>
    <row r="3505" spans="2:13" x14ac:dyDescent="0.2">
      <c r="C3505" t="b">
        <v>0</v>
      </c>
      <c r="D3505">
        <v>1420.11</v>
      </c>
      <c r="E3505" t="s">
        <v>30</v>
      </c>
    </row>
    <row r="3506" spans="2:13" x14ac:dyDescent="0.2">
      <c r="C3506" t="b">
        <v>0</v>
      </c>
      <c r="D3506">
        <v>1460.14</v>
      </c>
      <c r="E3506" t="s">
        <v>30</v>
      </c>
    </row>
    <row r="3507" spans="2:13" x14ac:dyDescent="0.2">
      <c r="C3507" t="b">
        <v>0</v>
      </c>
      <c r="D3507">
        <v>1460.12</v>
      </c>
      <c r="E3507" t="s">
        <v>30</v>
      </c>
    </row>
    <row r="3508" spans="2:13" x14ac:dyDescent="0.2">
      <c r="C3508" t="b">
        <v>0</v>
      </c>
      <c r="D3508">
        <v>1260.1099999999999</v>
      </c>
      <c r="E3508" t="s">
        <v>30</v>
      </c>
    </row>
    <row r="3509" spans="2:13" x14ac:dyDescent="0.2">
      <c r="C3509" t="b">
        <v>0</v>
      </c>
      <c r="D3509">
        <v>1470.13</v>
      </c>
      <c r="E3509" t="s">
        <v>30</v>
      </c>
    </row>
    <row r="3510" spans="2:13" x14ac:dyDescent="0.2">
      <c r="C3510" t="b">
        <v>0</v>
      </c>
      <c r="D3510">
        <v>1330.12</v>
      </c>
      <c r="E3510" t="s">
        <v>30</v>
      </c>
    </row>
    <row r="3511" spans="2:13" x14ac:dyDescent="0.2">
      <c r="B3511" t="s">
        <v>11</v>
      </c>
    </row>
    <row r="3512" spans="2:13" x14ac:dyDescent="0.2">
      <c r="B3512" t="s">
        <v>12</v>
      </c>
      <c r="C3512" t="s">
        <v>13</v>
      </c>
      <c r="D3512" t="s">
        <v>14</v>
      </c>
      <c r="E3512" t="s">
        <v>15</v>
      </c>
      <c r="F3512" t="s">
        <v>16</v>
      </c>
      <c r="G3512" t="s">
        <v>17</v>
      </c>
      <c r="H3512" t="s">
        <v>18</v>
      </c>
      <c r="I3512" t="s">
        <v>19</v>
      </c>
      <c r="J3512" t="s">
        <v>20</v>
      </c>
      <c r="K3512" t="s">
        <v>21</v>
      </c>
      <c r="L3512" t="s">
        <v>22</v>
      </c>
      <c r="M3512" t="s">
        <v>23</v>
      </c>
    </row>
    <row r="3513" spans="2:13" x14ac:dyDescent="0.2">
      <c r="B3513" t="s">
        <v>33</v>
      </c>
      <c r="C3513">
        <v>89</v>
      </c>
      <c r="E3513" t="s">
        <v>25</v>
      </c>
      <c r="F3513">
        <v>8487.19</v>
      </c>
      <c r="G3513">
        <v>4.0999999999999996</v>
      </c>
      <c r="K3513">
        <v>0.1</v>
      </c>
      <c r="L3513">
        <v>7</v>
      </c>
      <c r="M3513">
        <v>112.7</v>
      </c>
    </row>
    <row r="3514" spans="2:13" x14ac:dyDescent="0.2">
      <c r="C3514" t="s">
        <v>27</v>
      </c>
    </row>
    <row r="3515" spans="2:13" x14ac:dyDescent="0.2">
      <c r="C3515" t="s">
        <v>28</v>
      </c>
      <c r="D3515" t="s">
        <v>16</v>
      </c>
      <c r="E3515" t="s">
        <v>29</v>
      </c>
      <c r="F3515" t="s">
        <v>18</v>
      </c>
    </row>
    <row r="3516" spans="2:13" x14ac:dyDescent="0.2">
      <c r="C3516" t="b">
        <v>0</v>
      </c>
      <c r="D3516">
        <v>8062.62</v>
      </c>
      <c r="E3516" t="s">
        <v>30</v>
      </c>
    </row>
    <row r="3517" spans="2:13" x14ac:dyDescent="0.2">
      <c r="C3517" t="b">
        <v>0</v>
      </c>
      <c r="D3517">
        <v>8342.7900000000009</v>
      </c>
      <c r="E3517" t="s">
        <v>30</v>
      </c>
    </row>
    <row r="3518" spans="2:13" x14ac:dyDescent="0.2">
      <c r="C3518" t="b">
        <v>0</v>
      </c>
      <c r="D3518">
        <v>8723.09</v>
      </c>
      <c r="E3518" t="s">
        <v>30</v>
      </c>
    </row>
    <row r="3519" spans="2:13" x14ac:dyDescent="0.2">
      <c r="C3519" t="b">
        <v>0</v>
      </c>
      <c r="D3519">
        <v>8973.2099999999991</v>
      </c>
      <c r="E3519" t="s">
        <v>30</v>
      </c>
    </row>
    <row r="3520" spans="2:13" x14ac:dyDescent="0.2">
      <c r="C3520" t="b">
        <v>0</v>
      </c>
      <c r="D3520">
        <v>8192.7199999999993</v>
      </c>
      <c r="E3520" t="s">
        <v>30</v>
      </c>
    </row>
    <row r="3521" spans="1:13" x14ac:dyDescent="0.2">
      <c r="C3521" t="b">
        <v>0</v>
      </c>
      <c r="D3521">
        <v>8813.1299999999992</v>
      </c>
      <c r="E3521" t="s">
        <v>30</v>
      </c>
    </row>
    <row r="3522" spans="1:13" x14ac:dyDescent="0.2">
      <c r="C3522" t="b">
        <v>0</v>
      </c>
      <c r="D3522">
        <v>8302.74</v>
      </c>
      <c r="E3522" t="s">
        <v>30</v>
      </c>
    </row>
    <row r="3523" spans="1:13" x14ac:dyDescent="0.2">
      <c r="A3523" t="s">
        <v>0</v>
      </c>
    </row>
    <row r="3524" spans="1:13" x14ac:dyDescent="0.2">
      <c r="B3524" t="s">
        <v>1</v>
      </c>
      <c r="C3524" t="s">
        <v>2</v>
      </c>
      <c r="D3524" t="s">
        <v>3</v>
      </c>
      <c r="E3524" t="s">
        <v>4</v>
      </c>
      <c r="F3524" t="s">
        <v>5</v>
      </c>
      <c r="G3524" t="s">
        <v>6</v>
      </c>
    </row>
    <row r="3525" spans="1:13" x14ac:dyDescent="0.2">
      <c r="B3525" t="b">
        <v>0</v>
      </c>
      <c r="C3525" t="s">
        <v>51</v>
      </c>
      <c r="D3525" t="s">
        <v>306</v>
      </c>
      <c r="E3525" t="s">
        <v>49</v>
      </c>
      <c r="F3525">
        <v>3</v>
      </c>
      <c r="G3525" t="s">
        <v>53</v>
      </c>
    </row>
    <row r="3526" spans="1:13" x14ac:dyDescent="0.2">
      <c r="B3526" t="s">
        <v>11</v>
      </c>
    </row>
    <row r="3527" spans="1:13" x14ac:dyDescent="0.2">
      <c r="B3527" t="s">
        <v>12</v>
      </c>
      <c r="C3527" t="s">
        <v>13</v>
      </c>
      <c r="D3527" t="s">
        <v>14</v>
      </c>
      <c r="E3527" t="s">
        <v>15</v>
      </c>
      <c r="F3527" t="s">
        <v>16</v>
      </c>
      <c r="G3527" t="s">
        <v>17</v>
      </c>
      <c r="H3527" t="s">
        <v>18</v>
      </c>
      <c r="I3527" t="s">
        <v>19</v>
      </c>
      <c r="J3527" t="s">
        <v>20</v>
      </c>
      <c r="K3527" t="s">
        <v>21</v>
      </c>
      <c r="L3527" t="s">
        <v>22</v>
      </c>
      <c r="M3527" t="s">
        <v>23</v>
      </c>
    </row>
    <row r="3528" spans="1:13" x14ac:dyDescent="0.2">
      <c r="B3528" t="s">
        <v>24</v>
      </c>
      <c r="C3528">
        <v>59</v>
      </c>
      <c r="E3528" t="s">
        <v>25</v>
      </c>
      <c r="F3528">
        <v>30871.79</v>
      </c>
      <c r="G3528">
        <v>2.7</v>
      </c>
      <c r="H3528">
        <v>0.01</v>
      </c>
      <c r="I3528" t="s">
        <v>26</v>
      </c>
      <c r="J3528">
        <v>2.7</v>
      </c>
      <c r="K3528">
        <v>0.1</v>
      </c>
      <c r="L3528">
        <v>7</v>
      </c>
    </row>
    <row r="3529" spans="1:13" x14ac:dyDescent="0.2">
      <c r="C3529" t="s">
        <v>27</v>
      </c>
    </row>
    <row r="3530" spans="1:13" x14ac:dyDescent="0.2">
      <c r="C3530" t="s">
        <v>28</v>
      </c>
      <c r="D3530" t="s">
        <v>16</v>
      </c>
      <c r="E3530" t="s">
        <v>29</v>
      </c>
      <c r="F3530" t="s">
        <v>18</v>
      </c>
    </row>
    <row r="3531" spans="1:13" x14ac:dyDescent="0.2">
      <c r="C3531" t="b">
        <v>0</v>
      </c>
      <c r="D3531">
        <v>29662.14</v>
      </c>
      <c r="E3531" t="s">
        <v>30</v>
      </c>
      <c r="F3531">
        <v>8.9999999999999993E-3</v>
      </c>
    </row>
    <row r="3532" spans="1:13" x14ac:dyDescent="0.2">
      <c r="C3532" t="b">
        <v>0</v>
      </c>
      <c r="D3532">
        <v>30313.26</v>
      </c>
      <c r="E3532" t="s">
        <v>30</v>
      </c>
      <c r="F3532">
        <v>8.9999999999999993E-3</v>
      </c>
    </row>
    <row r="3533" spans="1:13" x14ac:dyDescent="0.2">
      <c r="C3533" t="b">
        <v>0</v>
      </c>
      <c r="D3533">
        <v>31746.32</v>
      </c>
      <c r="E3533" t="s">
        <v>30</v>
      </c>
      <c r="F3533">
        <v>0.01</v>
      </c>
    </row>
    <row r="3534" spans="1:13" x14ac:dyDescent="0.2">
      <c r="C3534" t="b">
        <v>0</v>
      </c>
      <c r="D3534">
        <v>31195.67</v>
      </c>
      <c r="E3534" t="s">
        <v>30</v>
      </c>
      <c r="F3534">
        <v>0.01</v>
      </c>
    </row>
    <row r="3535" spans="1:13" x14ac:dyDescent="0.2">
      <c r="C3535" t="b">
        <v>0</v>
      </c>
      <c r="D3535">
        <v>31977.15</v>
      </c>
      <c r="E3535" t="s">
        <v>30</v>
      </c>
      <c r="F3535">
        <v>0.01</v>
      </c>
    </row>
    <row r="3536" spans="1:13" x14ac:dyDescent="0.2">
      <c r="C3536" t="b">
        <v>0</v>
      </c>
      <c r="D3536">
        <v>30704.15</v>
      </c>
      <c r="E3536" t="s">
        <v>30</v>
      </c>
      <c r="F3536">
        <v>8.9999999999999993E-3</v>
      </c>
    </row>
    <row r="3537" spans="2:13" x14ac:dyDescent="0.2">
      <c r="C3537" t="b">
        <v>0</v>
      </c>
      <c r="D3537">
        <v>30503.85</v>
      </c>
      <c r="E3537" t="s">
        <v>30</v>
      </c>
      <c r="F3537">
        <v>8.9999999999999993E-3</v>
      </c>
    </row>
    <row r="3538" spans="2:13" x14ac:dyDescent="0.2">
      <c r="B3538" t="s">
        <v>11</v>
      </c>
    </row>
    <row r="3539" spans="2:13" x14ac:dyDescent="0.2">
      <c r="B3539" t="s">
        <v>12</v>
      </c>
      <c r="C3539" t="s">
        <v>13</v>
      </c>
      <c r="D3539" t="s">
        <v>14</v>
      </c>
      <c r="E3539" t="s">
        <v>15</v>
      </c>
      <c r="F3539" t="s">
        <v>16</v>
      </c>
      <c r="G3539" t="s">
        <v>17</v>
      </c>
      <c r="H3539" t="s">
        <v>18</v>
      </c>
      <c r="I3539" t="s">
        <v>19</v>
      </c>
      <c r="J3539" t="s">
        <v>20</v>
      </c>
      <c r="K3539" t="s">
        <v>21</v>
      </c>
      <c r="L3539" t="s">
        <v>22</v>
      </c>
      <c r="M3539" t="s">
        <v>23</v>
      </c>
    </row>
    <row r="3540" spans="2:13" x14ac:dyDescent="0.2">
      <c r="B3540" t="s">
        <v>31</v>
      </c>
      <c r="C3540">
        <v>45</v>
      </c>
      <c r="E3540" t="s">
        <v>25</v>
      </c>
      <c r="F3540">
        <v>1328.68</v>
      </c>
      <c r="G3540">
        <v>3.7</v>
      </c>
      <c r="K3540">
        <v>0.1</v>
      </c>
      <c r="L3540">
        <v>7</v>
      </c>
      <c r="M3540">
        <v>102.4</v>
      </c>
    </row>
    <row r="3541" spans="2:13" x14ac:dyDescent="0.2">
      <c r="C3541" t="s">
        <v>27</v>
      </c>
    </row>
    <row r="3542" spans="2:13" x14ac:dyDescent="0.2">
      <c r="C3542" t="s">
        <v>28</v>
      </c>
      <c r="D3542" t="s">
        <v>16</v>
      </c>
      <c r="E3542" t="s">
        <v>29</v>
      </c>
      <c r="F3542" t="s">
        <v>18</v>
      </c>
    </row>
    <row r="3543" spans="2:13" x14ac:dyDescent="0.2">
      <c r="C3543" t="b">
        <v>0</v>
      </c>
      <c r="D3543">
        <v>1270.0999999999999</v>
      </c>
      <c r="E3543" t="s">
        <v>30</v>
      </c>
    </row>
    <row r="3544" spans="2:13" x14ac:dyDescent="0.2">
      <c r="C3544" t="b">
        <v>0</v>
      </c>
      <c r="D3544">
        <v>1330.1</v>
      </c>
      <c r="E3544" t="s">
        <v>30</v>
      </c>
    </row>
    <row r="3545" spans="2:13" x14ac:dyDescent="0.2">
      <c r="C3545" t="b">
        <v>0</v>
      </c>
      <c r="D3545">
        <v>1290.0999999999999</v>
      </c>
      <c r="E3545" t="s">
        <v>30</v>
      </c>
    </row>
    <row r="3546" spans="2:13" x14ac:dyDescent="0.2">
      <c r="C3546" t="b">
        <v>0</v>
      </c>
      <c r="D3546">
        <v>1360.11</v>
      </c>
      <c r="E3546" t="s">
        <v>30</v>
      </c>
    </row>
    <row r="3547" spans="2:13" x14ac:dyDescent="0.2">
      <c r="C3547" t="b">
        <v>0</v>
      </c>
      <c r="D3547">
        <v>1310.1099999999999</v>
      </c>
      <c r="E3547" t="s">
        <v>30</v>
      </c>
    </row>
    <row r="3548" spans="2:13" x14ac:dyDescent="0.2">
      <c r="C3548" t="b">
        <v>0</v>
      </c>
      <c r="D3548">
        <v>1320.11</v>
      </c>
      <c r="E3548" t="s">
        <v>30</v>
      </c>
    </row>
    <row r="3549" spans="2:13" x14ac:dyDescent="0.2">
      <c r="C3549" t="b">
        <v>0</v>
      </c>
      <c r="D3549">
        <v>1420.12</v>
      </c>
      <c r="E3549" t="s">
        <v>30</v>
      </c>
    </row>
    <row r="3550" spans="2:13" x14ac:dyDescent="0.2">
      <c r="B3550" t="s">
        <v>11</v>
      </c>
    </row>
    <row r="3551" spans="2:13" x14ac:dyDescent="0.2">
      <c r="B3551" t="s">
        <v>12</v>
      </c>
      <c r="C3551" t="s">
        <v>13</v>
      </c>
      <c r="D3551" t="s">
        <v>14</v>
      </c>
      <c r="E3551" t="s">
        <v>15</v>
      </c>
      <c r="F3551" t="s">
        <v>16</v>
      </c>
      <c r="G3551" t="s">
        <v>17</v>
      </c>
      <c r="H3551" t="s">
        <v>18</v>
      </c>
      <c r="I3551" t="s">
        <v>19</v>
      </c>
      <c r="J3551" t="s">
        <v>20</v>
      </c>
      <c r="K3551" t="s">
        <v>21</v>
      </c>
      <c r="L3551" t="s">
        <v>22</v>
      </c>
      <c r="M3551" t="s">
        <v>23</v>
      </c>
    </row>
    <row r="3552" spans="2:13" x14ac:dyDescent="0.2">
      <c r="B3552" t="s">
        <v>32</v>
      </c>
      <c r="C3552">
        <v>72</v>
      </c>
      <c r="E3552" t="s">
        <v>25</v>
      </c>
      <c r="F3552">
        <v>1322.97</v>
      </c>
      <c r="G3552">
        <v>9.1</v>
      </c>
      <c r="K3552">
        <v>0.1</v>
      </c>
      <c r="L3552">
        <v>7</v>
      </c>
      <c r="M3552">
        <v>95.9</v>
      </c>
    </row>
    <row r="3553" spans="2:13" x14ac:dyDescent="0.2">
      <c r="C3553" t="s">
        <v>27</v>
      </c>
    </row>
    <row r="3554" spans="2:13" x14ac:dyDescent="0.2">
      <c r="C3554" t="s">
        <v>28</v>
      </c>
      <c r="D3554" t="s">
        <v>16</v>
      </c>
      <c r="E3554" t="s">
        <v>29</v>
      </c>
      <c r="F3554" t="s">
        <v>18</v>
      </c>
    </row>
    <row r="3555" spans="2:13" x14ac:dyDescent="0.2">
      <c r="C3555" t="b">
        <v>0</v>
      </c>
      <c r="D3555">
        <v>1170.0999999999999</v>
      </c>
      <c r="E3555" t="s">
        <v>30</v>
      </c>
    </row>
    <row r="3556" spans="2:13" x14ac:dyDescent="0.2">
      <c r="C3556" t="b">
        <v>0</v>
      </c>
      <c r="D3556">
        <v>1410.13</v>
      </c>
      <c r="E3556" t="s">
        <v>30</v>
      </c>
    </row>
    <row r="3557" spans="2:13" x14ac:dyDescent="0.2">
      <c r="C3557" t="b">
        <v>0</v>
      </c>
      <c r="D3557">
        <v>1470.13</v>
      </c>
      <c r="E3557" t="s">
        <v>30</v>
      </c>
    </row>
    <row r="3558" spans="2:13" x14ac:dyDescent="0.2">
      <c r="C3558" t="b">
        <v>0</v>
      </c>
      <c r="D3558">
        <v>1360.11</v>
      </c>
      <c r="E3558" t="s">
        <v>30</v>
      </c>
    </row>
    <row r="3559" spans="2:13" x14ac:dyDescent="0.2">
      <c r="C3559" t="b">
        <v>0</v>
      </c>
      <c r="D3559">
        <v>1320.12</v>
      </c>
      <c r="E3559" t="s">
        <v>30</v>
      </c>
    </row>
    <row r="3560" spans="2:13" x14ac:dyDescent="0.2">
      <c r="C3560" t="b">
        <v>0</v>
      </c>
      <c r="D3560">
        <v>1150.0899999999999</v>
      </c>
      <c r="E3560" t="s">
        <v>30</v>
      </c>
    </row>
    <row r="3561" spans="2:13" x14ac:dyDescent="0.2">
      <c r="C3561" t="b">
        <v>0</v>
      </c>
      <c r="D3561">
        <v>1380.12</v>
      </c>
      <c r="E3561" t="s">
        <v>30</v>
      </c>
    </row>
    <row r="3562" spans="2:13" x14ac:dyDescent="0.2">
      <c r="B3562" t="s">
        <v>11</v>
      </c>
    </row>
    <row r="3563" spans="2:13" x14ac:dyDescent="0.2">
      <c r="B3563" t="s">
        <v>12</v>
      </c>
      <c r="C3563" t="s">
        <v>13</v>
      </c>
      <c r="D3563" t="s">
        <v>14</v>
      </c>
      <c r="E3563" t="s">
        <v>15</v>
      </c>
      <c r="F3563" t="s">
        <v>16</v>
      </c>
      <c r="G3563" t="s">
        <v>17</v>
      </c>
      <c r="H3563" t="s">
        <v>18</v>
      </c>
      <c r="I3563" t="s">
        <v>19</v>
      </c>
      <c r="J3563" t="s">
        <v>20</v>
      </c>
      <c r="K3563" t="s">
        <v>21</v>
      </c>
      <c r="L3563" t="s">
        <v>22</v>
      </c>
      <c r="M3563" t="s">
        <v>23</v>
      </c>
    </row>
    <row r="3564" spans="2:13" x14ac:dyDescent="0.2">
      <c r="B3564" t="s">
        <v>33</v>
      </c>
      <c r="C3564">
        <v>89</v>
      </c>
      <c r="E3564" t="s">
        <v>25</v>
      </c>
      <c r="F3564">
        <v>7477.98</v>
      </c>
      <c r="G3564">
        <v>5.5</v>
      </c>
      <c r="K3564">
        <v>0.1</v>
      </c>
      <c r="L3564">
        <v>7</v>
      </c>
      <c r="M3564">
        <v>99.3</v>
      </c>
    </row>
    <row r="3565" spans="2:13" x14ac:dyDescent="0.2">
      <c r="C3565" t="s">
        <v>27</v>
      </c>
    </row>
    <row r="3566" spans="2:13" x14ac:dyDescent="0.2">
      <c r="C3566" t="s">
        <v>28</v>
      </c>
      <c r="D3566" t="s">
        <v>16</v>
      </c>
      <c r="E3566" t="s">
        <v>29</v>
      </c>
      <c r="F3566" t="s">
        <v>18</v>
      </c>
    </row>
    <row r="3567" spans="2:13" x14ac:dyDescent="0.2">
      <c r="C3567" t="b">
        <v>0</v>
      </c>
      <c r="D3567">
        <v>7162.09</v>
      </c>
      <c r="E3567" t="s">
        <v>30</v>
      </c>
    </row>
    <row r="3568" spans="2:13" x14ac:dyDescent="0.2">
      <c r="C3568" t="b">
        <v>0</v>
      </c>
      <c r="D3568">
        <v>7292.1</v>
      </c>
      <c r="E3568" t="s">
        <v>30</v>
      </c>
    </row>
    <row r="3569" spans="1:13" x14ac:dyDescent="0.2">
      <c r="C3569" t="b">
        <v>0</v>
      </c>
      <c r="D3569">
        <v>7972.6</v>
      </c>
      <c r="E3569" t="s">
        <v>30</v>
      </c>
    </row>
    <row r="3570" spans="1:13" x14ac:dyDescent="0.2">
      <c r="C3570" t="b">
        <v>0</v>
      </c>
      <c r="D3570">
        <v>8132.62</v>
      </c>
      <c r="E3570" t="s">
        <v>30</v>
      </c>
    </row>
    <row r="3571" spans="1:13" x14ac:dyDescent="0.2">
      <c r="C3571" t="b">
        <v>0</v>
      </c>
      <c r="D3571">
        <v>7262.12</v>
      </c>
      <c r="E3571" t="s">
        <v>30</v>
      </c>
    </row>
    <row r="3572" spans="1:13" x14ac:dyDescent="0.2">
      <c r="C3572" t="b">
        <v>0</v>
      </c>
      <c r="D3572">
        <v>7062.04</v>
      </c>
      <c r="E3572" t="s">
        <v>30</v>
      </c>
    </row>
    <row r="3573" spans="1:13" x14ac:dyDescent="0.2">
      <c r="C3573" t="b">
        <v>0</v>
      </c>
      <c r="D3573">
        <v>7462.28</v>
      </c>
      <c r="E3573" t="s">
        <v>30</v>
      </c>
    </row>
    <row r="3574" spans="1:13" x14ac:dyDescent="0.2">
      <c r="A3574" t="s">
        <v>0</v>
      </c>
    </row>
    <row r="3575" spans="1:13" x14ac:dyDescent="0.2"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t="s">
        <v>6</v>
      </c>
    </row>
    <row r="3576" spans="1:13" x14ac:dyDescent="0.2">
      <c r="B3576" t="b">
        <v>0</v>
      </c>
      <c r="C3576" t="s">
        <v>54</v>
      </c>
      <c r="D3576" t="s">
        <v>307</v>
      </c>
      <c r="E3576" t="s">
        <v>49</v>
      </c>
      <c r="F3576">
        <v>4</v>
      </c>
      <c r="G3576" t="s">
        <v>56</v>
      </c>
    </row>
    <row r="3577" spans="1:13" x14ac:dyDescent="0.2">
      <c r="B3577" t="s">
        <v>11</v>
      </c>
    </row>
    <row r="3578" spans="1:13" x14ac:dyDescent="0.2">
      <c r="B3578" t="s">
        <v>12</v>
      </c>
      <c r="C3578" t="s">
        <v>13</v>
      </c>
      <c r="D3578" t="s">
        <v>14</v>
      </c>
      <c r="E3578" t="s">
        <v>15</v>
      </c>
      <c r="F3578" t="s">
        <v>16</v>
      </c>
      <c r="G3578" t="s">
        <v>17</v>
      </c>
      <c r="H3578" t="s">
        <v>18</v>
      </c>
      <c r="I3578" t="s">
        <v>19</v>
      </c>
      <c r="J3578" t="s">
        <v>20</v>
      </c>
      <c r="K3578" t="s">
        <v>21</v>
      </c>
      <c r="L3578" t="s">
        <v>22</v>
      </c>
      <c r="M3578" t="s">
        <v>23</v>
      </c>
    </row>
    <row r="3579" spans="1:13" x14ac:dyDescent="0.2">
      <c r="B3579" t="s">
        <v>24</v>
      </c>
      <c r="C3579">
        <v>59</v>
      </c>
      <c r="E3579" t="s">
        <v>25</v>
      </c>
      <c r="F3579">
        <v>149115.04</v>
      </c>
      <c r="G3579">
        <v>1.2</v>
      </c>
      <c r="H3579">
        <v>4.5999999999999999E-2</v>
      </c>
      <c r="I3579" t="s">
        <v>26</v>
      </c>
      <c r="J3579">
        <v>1.2</v>
      </c>
      <c r="K3579">
        <v>0.1</v>
      </c>
      <c r="L3579">
        <v>7</v>
      </c>
    </row>
    <row r="3580" spans="1:13" x14ac:dyDescent="0.2">
      <c r="C3580" t="s">
        <v>27</v>
      </c>
    </row>
    <row r="3581" spans="1:13" x14ac:dyDescent="0.2">
      <c r="C3581" t="s">
        <v>28</v>
      </c>
      <c r="D3581" t="s">
        <v>16</v>
      </c>
      <c r="E3581" t="s">
        <v>29</v>
      </c>
      <c r="F3581" t="s">
        <v>18</v>
      </c>
    </row>
    <row r="3582" spans="1:13" x14ac:dyDescent="0.2">
      <c r="C3582" t="b">
        <v>0</v>
      </c>
      <c r="D3582">
        <v>146837.91</v>
      </c>
      <c r="E3582" t="s">
        <v>30</v>
      </c>
      <c r="F3582">
        <v>4.4999999999999998E-2</v>
      </c>
    </row>
    <row r="3583" spans="1:13" x14ac:dyDescent="0.2">
      <c r="C3583" t="b">
        <v>0</v>
      </c>
      <c r="D3583">
        <v>150606.84</v>
      </c>
      <c r="E3583" t="s">
        <v>30</v>
      </c>
      <c r="F3583">
        <v>4.5999999999999999E-2</v>
      </c>
    </row>
    <row r="3584" spans="1:13" x14ac:dyDescent="0.2">
      <c r="C3584" t="b">
        <v>0</v>
      </c>
      <c r="D3584">
        <v>147372.91</v>
      </c>
      <c r="E3584" t="s">
        <v>30</v>
      </c>
      <c r="F3584">
        <v>4.4999999999999998E-2</v>
      </c>
    </row>
    <row r="3585" spans="2:13" x14ac:dyDescent="0.2">
      <c r="C3585" t="b">
        <v>0</v>
      </c>
      <c r="D3585">
        <v>151285.47</v>
      </c>
      <c r="E3585" t="s">
        <v>30</v>
      </c>
      <c r="F3585">
        <v>4.7E-2</v>
      </c>
    </row>
    <row r="3586" spans="2:13" x14ac:dyDescent="0.2">
      <c r="C3586" t="b">
        <v>0</v>
      </c>
      <c r="D3586">
        <v>149031.15</v>
      </c>
      <c r="E3586" t="s">
        <v>30</v>
      </c>
      <c r="F3586">
        <v>4.5999999999999999E-2</v>
      </c>
    </row>
    <row r="3587" spans="2:13" x14ac:dyDescent="0.2">
      <c r="C3587" t="b">
        <v>0</v>
      </c>
      <c r="D3587">
        <v>150559.74</v>
      </c>
      <c r="E3587" t="s">
        <v>30</v>
      </c>
      <c r="F3587">
        <v>4.5999999999999999E-2</v>
      </c>
    </row>
    <row r="3588" spans="2:13" x14ac:dyDescent="0.2">
      <c r="C3588" t="b">
        <v>0</v>
      </c>
      <c r="D3588">
        <v>148111.23000000001</v>
      </c>
      <c r="E3588" t="s">
        <v>30</v>
      </c>
      <c r="F3588">
        <v>4.5999999999999999E-2</v>
      </c>
    </row>
    <row r="3589" spans="2:13" x14ac:dyDescent="0.2">
      <c r="B3589" t="s">
        <v>11</v>
      </c>
    </row>
    <row r="3590" spans="2:13" x14ac:dyDescent="0.2">
      <c r="B3590" t="s">
        <v>12</v>
      </c>
      <c r="C3590" t="s">
        <v>13</v>
      </c>
      <c r="D3590" t="s">
        <v>14</v>
      </c>
      <c r="E3590" t="s">
        <v>15</v>
      </c>
      <c r="F3590" t="s">
        <v>16</v>
      </c>
      <c r="G3590" t="s">
        <v>17</v>
      </c>
      <c r="H3590" t="s">
        <v>18</v>
      </c>
      <c r="I3590" t="s">
        <v>19</v>
      </c>
      <c r="J3590" t="s">
        <v>20</v>
      </c>
      <c r="K3590" t="s">
        <v>21</v>
      </c>
      <c r="L3590" t="s">
        <v>22</v>
      </c>
      <c r="M3590" t="s">
        <v>23</v>
      </c>
    </row>
    <row r="3591" spans="2:13" x14ac:dyDescent="0.2">
      <c r="B3591" t="s">
        <v>31</v>
      </c>
      <c r="C3591">
        <v>45</v>
      </c>
      <c r="E3591" t="s">
        <v>25</v>
      </c>
      <c r="F3591">
        <v>1485.84</v>
      </c>
      <c r="G3591">
        <v>7.6</v>
      </c>
      <c r="K3591">
        <v>0.1</v>
      </c>
      <c r="L3591">
        <v>7</v>
      </c>
      <c r="M3591">
        <v>114.5</v>
      </c>
    </row>
    <row r="3592" spans="2:13" x14ac:dyDescent="0.2">
      <c r="C3592" t="s">
        <v>27</v>
      </c>
    </row>
    <row r="3593" spans="2:13" x14ac:dyDescent="0.2">
      <c r="C3593" t="s">
        <v>28</v>
      </c>
      <c r="D3593" t="s">
        <v>16</v>
      </c>
      <c r="E3593" t="s">
        <v>29</v>
      </c>
      <c r="F3593" t="s">
        <v>18</v>
      </c>
    </row>
    <row r="3594" spans="2:13" x14ac:dyDescent="0.2">
      <c r="C3594" t="b">
        <v>0</v>
      </c>
      <c r="D3594">
        <v>1480.12</v>
      </c>
      <c r="E3594" t="s">
        <v>30</v>
      </c>
    </row>
    <row r="3595" spans="2:13" x14ac:dyDescent="0.2">
      <c r="C3595" t="b">
        <v>0</v>
      </c>
      <c r="D3595">
        <v>1370.11</v>
      </c>
      <c r="E3595" t="s">
        <v>30</v>
      </c>
    </row>
    <row r="3596" spans="2:13" x14ac:dyDescent="0.2">
      <c r="C3596" t="b">
        <v>0</v>
      </c>
      <c r="D3596">
        <v>1400.12</v>
      </c>
      <c r="E3596" t="s">
        <v>30</v>
      </c>
    </row>
    <row r="3597" spans="2:13" x14ac:dyDescent="0.2">
      <c r="C3597" t="b">
        <v>0</v>
      </c>
      <c r="D3597">
        <v>1590.14</v>
      </c>
      <c r="E3597" t="s">
        <v>30</v>
      </c>
    </row>
    <row r="3598" spans="2:13" x14ac:dyDescent="0.2">
      <c r="C3598" t="b">
        <v>0</v>
      </c>
      <c r="D3598">
        <v>1660.16</v>
      </c>
      <c r="E3598" t="s">
        <v>30</v>
      </c>
    </row>
    <row r="3599" spans="2:13" x14ac:dyDescent="0.2">
      <c r="C3599" t="b">
        <v>0</v>
      </c>
      <c r="D3599">
        <v>1370.12</v>
      </c>
      <c r="E3599" t="s">
        <v>30</v>
      </c>
    </row>
    <row r="3600" spans="2:13" x14ac:dyDescent="0.2">
      <c r="C3600" t="b">
        <v>0</v>
      </c>
      <c r="D3600">
        <v>1530.14</v>
      </c>
      <c r="E3600" t="s">
        <v>30</v>
      </c>
    </row>
    <row r="3601" spans="2:13" x14ac:dyDescent="0.2">
      <c r="B3601" t="s">
        <v>11</v>
      </c>
    </row>
    <row r="3602" spans="2:13" x14ac:dyDescent="0.2">
      <c r="B3602" t="s">
        <v>12</v>
      </c>
      <c r="C3602" t="s">
        <v>13</v>
      </c>
      <c r="D3602" t="s">
        <v>14</v>
      </c>
      <c r="E3602" t="s">
        <v>15</v>
      </c>
      <c r="F3602" t="s">
        <v>16</v>
      </c>
      <c r="G3602" t="s">
        <v>17</v>
      </c>
      <c r="H3602" t="s">
        <v>18</v>
      </c>
      <c r="I3602" t="s">
        <v>19</v>
      </c>
      <c r="J3602" t="s">
        <v>20</v>
      </c>
      <c r="K3602" t="s">
        <v>21</v>
      </c>
      <c r="L3602" t="s">
        <v>22</v>
      </c>
      <c r="M3602" t="s">
        <v>23</v>
      </c>
    </row>
    <row r="3603" spans="2:13" x14ac:dyDescent="0.2">
      <c r="B3603" t="s">
        <v>32</v>
      </c>
      <c r="C3603">
        <v>72</v>
      </c>
      <c r="E3603" t="s">
        <v>25</v>
      </c>
      <c r="F3603">
        <v>1381.54</v>
      </c>
      <c r="G3603">
        <v>8.6</v>
      </c>
      <c r="K3603">
        <v>0.1</v>
      </c>
      <c r="L3603">
        <v>7</v>
      </c>
      <c r="M3603">
        <v>100.1</v>
      </c>
    </row>
    <row r="3604" spans="2:13" x14ac:dyDescent="0.2">
      <c r="C3604" t="s">
        <v>27</v>
      </c>
    </row>
    <row r="3605" spans="2:13" x14ac:dyDescent="0.2">
      <c r="C3605" t="s">
        <v>28</v>
      </c>
      <c r="D3605" t="s">
        <v>16</v>
      </c>
      <c r="E3605" t="s">
        <v>29</v>
      </c>
      <c r="F3605" t="s">
        <v>18</v>
      </c>
    </row>
    <row r="3606" spans="2:13" x14ac:dyDescent="0.2">
      <c r="C3606" t="b">
        <v>0</v>
      </c>
      <c r="D3606">
        <v>1310.1099999999999</v>
      </c>
      <c r="E3606" t="s">
        <v>30</v>
      </c>
    </row>
    <row r="3607" spans="2:13" x14ac:dyDescent="0.2">
      <c r="C3607" t="b">
        <v>0</v>
      </c>
      <c r="D3607">
        <v>1380.11</v>
      </c>
      <c r="E3607" t="s">
        <v>30</v>
      </c>
    </row>
    <row r="3608" spans="2:13" x14ac:dyDescent="0.2">
      <c r="C3608" t="b">
        <v>0</v>
      </c>
      <c r="D3608">
        <v>1180.0999999999999</v>
      </c>
      <c r="E3608" t="s">
        <v>30</v>
      </c>
    </row>
    <row r="3609" spans="2:13" x14ac:dyDescent="0.2">
      <c r="C3609" t="b">
        <v>0</v>
      </c>
      <c r="D3609">
        <v>1430.12</v>
      </c>
      <c r="E3609" t="s">
        <v>30</v>
      </c>
    </row>
    <row r="3610" spans="2:13" x14ac:dyDescent="0.2">
      <c r="C3610" t="b">
        <v>0</v>
      </c>
      <c r="D3610">
        <v>1550.13</v>
      </c>
      <c r="E3610" t="s">
        <v>30</v>
      </c>
    </row>
    <row r="3611" spans="2:13" x14ac:dyDescent="0.2">
      <c r="C3611" t="b">
        <v>0</v>
      </c>
      <c r="D3611">
        <v>1470.12</v>
      </c>
      <c r="E3611" t="s">
        <v>30</v>
      </c>
    </row>
    <row r="3612" spans="2:13" x14ac:dyDescent="0.2">
      <c r="C3612" t="b">
        <v>0</v>
      </c>
      <c r="D3612">
        <v>1350.11</v>
      </c>
      <c r="E3612" t="s">
        <v>30</v>
      </c>
    </row>
    <row r="3613" spans="2:13" x14ac:dyDescent="0.2">
      <c r="B3613" t="s">
        <v>11</v>
      </c>
    </row>
    <row r="3614" spans="2:13" x14ac:dyDescent="0.2">
      <c r="B3614" t="s">
        <v>12</v>
      </c>
      <c r="C3614" t="s">
        <v>13</v>
      </c>
      <c r="D3614" t="s">
        <v>14</v>
      </c>
      <c r="E3614" t="s">
        <v>15</v>
      </c>
      <c r="F3614" t="s">
        <v>16</v>
      </c>
      <c r="G3614" t="s">
        <v>17</v>
      </c>
      <c r="H3614" t="s">
        <v>18</v>
      </c>
      <c r="I3614" t="s">
        <v>19</v>
      </c>
      <c r="J3614" t="s">
        <v>20</v>
      </c>
      <c r="K3614" t="s">
        <v>21</v>
      </c>
      <c r="L3614" t="s">
        <v>22</v>
      </c>
      <c r="M3614" t="s">
        <v>23</v>
      </c>
    </row>
    <row r="3615" spans="2:13" x14ac:dyDescent="0.2">
      <c r="B3615" t="s">
        <v>33</v>
      </c>
      <c r="C3615">
        <v>89</v>
      </c>
      <c r="E3615" t="s">
        <v>25</v>
      </c>
      <c r="F3615">
        <v>8820.27</v>
      </c>
      <c r="G3615">
        <v>5.4</v>
      </c>
      <c r="K3615">
        <v>0.1</v>
      </c>
      <c r="L3615">
        <v>7</v>
      </c>
      <c r="M3615">
        <v>117.1</v>
      </c>
    </row>
    <row r="3616" spans="2:13" x14ac:dyDescent="0.2">
      <c r="C3616" t="s">
        <v>27</v>
      </c>
    </row>
    <row r="3617" spans="1:13" x14ac:dyDescent="0.2">
      <c r="C3617" t="s">
        <v>28</v>
      </c>
      <c r="D3617" t="s">
        <v>16</v>
      </c>
      <c r="E3617" t="s">
        <v>29</v>
      </c>
      <c r="F3617" t="s">
        <v>18</v>
      </c>
    </row>
    <row r="3618" spans="1:13" x14ac:dyDescent="0.2">
      <c r="C3618" t="b">
        <v>0</v>
      </c>
      <c r="D3618">
        <v>8082.63</v>
      </c>
      <c r="E3618" t="s">
        <v>30</v>
      </c>
    </row>
    <row r="3619" spans="1:13" x14ac:dyDescent="0.2">
      <c r="C3619" t="b">
        <v>0</v>
      </c>
      <c r="D3619">
        <v>8242.75</v>
      </c>
      <c r="E3619" t="s">
        <v>30</v>
      </c>
    </row>
    <row r="3620" spans="1:13" x14ac:dyDescent="0.2">
      <c r="C3620" t="b">
        <v>0</v>
      </c>
      <c r="D3620">
        <v>8983.19</v>
      </c>
      <c r="E3620" t="s">
        <v>30</v>
      </c>
    </row>
    <row r="3621" spans="1:13" x14ac:dyDescent="0.2">
      <c r="C3621" t="b">
        <v>0</v>
      </c>
      <c r="D3621">
        <v>9103.2999999999993</v>
      </c>
      <c r="E3621" t="s">
        <v>30</v>
      </c>
    </row>
    <row r="3622" spans="1:13" x14ac:dyDescent="0.2">
      <c r="C3622" t="b">
        <v>0</v>
      </c>
      <c r="D3622">
        <v>9303.48</v>
      </c>
      <c r="E3622" t="s">
        <v>30</v>
      </c>
    </row>
    <row r="3623" spans="1:13" x14ac:dyDescent="0.2">
      <c r="C3623" t="b">
        <v>0</v>
      </c>
      <c r="D3623">
        <v>9203.39</v>
      </c>
      <c r="E3623" t="s">
        <v>30</v>
      </c>
    </row>
    <row r="3624" spans="1:13" x14ac:dyDescent="0.2">
      <c r="C3624" t="b">
        <v>0</v>
      </c>
      <c r="D3624">
        <v>8823.1200000000008</v>
      </c>
      <c r="E3624" t="s">
        <v>30</v>
      </c>
    </row>
    <row r="3625" spans="1:13" x14ac:dyDescent="0.2">
      <c r="A3625" t="s">
        <v>0</v>
      </c>
    </row>
    <row r="3626" spans="1:13" x14ac:dyDescent="0.2">
      <c r="B3626" t="s">
        <v>1</v>
      </c>
      <c r="C3626" t="s">
        <v>2</v>
      </c>
      <c r="D3626" t="s">
        <v>3</v>
      </c>
      <c r="E3626" t="s">
        <v>4</v>
      </c>
      <c r="F3626" t="s">
        <v>5</v>
      </c>
      <c r="G3626" t="s">
        <v>6</v>
      </c>
    </row>
    <row r="3627" spans="1:13" x14ac:dyDescent="0.2">
      <c r="B3627" t="b">
        <v>0</v>
      </c>
      <c r="C3627" t="s">
        <v>57</v>
      </c>
      <c r="D3627" t="s">
        <v>308</v>
      </c>
      <c r="E3627" t="s">
        <v>49</v>
      </c>
      <c r="F3627">
        <v>5</v>
      </c>
      <c r="G3627" t="s">
        <v>59</v>
      </c>
    </row>
    <row r="3628" spans="1:13" x14ac:dyDescent="0.2">
      <c r="B3628" t="s">
        <v>11</v>
      </c>
    </row>
    <row r="3629" spans="1:13" x14ac:dyDescent="0.2">
      <c r="B3629" t="s">
        <v>12</v>
      </c>
      <c r="C3629" t="s">
        <v>13</v>
      </c>
      <c r="D3629" t="s">
        <v>14</v>
      </c>
      <c r="E3629" t="s">
        <v>15</v>
      </c>
      <c r="F3629" t="s">
        <v>16</v>
      </c>
      <c r="G3629" t="s">
        <v>17</v>
      </c>
      <c r="H3629" t="s">
        <v>18</v>
      </c>
      <c r="I3629" t="s">
        <v>19</v>
      </c>
      <c r="J3629" t="s">
        <v>20</v>
      </c>
      <c r="K3629" t="s">
        <v>21</v>
      </c>
      <c r="L3629" t="s">
        <v>22</v>
      </c>
      <c r="M3629" t="s">
        <v>23</v>
      </c>
    </row>
    <row r="3630" spans="1:13" x14ac:dyDescent="0.2">
      <c r="B3630" t="s">
        <v>24</v>
      </c>
      <c r="C3630">
        <v>59</v>
      </c>
      <c r="E3630" t="s">
        <v>25</v>
      </c>
      <c r="F3630">
        <v>298225.69</v>
      </c>
      <c r="G3630">
        <v>1.2</v>
      </c>
      <c r="H3630">
        <v>9.1999999999999998E-2</v>
      </c>
      <c r="I3630" t="s">
        <v>26</v>
      </c>
      <c r="J3630">
        <v>1.2</v>
      </c>
      <c r="K3630">
        <v>0.1</v>
      </c>
      <c r="L3630">
        <v>7</v>
      </c>
    </row>
    <row r="3631" spans="1:13" x14ac:dyDescent="0.2">
      <c r="C3631" t="s">
        <v>27</v>
      </c>
    </row>
    <row r="3632" spans="1:13" x14ac:dyDescent="0.2">
      <c r="C3632" t="s">
        <v>28</v>
      </c>
      <c r="D3632" t="s">
        <v>16</v>
      </c>
      <c r="E3632" t="s">
        <v>29</v>
      </c>
      <c r="F3632" t="s">
        <v>18</v>
      </c>
    </row>
    <row r="3633" spans="2:13" x14ac:dyDescent="0.2">
      <c r="C3633" t="b">
        <v>0</v>
      </c>
      <c r="D3633">
        <v>293495.76</v>
      </c>
      <c r="E3633" t="s">
        <v>30</v>
      </c>
      <c r="F3633">
        <v>0.09</v>
      </c>
    </row>
    <row r="3634" spans="2:13" x14ac:dyDescent="0.2">
      <c r="C3634" t="b">
        <v>0</v>
      </c>
      <c r="D3634">
        <v>302524.62</v>
      </c>
      <c r="E3634" t="s">
        <v>30</v>
      </c>
      <c r="F3634">
        <v>9.2999999999999999E-2</v>
      </c>
    </row>
    <row r="3635" spans="2:13" x14ac:dyDescent="0.2">
      <c r="C3635" t="b">
        <v>0</v>
      </c>
      <c r="D3635">
        <v>297529.76</v>
      </c>
      <c r="E3635" t="s">
        <v>30</v>
      </c>
      <c r="F3635">
        <v>9.1999999999999998E-2</v>
      </c>
    </row>
    <row r="3636" spans="2:13" x14ac:dyDescent="0.2">
      <c r="C3636" t="b">
        <v>0</v>
      </c>
      <c r="D3636">
        <v>300995.5</v>
      </c>
      <c r="E3636" t="s">
        <v>30</v>
      </c>
      <c r="F3636">
        <v>9.2999999999999999E-2</v>
      </c>
    </row>
    <row r="3637" spans="2:13" x14ac:dyDescent="0.2">
      <c r="C3637" t="b">
        <v>0</v>
      </c>
      <c r="D3637">
        <v>294057.03000000003</v>
      </c>
      <c r="E3637" t="s">
        <v>30</v>
      </c>
      <c r="F3637">
        <v>9.0999999999999998E-2</v>
      </c>
    </row>
    <row r="3638" spans="2:13" x14ac:dyDescent="0.2">
      <c r="C3638" t="b">
        <v>0</v>
      </c>
      <c r="D3638">
        <v>297387.48</v>
      </c>
      <c r="E3638" t="s">
        <v>30</v>
      </c>
      <c r="F3638">
        <v>9.1999999999999998E-2</v>
      </c>
    </row>
    <row r="3639" spans="2:13" x14ac:dyDescent="0.2">
      <c r="C3639" t="b">
        <v>0</v>
      </c>
      <c r="D3639">
        <v>301589.68</v>
      </c>
      <c r="E3639" t="s">
        <v>30</v>
      </c>
      <c r="F3639">
        <v>9.2999999999999999E-2</v>
      </c>
    </row>
    <row r="3640" spans="2:13" x14ac:dyDescent="0.2">
      <c r="B3640" t="s">
        <v>11</v>
      </c>
    </row>
    <row r="3641" spans="2:13" x14ac:dyDescent="0.2">
      <c r="B3641" t="s">
        <v>12</v>
      </c>
      <c r="C3641" t="s">
        <v>13</v>
      </c>
      <c r="D3641" t="s">
        <v>14</v>
      </c>
      <c r="E3641" t="s">
        <v>15</v>
      </c>
      <c r="F3641" t="s">
        <v>16</v>
      </c>
      <c r="G3641" t="s">
        <v>17</v>
      </c>
      <c r="H3641" t="s">
        <v>18</v>
      </c>
      <c r="I3641" t="s">
        <v>19</v>
      </c>
      <c r="J3641" t="s">
        <v>20</v>
      </c>
      <c r="K3641" t="s">
        <v>21</v>
      </c>
      <c r="L3641" t="s">
        <v>22</v>
      </c>
      <c r="M3641" t="s">
        <v>23</v>
      </c>
    </row>
    <row r="3642" spans="2:13" x14ac:dyDescent="0.2">
      <c r="B3642" t="s">
        <v>31</v>
      </c>
      <c r="C3642">
        <v>45</v>
      </c>
      <c r="E3642" t="s">
        <v>25</v>
      </c>
      <c r="F3642">
        <v>1440.13</v>
      </c>
      <c r="G3642">
        <v>8.6999999999999993</v>
      </c>
      <c r="K3642">
        <v>0.1</v>
      </c>
      <c r="L3642">
        <v>7</v>
      </c>
      <c r="M3642">
        <v>111</v>
      </c>
    </row>
    <row r="3643" spans="2:13" x14ac:dyDescent="0.2">
      <c r="C3643" t="s">
        <v>27</v>
      </c>
    </row>
    <row r="3644" spans="2:13" x14ac:dyDescent="0.2">
      <c r="C3644" t="s">
        <v>28</v>
      </c>
      <c r="D3644" t="s">
        <v>16</v>
      </c>
      <c r="E3644" t="s">
        <v>29</v>
      </c>
      <c r="F3644" t="s">
        <v>18</v>
      </c>
    </row>
    <row r="3645" spans="2:13" x14ac:dyDescent="0.2">
      <c r="C3645" t="b">
        <v>0</v>
      </c>
      <c r="D3645">
        <v>1300.0999999999999</v>
      </c>
      <c r="E3645" t="s">
        <v>30</v>
      </c>
    </row>
    <row r="3646" spans="2:13" x14ac:dyDescent="0.2">
      <c r="C3646" t="b">
        <v>0</v>
      </c>
      <c r="D3646">
        <v>1440.14</v>
      </c>
      <c r="E3646" t="s">
        <v>30</v>
      </c>
    </row>
    <row r="3647" spans="2:13" x14ac:dyDescent="0.2">
      <c r="C3647" t="b">
        <v>0</v>
      </c>
      <c r="D3647">
        <v>1300.1199999999999</v>
      </c>
      <c r="E3647" t="s">
        <v>30</v>
      </c>
    </row>
    <row r="3648" spans="2:13" x14ac:dyDescent="0.2">
      <c r="C3648" t="b">
        <v>0</v>
      </c>
      <c r="D3648">
        <v>1660.16</v>
      </c>
      <c r="E3648" t="s">
        <v>30</v>
      </c>
    </row>
    <row r="3649" spans="2:13" x14ac:dyDescent="0.2">
      <c r="C3649" t="b">
        <v>0</v>
      </c>
      <c r="D3649">
        <v>1470.13</v>
      </c>
      <c r="E3649" t="s">
        <v>30</v>
      </c>
    </row>
    <row r="3650" spans="2:13" x14ac:dyDescent="0.2">
      <c r="C3650" t="b">
        <v>0</v>
      </c>
      <c r="D3650">
        <v>1510.14</v>
      </c>
      <c r="E3650" t="s">
        <v>30</v>
      </c>
    </row>
    <row r="3651" spans="2:13" x14ac:dyDescent="0.2">
      <c r="C3651" t="b">
        <v>0</v>
      </c>
      <c r="D3651">
        <v>1400.12</v>
      </c>
      <c r="E3651" t="s">
        <v>30</v>
      </c>
    </row>
    <row r="3652" spans="2:13" x14ac:dyDescent="0.2">
      <c r="B3652" t="s">
        <v>11</v>
      </c>
    </row>
    <row r="3653" spans="2:13" x14ac:dyDescent="0.2">
      <c r="B3653" t="s">
        <v>12</v>
      </c>
      <c r="C3653" t="s">
        <v>13</v>
      </c>
      <c r="D3653" t="s">
        <v>14</v>
      </c>
      <c r="E3653" t="s">
        <v>15</v>
      </c>
      <c r="F3653" t="s">
        <v>16</v>
      </c>
      <c r="G3653" t="s">
        <v>17</v>
      </c>
      <c r="H3653" t="s">
        <v>18</v>
      </c>
      <c r="I3653" t="s">
        <v>19</v>
      </c>
      <c r="J3653" t="s">
        <v>20</v>
      </c>
      <c r="K3653" t="s">
        <v>21</v>
      </c>
      <c r="L3653" t="s">
        <v>22</v>
      </c>
      <c r="M3653" t="s">
        <v>23</v>
      </c>
    </row>
    <row r="3654" spans="2:13" x14ac:dyDescent="0.2">
      <c r="B3654" t="s">
        <v>32</v>
      </c>
      <c r="C3654">
        <v>72</v>
      </c>
      <c r="E3654" t="s">
        <v>25</v>
      </c>
      <c r="F3654">
        <v>1418.7</v>
      </c>
      <c r="G3654">
        <v>8.1</v>
      </c>
      <c r="K3654">
        <v>0.1</v>
      </c>
      <c r="L3654">
        <v>7</v>
      </c>
      <c r="M3654">
        <v>102.8</v>
      </c>
    </row>
    <row r="3655" spans="2:13" x14ac:dyDescent="0.2">
      <c r="C3655" t="s">
        <v>27</v>
      </c>
    </row>
    <row r="3656" spans="2:13" x14ac:dyDescent="0.2">
      <c r="C3656" t="s">
        <v>28</v>
      </c>
      <c r="D3656" t="s">
        <v>16</v>
      </c>
      <c r="E3656" t="s">
        <v>29</v>
      </c>
      <c r="F3656" t="s">
        <v>18</v>
      </c>
    </row>
    <row r="3657" spans="2:13" x14ac:dyDescent="0.2">
      <c r="C3657" t="b">
        <v>0</v>
      </c>
      <c r="D3657">
        <v>1500.14</v>
      </c>
      <c r="E3657" t="s">
        <v>30</v>
      </c>
    </row>
    <row r="3658" spans="2:13" x14ac:dyDescent="0.2">
      <c r="C3658" t="b">
        <v>0</v>
      </c>
      <c r="D3658">
        <v>1410.12</v>
      </c>
      <c r="E3658" t="s">
        <v>30</v>
      </c>
    </row>
    <row r="3659" spans="2:13" x14ac:dyDescent="0.2">
      <c r="C3659" t="b">
        <v>0</v>
      </c>
      <c r="D3659">
        <v>1210.0999999999999</v>
      </c>
      <c r="E3659" t="s">
        <v>30</v>
      </c>
    </row>
    <row r="3660" spans="2:13" x14ac:dyDescent="0.2">
      <c r="C3660" t="b">
        <v>0</v>
      </c>
      <c r="D3660">
        <v>1320.12</v>
      </c>
      <c r="E3660" t="s">
        <v>30</v>
      </c>
    </row>
    <row r="3661" spans="2:13" x14ac:dyDescent="0.2">
      <c r="C3661" t="b">
        <v>0</v>
      </c>
      <c r="D3661">
        <v>1500.13</v>
      </c>
      <c r="E3661" t="s">
        <v>30</v>
      </c>
    </row>
    <row r="3662" spans="2:13" x14ac:dyDescent="0.2">
      <c r="C3662" t="b">
        <v>0</v>
      </c>
      <c r="D3662">
        <v>1520.14</v>
      </c>
      <c r="E3662" t="s">
        <v>30</v>
      </c>
    </row>
    <row r="3663" spans="2:13" x14ac:dyDescent="0.2">
      <c r="C3663" t="b">
        <v>0</v>
      </c>
      <c r="D3663">
        <v>1470.13</v>
      </c>
      <c r="E3663" t="s">
        <v>30</v>
      </c>
    </row>
    <row r="3664" spans="2:13" x14ac:dyDescent="0.2">
      <c r="B3664" t="s">
        <v>11</v>
      </c>
    </row>
    <row r="3665" spans="1:13" x14ac:dyDescent="0.2">
      <c r="B3665" t="s">
        <v>12</v>
      </c>
      <c r="C3665" t="s">
        <v>13</v>
      </c>
      <c r="D3665" t="s">
        <v>14</v>
      </c>
      <c r="E3665" t="s">
        <v>15</v>
      </c>
      <c r="F3665" t="s">
        <v>16</v>
      </c>
      <c r="G3665" t="s">
        <v>17</v>
      </c>
      <c r="H3665" t="s">
        <v>18</v>
      </c>
      <c r="I3665" t="s">
        <v>19</v>
      </c>
      <c r="J3665" t="s">
        <v>20</v>
      </c>
      <c r="K3665" t="s">
        <v>21</v>
      </c>
      <c r="L3665" t="s">
        <v>22</v>
      </c>
      <c r="M3665" t="s">
        <v>23</v>
      </c>
    </row>
    <row r="3666" spans="1:13" x14ac:dyDescent="0.2">
      <c r="B3666" t="s">
        <v>33</v>
      </c>
      <c r="C3666">
        <v>89</v>
      </c>
      <c r="E3666" t="s">
        <v>25</v>
      </c>
      <c r="F3666">
        <v>8001.16</v>
      </c>
      <c r="G3666">
        <v>4</v>
      </c>
      <c r="K3666">
        <v>0.1</v>
      </c>
      <c r="L3666">
        <v>7</v>
      </c>
      <c r="M3666">
        <v>106.2</v>
      </c>
    </row>
    <row r="3667" spans="1:13" x14ac:dyDescent="0.2">
      <c r="C3667" t="s">
        <v>27</v>
      </c>
    </row>
    <row r="3668" spans="1:13" x14ac:dyDescent="0.2">
      <c r="C3668" t="s">
        <v>28</v>
      </c>
      <c r="D3668" t="s">
        <v>16</v>
      </c>
      <c r="E3668" t="s">
        <v>29</v>
      </c>
      <c r="F3668" t="s">
        <v>18</v>
      </c>
    </row>
    <row r="3669" spans="1:13" x14ac:dyDescent="0.2">
      <c r="C3669" t="b">
        <v>0</v>
      </c>
      <c r="D3669">
        <v>7542.36</v>
      </c>
      <c r="E3669" t="s">
        <v>30</v>
      </c>
    </row>
    <row r="3670" spans="1:13" x14ac:dyDescent="0.2">
      <c r="C3670" t="b">
        <v>0</v>
      </c>
      <c r="D3670">
        <v>7762.45</v>
      </c>
      <c r="E3670" t="s">
        <v>30</v>
      </c>
    </row>
    <row r="3671" spans="1:13" x14ac:dyDescent="0.2">
      <c r="C3671" t="b">
        <v>0</v>
      </c>
      <c r="D3671">
        <v>8092.58</v>
      </c>
      <c r="E3671" t="s">
        <v>30</v>
      </c>
    </row>
    <row r="3672" spans="1:13" x14ac:dyDescent="0.2">
      <c r="C3672" t="b">
        <v>0</v>
      </c>
      <c r="D3672">
        <v>8252.77</v>
      </c>
      <c r="E3672" t="s">
        <v>30</v>
      </c>
    </row>
    <row r="3673" spans="1:13" x14ac:dyDescent="0.2">
      <c r="C3673" t="b">
        <v>0</v>
      </c>
      <c r="D3673">
        <v>7792.47</v>
      </c>
      <c r="E3673" t="s">
        <v>30</v>
      </c>
    </row>
    <row r="3674" spans="1:13" x14ac:dyDescent="0.2">
      <c r="C3674" t="b">
        <v>0</v>
      </c>
      <c r="D3674">
        <v>8102.63</v>
      </c>
      <c r="E3674" t="s">
        <v>30</v>
      </c>
    </row>
    <row r="3675" spans="1:13" x14ac:dyDescent="0.2">
      <c r="C3675" t="b">
        <v>0</v>
      </c>
      <c r="D3675">
        <v>8462.8700000000008</v>
      </c>
      <c r="E3675" t="s">
        <v>30</v>
      </c>
    </row>
    <row r="3676" spans="1:13" x14ac:dyDescent="0.2">
      <c r="A3676" t="s">
        <v>0</v>
      </c>
    </row>
    <row r="3677" spans="1:13" x14ac:dyDescent="0.2">
      <c r="B3677" t="s">
        <v>1</v>
      </c>
      <c r="C3677" t="s">
        <v>2</v>
      </c>
      <c r="D3677" t="s">
        <v>3</v>
      </c>
      <c r="E3677" t="s">
        <v>4</v>
      </c>
      <c r="F3677" t="s">
        <v>5</v>
      </c>
      <c r="G3677" t="s">
        <v>6</v>
      </c>
    </row>
    <row r="3678" spans="1:13" x14ac:dyDescent="0.2">
      <c r="B3678" t="b">
        <v>0</v>
      </c>
      <c r="C3678" t="s">
        <v>61</v>
      </c>
      <c r="D3678" t="s">
        <v>309</v>
      </c>
      <c r="E3678" t="s">
        <v>49</v>
      </c>
      <c r="F3678">
        <v>6</v>
      </c>
      <c r="G3678" t="s">
        <v>63</v>
      </c>
    </row>
    <row r="3679" spans="1:13" x14ac:dyDescent="0.2">
      <c r="B3679" t="s">
        <v>11</v>
      </c>
    </row>
    <row r="3680" spans="1:13" x14ac:dyDescent="0.2">
      <c r="B3680" t="s">
        <v>12</v>
      </c>
      <c r="C3680" t="s">
        <v>13</v>
      </c>
      <c r="D3680" t="s">
        <v>14</v>
      </c>
      <c r="E3680" t="s">
        <v>15</v>
      </c>
      <c r="F3680" t="s">
        <v>16</v>
      </c>
      <c r="G3680" t="s">
        <v>17</v>
      </c>
      <c r="H3680" t="s">
        <v>18</v>
      </c>
      <c r="I3680" t="s">
        <v>19</v>
      </c>
      <c r="J3680" t="s">
        <v>20</v>
      </c>
      <c r="K3680" t="s">
        <v>21</v>
      </c>
      <c r="L3680" t="s">
        <v>22</v>
      </c>
      <c r="M3680" t="s">
        <v>23</v>
      </c>
    </row>
    <row r="3681" spans="2:13" x14ac:dyDescent="0.2">
      <c r="B3681" t="s">
        <v>24</v>
      </c>
      <c r="C3681">
        <v>59</v>
      </c>
      <c r="E3681" t="s">
        <v>25</v>
      </c>
      <c r="F3681">
        <v>1625011.78</v>
      </c>
      <c r="G3681">
        <v>1.1000000000000001</v>
      </c>
      <c r="H3681">
        <v>0.501</v>
      </c>
      <c r="I3681" t="s">
        <v>26</v>
      </c>
      <c r="J3681">
        <v>1.1000000000000001</v>
      </c>
      <c r="K3681">
        <v>0.1</v>
      </c>
      <c r="L3681">
        <v>7</v>
      </c>
    </row>
    <row r="3682" spans="2:13" x14ac:dyDescent="0.2">
      <c r="C3682" t="s">
        <v>27</v>
      </c>
    </row>
    <row r="3683" spans="2:13" x14ac:dyDescent="0.2">
      <c r="C3683" t="s">
        <v>28</v>
      </c>
      <c r="D3683" t="s">
        <v>16</v>
      </c>
      <c r="E3683" t="s">
        <v>29</v>
      </c>
      <c r="F3683" t="s">
        <v>18</v>
      </c>
    </row>
    <row r="3684" spans="2:13" x14ac:dyDescent="0.2">
      <c r="C3684" t="b">
        <v>0</v>
      </c>
      <c r="D3684">
        <v>1635328.41</v>
      </c>
      <c r="E3684" t="s">
        <v>67</v>
      </c>
      <c r="F3684">
        <v>0.504</v>
      </c>
    </row>
    <row r="3685" spans="2:13" x14ac:dyDescent="0.2">
      <c r="C3685" t="b">
        <v>0</v>
      </c>
      <c r="D3685">
        <v>1642198.1</v>
      </c>
      <c r="E3685" t="s">
        <v>67</v>
      </c>
      <c r="F3685">
        <v>0.50600000000000001</v>
      </c>
    </row>
    <row r="3686" spans="2:13" x14ac:dyDescent="0.2">
      <c r="C3686" t="b">
        <v>0</v>
      </c>
      <c r="D3686">
        <v>1596665.76</v>
      </c>
      <c r="E3686" t="s">
        <v>67</v>
      </c>
      <c r="F3686">
        <v>0.49199999999999999</v>
      </c>
    </row>
    <row r="3687" spans="2:13" x14ac:dyDescent="0.2">
      <c r="C3687" t="b">
        <v>0</v>
      </c>
      <c r="D3687">
        <v>1636523.73</v>
      </c>
      <c r="E3687" t="s">
        <v>67</v>
      </c>
      <c r="F3687">
        <v>0.504</v>
      </c>
    </row>
    <row r="3688" spans="2:13" x14ac:dyDescent="0.2">
      <c r="C3688" t="b">
        <v>0</v>
      </c>
      <c r="D3688">
        <v>1602103.73</v>
      </c>
      <c r="E3688" t="s">
        <v>67</v>
      </c>
      <c r="F3688">
        <v>0.49399999999999999</v>
      </c>
    </row>
    <row r="3689" spans="2:13" x14ac:dyDescent="0.2">
      <c r="C3689" t="b">
        <v>0</v>
      </c>
      <c r="D3689">
        <v>1628973.41</v>
      </c>
      <c r="E3689" t="s">
        <v>67</v>
      </c>
      <c r="F3689">
        <v>0.502</v>
      </c>
    </row>
    <row r="3690" spans="2:13" x14ac:dyDescent="0.2">
      <c r="C3690" t="b">
        <v>0</v>
      </c>
      <c r="D3690">
        <v>1633289.35</v>
      </c>
      <c r="E3690" t="s">
        <v>67</v>
      </c>
      <c r="F3690">
        <v>0.503</v>
      </c>
    </row>
    <row r="3691" spans="2:13" x14ac:dyDescent="0.2">
      <c r="B3691" t="s">
        <v>11</v>
      </c>
    </row>
    <row r="3692" spans="2:13" x14ac:dyDescent="0.2">
      <c r="B3692" t="s">
        <v>12</v>
      </c>
      <c r="C3692" t="s">
        <v>13</v>
      </c>
      <c r="D3692" t="s">
        <v>14</v>
      </c>
      <c r="E3692" t="s">
        <v>15</v>
      </c>
      <c r="F3692" t="s">
        <v>16</v>
      </c>
      <c r="G3692" t="s">
        <v>17</v>
      </c>
      <c r="H3692" t="s">
        <v>18</v>
      </c>
      <c r="I3692" t="s">
        <v>19</v>
      </c>
      <c r="J3692" t="s">
        <v>20</v>
      </c>
      <c r="K3692" t="s">
        <v>21</v>
      </c>
      <c r="L3692" t="s">
        <v>22</v>
      </c>
      <c r="M3692" t="s">
        <v>23</v>
      </c>
    </row>
    <row r="3693" spans="2:13" x14ac:dyDescent="0.2">
      <c r="B3693" t="s">
        <v>31</v>
      </c>
      <c r="C3693">
        <v>45</v>
      </c>
      <c r="E3693" t="s">
        <v>25</v>
      </c>
      <c r="F3693">
        <v>1382.98</v>
      </c>
      <c r="G3693">
        <v>11.9</v>
      </c>
      <c r="K3693">
        <v>0.1</v>
      </c>
      <c r="L3693">
        <v>7</v>
      </c>
      <c r="M3693">
        <v>106.6</v>
      </c>
    </row>
    <row r="3694" spans="2:13" x14ac:dyDescent="0.2">
      <c r="C3694" t="s">
        <v>27</v>
      </c>
    </row>
    <row r="3695" spans="2:13" x14ac:dyDescent="0.2">
      <c r="C3695" t="s">
        <v>28</v>
      </c>
      <c r="D3695" t="s">
        <v>16</v>
      </c>
      <c r="E3695" t="s">
        <v>29</v>
      </c>
      <c r="F3695" t="s">
        <v>18</v>
      </c>
    </row>
    <row r="3696" spans="2:13" x14ac:dyDescent="0.2">
      <c r="C3696" t="b">
        <v>0</v>
      </c>
      <c r="D3696">
        <v>1110.08</v>
      </c>
      <c r="E3696" t="s">
        <v>30</v>
      </c>
    </row>
    <row r="3697" spans="2:13" x14ac:dyDescent="0.2">
      <c r="C3697" t="b">
        <v>0</v>
      </c>
      <c r="D3697">
        <v>1500.13</v>
      </c>
      <c r="E3697" t="s">
        <v>30</v>
      </c>
    </row>
    <row r="3698" spans="2:13" x14ac:dyDescent="0.2">
      <c r="C3698" t="b">
        <v>0</v>
      </c>
      <c r="D3698">
        <v>1600.17</v>
      </c>
      <c r="E3698" t="s">
        <v>30</v>
      </c>
    </row>
    <row r="3699" spans="2:13" x14ac:dyDescent="0.2">
      <c r="C3699" t="b">
        <v>0</v>
      </c>
      <c r="D3699">
        <v>1360.11</v>
      </c>
      <c r="E3699" t="s">
        <v>30</v>
      </c>
    </row>
    <row r="3700" spans="2:13" x14ac:dyDescent="0.2">
      <c r="C3700" t="b">
        <v>0</v>
      </c>
      <c r="D3700">
        <v>1330.12</v>
      </c>
      <c r="E3700" t="s">
        <v>30</v>
      </c>
    </row>
    <row r="3701" spans="2:13" x14ac:dyDescent="0.2">
      <c r="C3701" t="b">
        <v>0</v>
      </c>
      <c r="D3701">
        <v>1500.13</v>
      </c>
      <c r="E3701" t="s">
        <v>30</v>
      </c>
    </row>
    <row r="3702" spans="2:13" x14ac:dyDescent="0.2">
      <c r="C3702" t="b">
        <v>0</v>
      </c>
      <c r="D3702">
        <v>1280.1099999999999</v>
      </c>
      <c r="E3702" t="s">
        <v>30</v>
      </c>
    </row>
    <row r="3703" spans="2:13" x14ac:dyDescent="0.2">
      <c r="B3703" t="s">
        <v>11</v>
      </c>
    </row>
    <row r="3704" spans="2:13" x14ac:dyDescent="0.2">
      <c r="B3704" t="s">
        <v>12</v>
      </c>
      <c r="C3704" t="s">
        <v>13</v>
      </c>
      <c r="D3704" t="s">
        <v>14</v>
      </c>
      <c r="E3704" t="s">
        <v>15</v>
      </c>
      <c r="F3704" t="s">
        <v>16</v>
      </c>
      <c r="G3704" t="s">
        <v>17</v>
      </c>
      <c r="H3704" t="s">
        <v>18</v>
      </c>
      <c r="I3704" t="s">
        <v>19</v>
      </c>
      <c r="J3704" t="s">
        <v>20</v>
      </c>
      <c r="K3704" t="s">
        <v>21</v>
      </c>
      <c r="L3704" t="s">
        <v>22</v>
      </c>
      <c r="M3704" t="s">
        <v>23</v>
      </c>
    </row>
    <row r="3705" spans="2:13" x14ac:dyDescent="0.2">
      <c r="B3705" t="s">
        <v>32</v>
      </c>
      <c r="C3705">
        <v>72</v>
      </c>
      <c r="E3705" t="s">
        <v>25</v>
      </c>
      <c r="F3705">
        <v>1441.56</v>
      </c>
      <c r="G3705">
        <v>5.6</v>
      </c>
      <c r="K3705">
        <v>0.1</v>
      </c>
      <c r="L3705">
        <v>7</v>
      </c>
      <c r="M3705">
        <v>104.5</v>
      </c>
    </row>
    <row r="3706" spans="2:13" x14ac:dyDescent="0.2">
      <c r="C3706" t="s">
        <v>27</v>
      </c>
    </row>
    <row r="3707" spans="2:13" x14ac:dyDescent="0.2">
      <c r="C3707" t="s">
        <v>28</v>
      </c>
      <c r="D3707" t="s">
        <v>16</v>
      </c>
      <c r="E3707" t="s">
        <v>29</v>
      </c>
      <c r="F3707" t="s">
        <v>18</v>
      </c>
    </row>
    <row r="3708" spans="2:13" x14ac:dyDescent="0.2">
      <c r="C3708" t="b">
        <v>0</v>
      </c>
      <c r="D3708">
        <v>1390.12</v>
      </c>
      <c r="E3708" t="s">
        <v>30</v>
      </c>
    </row>
    <row r="3709" spans="2:13" x14ac:dyDescent="0.2">
      <c r="C3709" t="b">
        <v>0</v>
      </c>
      <c r="D3709">
        <v>1340.11</v>
      </c>
      <c r="E3709" t="s">
        <v>30</v>
      </c>
    </row>
    <row r="3710" spans="2:13" x14ac:dyDescent="0.2">
      <c r="C3710" t="b">
        <v>0</v>
      </c>
      <c r="D3710">
        <v>1490.15</v>
      </c>
      <c r="E3710" t="s">
        <v>30</v>
      </c>
    </row>
    <row r="3711" spans="2:13" x14ac:dyDescent="0.2">
      <c r="C3711" t="b">
        <v>0</v>
      </c>
      <c r="D3711">
        <v>1470.13</v>
      </c>
      <c r="E3711" t="s">
        <v>30</v>
      </c>
    </row>
    <row r="3712" spans="2:13" x14ac:dyDescent="0.2">
      <c r="C3712" t="b">
        <v>0</v>
      </c>
      <c r="D3712">
        <v>1540.13</v>
      </c>
      <c r="E3712" t="s">
        <v>30</v>
      </c>
    </row>
    <row r="3713" spans="1:13" x14ac:dyDescent="0.2">
      <c r="C3713" t="b">
        <v>0</v>
      </c>
      <c r="D3713">
        <v>1350.12</v>
      </c>
      <c r="E3713" t="s">
        <v>30</v>
      </c>
    </row>
    <row r="3714" spans="1:13" x14ac:dyDescent="0.2">
      <c r="C3714" t="b">
        <v>0</v>
      </c>
      <c r="D3714">
        <v>1510.15</v>
      </c>
      <c r="E3714" t="s">
        <v>30</v>
      </c>
    </row>
    <row r="3715" spans="1:13" x14ac:dyDescent="0.2">
      <c r="B3715" t="s">
        <v>11</v>
      </c>
    </row>
    <row r="3716" spans="1:13" x14ac:dyDescent="0.2">
      <c r="B3716" t="s">
        <v>12</v>
      </c>
      <c r="C3716" t="s">
        <v>13</v>
      </c>
      <c r="D3716" t="s">
        <v>14</v>
      </c>
      <c r="E3716" t="s">
        <v>15</v>
      </c>
      <c r="F3716" t="s">
        <v>16</v>
      </c>
      <c r="G3716" t="s">
        <v>17</v>
      </c>
      <c r="H3716" t="s">
        <v>18</v>
      </c>
      <c r="I3716" t="s">
        <v>19</v>
      </c>
      <c r="J3716" t="s">
        <v>20</v>
      </c>
      <c r="K3716" t="s">
        <v>21</v>
      </c>
      <c r="L3716" t="s">
        <v>22</v>
      </c>
      <c r="M3716" t="s">
        <v>23</v>
      </c>
    </row>
    <row r="3717" spans="1:13" x14ac:dyDescent="0.2">
      <c r="B3717" t="s">
        <v>33</v>
      </c>
      <c r="C3717">
        <v>89</v>
      </c>
      <c r="E3717" t="s">
        <v>25</v>
      </c>
      <c r="F3717">
        <v>8378.5300000000007</v>
      </c>
      <c r="G3717">
        <v>2.6</v>
      </c>
      <c r="K3717">
        <v>0.1</v>
      </c>
      <c r="L3717">
        <v>7</v>
      </c>
      <c r="M3717">
        <v>111.2</v>
      </c>
    </row>
    <row r="3718" spans="1:13" x14ac:dyDescent="0.2">
      <c r="C3718" t="s">
        <v>27</v>
      </c>
    </row>
    <row r="3719" spans="1:13" x14ac:dyDescent="0.2">
      <c r="C3719" t="s">
        <v>28</v>
      </c>
      <c r="D3719" t="s">
        <v>16</v>
      </c>
      <c r="E3719" t="s">
        <v>29</v>
      </c>
      <c r="F3719" t="s">
        <v>18</v>
      </c>
    </row>
    <row r="3720" spans="1:13" x14ac:dyDescent="0.2">
      <c r="C3720" t="b">
        <v>0</v>
      </c>
      <c r="D3720">
        <v>8282.84</v>
      </c>
      <c r="E3720" t="s">
        <v>30</v>
      </c>
    </row>
    <row r="3721" spans="1:13" x14ac:dyDescent="0.2">
      <c r="C3721" t="b">
        <v>0</v>
      </c>
      <c r="D3721">
        <v>8853.11</v>
      </c>
      <c r="E3721" t="s">
        <v>30</v>
      </c>
    </row>
    <row r="3722" spans="1:13" x14ac:dyDescent="0.2">
      <c r="C3722" t="b">
        <v>0</v>
      </c>
      <c r="D3722">
        <v>8382.73</v>
      </c>
      <c r="E3722" t="s">
        <v>30</v>
      </c>
    </row>
    <row r="3723" spans="1:13" x14ac:dyDescent="0.2">
      <c r="C3723" t="b">
        <v>0</v>
      </c>
      <c r="D3723">
        <v>8312.85</v>
      </c>
      <c r="E3723" t="s">
        <v>30</v>
      </c>
    </row>
    <row r="3724" spans="1:13" x14ac:dyDescent="0.2">
      <c r="C3724" t="b">
        <v>0</v>
      </c>
      <c r="D3724">
        <v>8312.74</v>
      </c>
      <c r="E3724" t="s">
        <v>30</v>
      </c>
    </row>
    <row r="3725" spans="1:13" x14ac:dyDescent="0.2">
      <c r="C3725" t="b">
        <v>0</v>
      </c>
      <c r="D3725">
        <v>8172.68</v>
      </c>
      <c r="E3725" t="s">
        <v>30</v>
      </c>
    </row>
    <row r="3726" spans="1:13" x14ac:dyDescent="0.2">
      <c r="C3726" t="b">
        <v>0</v>
      </c>
      <c r="D3726">
        <v>8332.73</v>
      </c>
      <c r="E3726" t="s">
        <v>30</v>
      </c>
    </row>
    <row r="3727" spans="1:13" x14ac:dyDescent="0.2">
      <c r="A3727" t="s">
        <v>0</v>
      </c>
    </row>
    <row r="3728" spans="1:13" x14ac:dyDescent="0.2">
      <c r="B3728" t="s">
        <v>1</v>
      </c>
      <c r="C3728" t="s">
        <v>2</v>
      </c>
      <c r="D3728" t="s">
        <v>3</v>
      </c>
      <c r="E3728" t="s">
        <v>4</v>
      </c>
      <c r="F3728" t="s">
        <v>5</v>
      </c>
      <c r="G3728" t="s">
        <v>6</v>
      </c>
    </row>
    <row r="3729" spans="2:13" x14ac:dyDescent="0.2">
      <c r="B3729" t="b">
        <v>0</v>
      </c>
      <c r="C3729" t="s">
        <v>64</v>
      </c>
      <c r="D3729" t="s">
        <v>310</v>
      </c>
      <c r="E3729" t="s">
        <v>49</v>
      </c>
      <c r="F3729">
        <v>7</v>
      </c>
      <c r="G3729" t="s">
        <v>66</v>
      </c>
    </row>
    <row r="3730" spans="2:13" x14ac:dyDescent="0.2">
      <c r="B3730" t="s">
        <v>11</v>
      </c>
    </row>
    <row r="3731" spans="2:13" x14ac:dyDescent="0.2">
      <c r="B3731" t="s">
        <v>12</v>
      </c>
      <c r="C3731" t="s">
        <v>13</v>
      </c>
      <c r="D3731" t="s">
        <v>14</v>
      </c>
      <c r="E3731" t="s">
        <v>15</v>
      </c>
      <c r="F3731" t="s">
        <v>16</v>
      </c>
      <c r="G3731" t="s">
        <v>17</v>
      </c>
      <c r="H3731" t="s">
        <v>18</v>
      </c>
      <c r="I3731" t="s">
        <v>19</v>
      </c>
      <c r="J3731" t="s">
        <v>20</v>
      </c>
      <c r="K3731" t="s">
        <v>21</v>
      </c>
      <c r="L3731" t="s">
        <v>22</v>
      </c>
      <c r="M3731" t="s">
        <v>23</v>
      </c>
    </row>
    <row r="3732" spans="2:13" x14ac:dyDescent="0.2">
      <c r="B3732" t="s">
        <v>24</v>
      </c>
      <c r="C3732">
        <v>59</v>
      </c>
      <c r="E3732" t="s">
        <v>25</v>
      </c>
      <c r="F3732">
        <v>3297162.58</v>
      </c>
      <c r="G3732">
        <v>1.3</v>
      </c>
      <c r="H3732">
        <v>1.016</v>
      </c>
      <c r="I3732" t="s">
        <v>26</v>
      </c>
      <c r="J3732">
        <v>1.3</v>
      </c>
      <c r="K3732">
        <v>0.1</v>
      </c>
      <c r="L3732">
        <v>7</v>
      </c>
    </row>
    <row r="3733" spans="2:13" x14ac:dyDescent="0.2">
      <c r="C3733" t="s">
        <v>27</v>
      </c>
    </row>
    <row r="3734" spans="2:13" x14ac:dyDescent="0.2">
      <c r="C3734" t="s">
        <v>28</v>
      </c>
      <c r="D3734" t="s">
        <v>16</v>
      </c>
      <c r="E3734" t="s">
        <v>29</v>
      </c>
      <c r="F3734" t="s">
        <v>18</v>
      </c>
    </row>
    <row r="3735" spans="2:13" x14ac:dyDescent="0.2">
      <c r="C3735" t="b">
        <v>0</v>
      </c>
      <c r="D3735">
        <v>3337142.14</v>
      </c>
      <c r="E3735" t="s">
        <v>67</v>
      </c>
      <c r="F3735">
        <v>1.028</v>
      </c>
    </row>
    <row r="3736" spans="2:13" x14ac:dyDescent="0.2">
      <c r="C3736" t="b">
        <v>0</v>
      </c>
      <c r="D3736">
        <v>3302629.33</v>
      </c>
      <c r="E3736" t="s">
        <v>67</v>
      </c>
      <c r="F3736">
        <v>1.018</v>
      </c>
    </row>
    <row r="3737" spans="2:13" x14ac:dyDescent="0.2">
      <c r="C3737" t="b">
        <v>0</v>
      </c>
      <c r="D3737">
        <v>3244075.89</v>
      </c>
      <c r="E3737" t="s">
        <v>67</v>
      </c>
      <c r="F3737">
        <v>1</v>
      </c>
    </row>
    <row r="3738" spans="2:13" x14ac:dyDescent="0.2">
      <c r="C3738" t="b">
        <v>0</v>
      </c>
      <c r="D3738">
        <v>3322406.51</v>
      </c>
      <c r="E3738" t="s">
        <v>67</v>
      </c>
      <c r="F3738">
        <v>1.024</v>
      </c>
    </row>
    <row r="3739" spans="2:13" x14ac:dyDescent="0.2">
      <c r="C3739" t="b">
        <v>0</v>
      </c>
      <c r="D3739">
        <v>3284019.01</v>
      </c>
      <c r="E3739" t="s">
        <v>67</v>
      </c>
      <c r="F3739">
        <v>1.012</v>
      </c>
    </row>
    <row r="3740" spans="2:13" x14ac:dyDescent="0.2">
      <c r="C3740" t="b">
        <v>0</v>
      </c>
      <c r="D3740">
        <v>3350157.45</v>
      </c>
      <c r="E3740" t="s">
        <v>67</v>
      </c>
      <c r="F3740">
        <v>1.0329999999999999</v>
      </c>
    </row>
    <row r="3741" spans="2:13" x14ac:dyDescent="0.2">
      <c r="C3741" t="b">
        <v>0</v>
      </c>
      <c r="D3741">
        <v>3239707.76</v>
      </c>
      <c r="E3741" t="s">
        <v>67</v>
      </c>
      <c r="F3741">
        <v>0.998</v>
      </c>
    </row>
    <row r="3742" spans="2:13" x14ac:dyDescent="0.2">
      <c r="B3742" t="s">
        <v>11</v>
      </c>
    </row>
    <row r="3743" spans="2:13" x14ac:dyDescent="0.2">
      <c r="B3743" t="s">
        <v>12</v>
      </c>
      <c r="C3743" t="s">
        <v>13</v>
      </c>
      <c r="D3743" t="s">
        <v>14</v>
      </c>
      <c r="E3743" t="s">
        <v>15</v>
      </c>
      <c r="F3743" t="s">
        <v>16</v>
      </c>
      <c r="G3743" t="s">
        <v>17</v>
      </c>
      <c r="H3743" t="s">
        <v>18</v>
      </c>
      <c r="I3743" t="s">
        <v>19</v>
      </c>
      <c r="J3743" t="s">
        <v>20</v>
      </c>
      <c r="K3743" t="s">
        <v>21</v>
      </c>
      <c r="L3743" t="s">
        <v>22</v>
      </c>
      <c r="M3743" t="s">
        <v>23</v>
      </c>
    </row>
    <row r="3744" spans="2:13" x14ac:dyDescent="0.2">
      <c r="B3744" t="s">
        <v>31</v>
      </c>
      <c r="C3744">
        <v>45</v>
      </c>
      <c r="E3744" t="s">
        <v>25</v>
      </c>
      <c r="F3744">
        <v>1397.26</v>
      </c>
      <c r="G3744">
        <v>7.8</v>
      </c>
      <c r="K3744">
        <v>0.1</v>
      </c>
      <c r="L3744">
        <v>7</v>
      </c>
      <c r="M3744">
        <v>107.7</v>
      </c>
    </row>
    <row r="3745" spans="2:13" x14ac:dyDescent="0.2">
      <c r="C3745" t="s">
        <v>27</v>
      </c>
    </row>
    <row r="3746" spans="2:13" x14ac:dyDescent="0.2">
      <c r="C3746" t="s">
        <v>28</v>
      </c>
      <c r="D3746" t="s">
        <v>16</v>
      </c>
      <c r="E3746" t="s">
        <v>29</v>
      </c>
      <c r="F3746" t="s">
        <v>18</v>
      </c>
    </row>
    <row r="3747" spans="2:13" x14ac:dyDescent="0.2">
      <c r="C3747" t="b">
        <v>0</v>
      </c>
      <c r="D3747">
        <v>1330.11</v>
      </c>
      <c r="E3747" t="s">
        <v>30</v>
      </c>
    </row>
    <row r="3748" spans="2:13" x14ac:dyDescent="0.2">
      <c r="C3748" t="b">
        <v>0</v>
      </c>
      <c r="D3748">
        <v>1260.0999999999999</v>
      </c>
      <c r="E3748" t="s">
        <v>30</v>
      </c>
    </row>
    <row r="3749" spans="2:13" x14ac:dyDescent="0.2">
      <c r="C3749" t="b">
        <v>0</v>
      </c>
      <c r="D3749">
        <v>1500.14</v>
      </c>
      <c r="E3749" t="s">
        <v>30</v>
      </c>
    </row>
    <row r="3750" spans="2:13" x14ac:dyDescent="0.2">
      <c r="C3750" t="b">
        <v>0</v>
      </c>
      <c r="D3750">
        <v>1430.12</v>
      </c>
      <c r="E3750" t="s">
        <v>30</v>
      </c>
    </row>
    <row r="3751" spans="2:13" x14ac:dyDescent="0.2">
      <c r="C3751" t="b">
        <v>0</v>
      </c>
      <c r="D3751">
        <v>1420.13</v>
      </c>
      <c r="E3751" t="s">
        <v>30</v>
      </c>
    </row>
    <row r="3752" spans="2:13" x14ac:dyDescent="0.2">
      <c r="C3752" t="b">
        <v>0</v>
      </c>
      <c r="D3752">
        <v>1550.14</v>
      </c>
      <c r="E3752" t="s">
        <v>30</v>
      </c>
    </row>
    <row r="3753" spans="2:13" x14ac:dyDescent="0.2">
      <c r="C3753" t="b">
        <v>0</v>
      </c>
      <c r="D3753">
        <v>1290.1099999999999</v>
      </c>
      <c r="E3753" t="s">
        <v>30</v>
      </c>
    </row>
    <row r="3754" spans="2:13" x14ac:dyDescent="0.2">
      <c r="B3754" t="s">
        <v>11</v>
      </c>
    </row>
    <row r="3755" spans="2:13" x14ac:dyDescent="0.2">
      <c r="B3755" t="s">
        <v>12</v>
      </c>
      <c r="C3755" t="s">
        <v>13</v>
      </c>
      <c r="D3755" t="s">
        <v>14</v>
      </c>
      <c r="E3755" t="s">
        <v>15</v>
      </c>
      <c r="F3755" t="s">
        <v>16</v>
      </c>
      <c r="G3755" t="s">
        <v>17</v>
      </c>
      <c r="H3755" t="s">
        <v>18</v>
      </c>
      <c r="I3755" t="s">
        <v>19</v>
      </c>
      <c r="J3755" t="s">
        <v>20</v>
      </c>
      <c r="K3755" t="s">
        <v>21</v>
      </c>
      <c r="L3755" t="s">
        <v>22</v>
      </c>
      <c r="M3755" t="s">
        <v>23</v>
      </c>
    </row>
    <row r="3756" spans="2:13" x14ac:dyDescent="0.2">
      <c r="B3756" t="s">
        <v>32</v>
      </c>
      <c r="C3756">
        <v>72</v>
      </c>
      <c r="E3756" t="s">
        <v>25</v>
      </c>
      <c r="F3756">
        <v>1378.69</v>
      </c>
      <c r="G3756">
        <v>11</v>
      </c>
      <c r="K3756">
        <v>0.1</v>
      </c>
      <c r="L3756">
        <v>7</v>
      </c>
      <c r="M3756">
        <v>99.9</v>
      </c>
    </row>
    <row r="3757" spans="2:13" x14ac:dyDescent="0.2">
      <c r="C3757" t="s">
        <v>27</v>
      </c>
    </row>
    <row r="3758" spans="2:13" x14ac:dyDescent="0.2">
      <c r="C3758" t="s">
        <v>28</v>
      </c>
      <c r="D3758" t="s">
        <v>16</v>
      </c>
      <c r="E3758" t="s">
        <v>29</v>
      </c>
      <c r="F3758" t="s">
        <v>18</v>
      </c>
    </row>
    <row r="3759" spans="2:13" x14ac:dyDescent="0.2">
      <c r="C3759" t="b">
        <v>0</v>
      </c>
      <c r="D3759">
        <v>1230.0999999999999</v>
      </c>
      <c r="E3759" t="s">
        <v>30</v>
      </c>
    </row>
    <row r="3760" spans="2:13" x14ac:dyDescent="0.2">
      <c r="C3760" t="b">
        <v>0</v>
      </c>
      <c r="D3760">
        <v>1540.14</v>
      </c>
      <c r="E3760" t="s">
        <v>30</v>
      </c>
    </row>
    <row r="3761" spans="2:13" x14ac:dyDescent="0.2">
      <c r="C3761" t="b">
        <v>0</v>
      </c>
      <c r="D3761">
        <v>1350.11</v>
      </c>
      <c r="E3761" t="s">
        <v>30</v>
      </c>
    </row>
    <row r="3762" spans="2:13" x14ac:dyDescent="0.2">
      <c r="C3762" t="b">
        <v>0</v>
      </c>
      <c r="D3762">
        <v>1390.12</v>
      </c>
      <c r="E3762" t="s">
        <v>30</v>
      </c>
    </row>
    <row r="3763" spans="2:13" x14ac:dyDescent="0.2">
      <c r="C3763" t="b">
        <v>0</v>
      </c>
      <c r="D3763">
        <v>1220.0999999999999</v>
      </c>
      <c r="E3763" t="s">
        <v>30</v>
      </c>
    </row>
    <row r="3764" spans="2:13" x14ac:dyDescent="0.2">
      <c r="C3764" t="b">
        <v>0</v>
      </c>
      <c r="D3764">
        <v>1620.15</v>
      </c>
      <c r="E3764" t="s">
        <v>30</v>
      </c>
    </row>
    <row r="3765" spans="2:13" x14ac:dyDescent="0.2">
      <c r="C3765" t="b">
        <v>0</v>
      </c>
      <c r="D3765">
        <v>1300.0999999999999</v>
      </c>
      <c r="E3765" t="s">
        <v>30</v>
      </c>
    </row>
    <row r="3766" spans="2:13" x14ac:dyDescent="0.2">
      <c r="B3766" t="s">
        <v>11</v>
      </c>
    </row>
    <row r="3767" spans="2:13" x14ac:dyDescent="0.2">
      <c r="B3767" t="s">
        <v>12</v>
      </c>
      <c r="C3767" t="s">
        <v>13</v>
      </c>
      <c r="D3767" t="s">
        <v>14</v>
      </c>
      <c r="E3767" t="s">
        <v>15</v>
      </c>
      <c r="F3767" t="s">
        <v>16</v>
      </c>
      <c r="G3767" t="s">
        <v>17</v>
      </c>
      <c r="H3767" t="s">
        <v>18</v>
      </c>
      <c r="I3767" t="s">
        <v>19</v>
      </c>
      <c r="J3767" t="s">
        <v>20</v>
      </c>
      <c r="K3767" t="s">
        <v>21</v>
      </c>
      <c r="L3767" t="s">
        <v>22</v>
      </c>
      <c r="M3767" t="s">
        <v>23</v>
      </c>
    </row>
    <row r="3768" spans="2:13" x14ac:dyDescent="0.2">
      <c r="B3768" t="s">
        <v>33</v>
      </c>
      <c r="C3768">
        <v>89</v>
      </c>
      <c r="E3768" t="s">
        <v>25</v>
      </c>
      <c r="F3768">
        <v>7948.29</v>
      </c>
      <c r="G3768">
        <v>5.9</v>
      </c>
      <c r="K3768">
        <v>0.1</v>
      </c>
      <c r="L3768">
        <v>7</v>
      </c>
      <c r="M3768">
        <v>105.5</v>
      </c>
    </row>
    <row r="3769" spans="2:13" x14ac:dyDescent="0.2">
      <c r="C3769" t="s">
        <v>27</v>
      </c>
    </row>
    <row r="3770" spans="2:13" x14ac:dyDescent="0.2">
      <c r="C3770" t="s">
        <v>28</v>
      </c>
      <c r="D3770" t="s">
        <v>16</v>
      </c>
      <c r="E3770" t="s">
        <v>29</v>
      </c>
      <c r="F3770" t="s">
        <v>18</v>
      </c>
    </row>
    <row r="3771" spans="2:13" x14ac:dyDescent="0.2">
      <c r="C3771" t="b">
        <v>0</v>
      </c>
      <c r="D3771">
        <v>7732.43</v>
      </c>
      <c r="E3771" t="s">
        <v>30</v>
      </c>
    </row>
    <row r="3772" spans="2:13" x14ac:dyDescent="0.2">
      <c r="C3772" t="b">
        <v>0</v>
      </c>
      <c r="D3772">
        <v>7452.24</v>
      </c>
      <c r="E3772" t="s">
        <v>30</v>
      </c>
    </row>
    <row r="3773" spans="2:13" x14ac:dyDescent="0.2">
      <c r="C3773" t="b">
        <v>0</v>
      </c>
      <c r="D3773">
        <v>7392.23</v>
      </c>
      <c r="E3773" t="s">
        <v>30</v>
      </c>
    </row>
    <row r="3774" spans="2:13" x14ac:dyDescent="0.2">
      <c r="C3774" t="b">
        <v>0</v>
      </c>
      <c r="D3774">
        <v>7972.57</v>
      </c>
      <c r="E3774" t="s">
        <v>30</v>
      </c>
    </row>
    <row r="3775" spans="2:13" x14ac:dyDescent="0.2">
      <c r="C3775" t="b">
        <v>0</v>
      </c>
      <c r="D3775">
        <v>8212.73</v>
      </c>
      <c r="E3775" t="s">
        <v>30</v>
      </c>
    </row>
    <row r="3776" spans="2:13" x14ac:dyDescent="0.2">
      <c r="C3776" t="b">
        <v>0</v>
      </c>
      <c r="D3776">
        <v>8743.1</v>
      </c>
      <c r="E3776" t="s">
        <v>30</v>
      </c>
    </row>
    <row r="3777" spans="1:13" x14ac:dyDescent="0.2">
      <c r="C3777" t="b">
        <v>0</v>
      </c>
      <c r="D3777">
        <v>8132.72</v>
      </c>
      <c r="E3777" t="s">
        <v>30</v>
      </c>
    </row>
    <row r="3778" spans="1:13" x14ac:dyDescent="0.2">
      <c r="A3778" t="s">
        <v>0</v>
      </c>
    </row>
    <row r="3779" spans="1:13" x14ac:dyDescent="0.2">
      <c r="B3779" t="s">
        <v>1</v>
      </c>
      <c r="C3779" t="s">
        <v>2</v>
      </c>
      <c r="D3779" t="s">
        <v>3</v>
      </c>
      <c r="E3779" t="s">
        <v>4</v>
      </c>
      <c r="F3779" t="s">
        <v>5</v>
      </c>
      <c r="G3779" t="s">
        <v>6</v>
      </c>
    </row>
    <row r="3780" spans="1:13" x14ac:dyDescent="0.2">
      <c r="B3780" t="b">
        <v>0</v>
      </c>
      <c r="C3780" t="s">
        <v>68</v>
      </c>
      <c r="D3780" t="s">
        <v>311</v>
      </c>
      <c r="E3780" t="s">
        <v>49</v>
      </c>
      <c r="F3780">
        <v>8</v>
      </c>
      <c r="G3780" t="s">
        <v>70</v>
      </c>
    </row>
    <row r="3781" spans="1:13" x14ac:dyDescent="0.2">
      <c r="B3781" t="s">
        <v>11</v>
      </c>
    </row>
    <row r="3782" spans="1:13" x14ac:dyDescent="0.2">
      <c r="B3782" t="s">
        <v>12</v>
      </c>
      <c r="C3782" t="s">
        <v>13</v>
      </c>
      <c r="D3782" t="s">
        <v>14</v>
      </c>
      <c r="E3782" t="s">
        <v>15</v>
      </c>
      <c r="F3782" t="s">
        <v>16</v>
      </c>
      <c r="G3782" t="s">
        <v>17</v>
      </c>
      <c r="H3782" t="s">
        <v>18</v>
      </c>
      <c r="I3782" t="s">
        <v>19</v>
      </c>
      <c r="J3782" t="s">
        <v>20</v>
      </c>
      <c r="K3782" t="s">
        <v>21</v>
      </c>
      <c r="L3782" t="s">
        <v>22</v>
      </c>
      <c r="M3782" t="s">
        <v>23</v>
      </c>
    </row>
    <row r="3783" spans="1:13" x14ac:dyDescent="0.2">
      <c r="B3783" t="s">
        <v>24</v>
      </c>
      <c r="C3783">
        <v>59</v>
      </c>
      <c r="E3783" t="s">
        <v>25</v>
      </c>
      <c r="F3783">
        <v>32639424.16</v>
      </c>
      <c r="G3783">
        <v>1.7</v>
      </c>
      <c r="H3783">
        <v>10.058999999999999</v>
      </c>
      <c r="I3783" t="s">
        <v>26</v>
      </c>
      <c r="J3783">
        <v>1.7</v>
      </c>
      <c r="K3783">
        <v>0.1</v>
      </c>
      <c r="L3783">
        <v>7</v>
      </c>
    </row>
    <row r="3784" spans="1:13" x14ac:dyDescent="0.2">
      <c r="C3784" t="s">
        <v>27</v>
      </c>
    </row>
    <row r="3785" spans="1:13" x14ac:dyDescent="0.2">
      <c r="C3785" t="s">
        <v>28</v>
      </c>
      <c r="D3785" t="s">
        <v>16</v>
      </c>
      <c r="E3785" t="s">
        <v>29</v>
      </c>
      <c r="F3785" t="s">
        <v>18</v>
      </c>
    </row>
    <row r="3786" spans="1:13" x14ac:dyDescent="0.2">
      <c r="C3786" t="b">
        <v>0</v>
      </c>
      <c r="D3786">
        <v>31843617.030000001</v>
      </c>
      <c r="E3786" t="s">
        <v>67</v>
      </c>
      <c r="F3786">
        <v>9.8140000000000001</v>
      </c>
    </row>
    <row r="3787" spans="1:13" x14ac:dyDescent="0.2">
      <c r="C3787" t="b">
        <v>0</v>
      </c>
      <c r="D3787">
        <v>32208564.52</v>
      </c>
      <c r="E3787" t="s">
        <v>67</v>
      </c>
      <c r="F3787">
        <v>9.9269999999999996</v>
      </c>
    </row>
    <row r="3788" spans="1:13" x14ac:dyDescent="0.2">
      <c r="C3788" t="b">
        <v>0</v>
      </c>
      <c r="D3788">
        <v>32326494.52</v>
      </c>
      <c r="E3788" t="s">
        <v>67</v>
      </c>
      <c r="F3788">
        <v>9.9629999999999992</v>
      </c>
    </row>
    <row r="3789" spans="1:13" x14ac:dyDescent="0.2">
      <c r="C3789" t="b">
        <v>0</v>
      </c>
      <c r="D3789">
        <v>32712402.010000002</v>
      </c>
      <c r="E3789" t="s">
        <v>67</v>
      </c>
      <c r="F3789">
        <v>10.082000000000001</v>
      </c>
    </row>
    <row r="3790" spans="1:13" x14ac:dyDescent="0.2">
      <c r="C3790" t="b">
        <v>0</v>
      </c>
      <c r="D3790">
        <v>32747604.510000002</v>
      </c>
      <c r="E3790" t="s">
        <v>67</v>
      </c>
      <c r="F3790">
        <v>10.093</v>
      </c>
    </row>
    <row r="3791" spans="1:13" x14ac:dyDescent="0.2">
      <c r="C3791" t="b">
        <v>0</v>
      </c>
      <c r="D3791">
        <v>33510834.5</v>
      </c>
      <c r="E3791" t="s">
        <v>67</v>
      </c>
      <c r="F3791">
        <v>10.327999999999999</v>
      </c>
    </row>
    <row r="3792" spans="1:13" x14ac:dyDescent="0.2">
      <c r="C3792" t="b">
        <v>0</v>
      </c>
      <c r="D3792">
        <v>33126452.010000002</v>
      </c>
      <c r="E3792" t="s">
        <v>67</v>
      </c>
      <c r="F3792">
        <v>10.210000000000001</v>
      </c>
    </row>
    <row r="3793" spans="2:13" x14ac:dyDescent="0.2">
      <c r="B3793" t="s">
        <v>11</v>
      </c>
    </row>
    <row r="3794" spans="2:13" x14ac:dyDescent="0.2">
      <c r="B3794" t="s">
        <v>12</v>
      </c>
      <c r="C3794" t="s">
        <v>13</v>
      </c>
      <c r="D3794" t="s">
        <v>14</v>
      </c>
      <c r="E3794" t="s">
        <v>15</v>
      </c>
      <c r="F3794" t="s">
        <v>16</v>
      </c>
      <c r="G3794" t="s">
        <v>17</v>
      </c>
      <c r="H3794" t="s">
        <v>18</v>
      </c>
      <c r="I3794" t="s">
        <v>19</v>
      </c>
      <c r="J3794" t="s">
        <v>20</v>
      </c>
      <c r="K3794" t="s">
        <v>21</v>
      </c>
      <c r="L3794" t="s">
        <v>22</v>
      </c>
      <c r="M3794" t="s">
        <v>23</v>
      </c>
    </row>
    <row r="3795" spans="2:13" x14ac:dyDescent="0.2">
      <c r="B3795" t="s">
        <v>31</v>
      </c>
      <c r="C3795">
        <v>45</v>
      </c>
      <c r="E3795" t="s">
        <v>25</v>
      </c>
      <c r="F3795">
        <v>1511.56</v>
      </c>
      <c r="G3795">
        <v>3.5</v>
      </c>
      <c r="K3795">
        <v>0.1</v>
      </c>
      <c r="L3795">
        <v>7</v>
      </c>
      <c r="M3795">
        <v>116.5</v>
      </c>
    </row>
    <row r="3796" spans="2:13" x14ac:dyDescent="0.2">
      <c r="C3796" t="s">
        <v>27</v>
      </c>
    </row>
    <row r="3797" spans="2:13" x14ac:dyDescent="0.2">
      <c r="C3797" t="s">
        <v>28</v>
      </c>
      <c r="D3797" t="s">
        <v>16</v>
      </c>
      <c r="E3797" t="s">
        <v>29</v>
      </c>
      <c r="F3797" t="s">
        <v>18</v>
      </c>
    </row>
    <row r="3798" spans="2:13" x14ac:dyDescent="0.2">
      <c r="C3798" t="b">
        <v>0</v>
      </c>
      <c r="D3798">
        <v>1570.14</v>
      </c>
      <c r="E3798" t="s">
        <v>30</v>
      </c>
    </row>
    <row r="3799" spans="2:13" x14ac:dyDescent="0.2">
      <c r="C3799" t="b">
        <v>0</v>
      </c>
      <c r="D3799">
        <v>1440.12</v>
      </c>
      <c r="E3799" t="s">
        <v>30</v>
      </c>
    </row>
    <row r="3800" spans="2:13" x14ac:dyDescent="0.2">
      <c r="C3800" t="b">
        <v>0</v>
      </c>
      <c r="D3800">
        <v>1510.13</v>
      </c>
      <c r="E3800" t="s">
        <v>30</v>
      </c>
    </row>
    <row r="3801" spans="2:13" x14ac:dyDescent="0.2">
      <c r="C3801" t="b">
        <v>0</v>
      </c>
      <c r="D3801">
        <v>1470.12</v>
      </c>
      <c r="E3801" t="s">
        <v>30</v>
      </c>
    </row>
    <row r="3802" spans="2:13" x14ac:dyDescent="0.2">
      <c r="C3802" t="b">
        <v>0</v>
      </c>
      <c r="D3802">
        <v>1590.15</v>
      </c>
      <c r="E3802" t="s">
        <v>30</v>
      </c>
    </row>
    <row r="3803" spans="2:13" x14ac:dyDescent="0.2">
      <c r="C3803" t="b">
        <v>0</v>
      </c>
      <c r="D3803">
        <v>1510.13</v>
      </c>
      <c r="E3803" t="s">
        <v>30</v>
      </c>
    </row>
    <row r="3804" spans="2:13" x14ac:dyDescent="0.2">
      <c r="C3804" t="b">
        <v>0</v>
      </c>
      <c r="D3804">
        <v>1490.13</v>
      </c>
      <c r="E3804" t="s">
        <v>30</v>
      </c>
    </row>
    <row r="3805" spans="2:13" x14ac:dyDescent="0.2">
      <c r="B3805" t="s">
        <v>11</v>
      </c>
    </row>
    <row r="3806" spans="2:13" x14ac:dyDescent="0.2">
      <c r="B3806" t="s">
        <v>12</v>
      </c>
      <c r="C3806" t="s">
        <v>13</v>
      </c>
      <c r="D3806" t="s">
        <v>14</v>
      </c>
      <c r="E3806" t="s">
        <v>15</v>
      </c>
      <c r="F3806" t="s">
        <v>16</v>
      </c>
      <c r="G3806" t="s">
        <v>17</v>
      </c>
      <c r="H3806" t="s">
        <v>18</v>
      </c>
      <c r="I3806" t="s">
        <v>19</v>
      </c>
      <c r="J3806" t="s">
        <v>20</v>
      </c>
      <c r="K3806" t="s">
        <v>21</v>
      </c>
      <c r="L3806" t="s">
        <v>22</v>
      </c>
      <c r="M3806" t="s">
        <v>23</v>
      </c>
    </row>
    <row r="3807" spans="2:13" x14ac:dyDescent="0.2">
      <c r="B3807" t="s">
        <v>32</v>
      </c>
      <c r="C3807">
        <v>72</v>
      </c>
      <c r="E3807" t="s">
        <v>25</v>
      </c>
      <c r="F3807">
        <v>1485.85</v>
      </c>
      <c r="G3807">
        <v>6.2</v>
      </c>
      <c r="K3807">
        <v>0.1</v>
      </c>
      <c r="L3807">
        <v>7</v>
      </c>
      <c r="M3807">
        <v>107.7</v>
      </c>
    </row>
    <row r="3808" spans="2:13" x14ac:dyDescent="0.2">
      <c r="C3808" t="s">
        <v>27</v>
      </c>
    </row>
    <row r="3809" spans="2:13" x14ac:dyDescent="0.2">
      <c r="C3809" t="s">
        <v>28</v>
      </c>
      <c r="D3809" t="s">
        <v>16</v>
      </c>
      <c r="E3809" t="s">
        <v>29</v>
      </c>
      <c r="F3809" t="s">
        <v>18</v>
      </c>
    </row>
    <row r="3810" spans="2:13" x14ac:dyDescent="0.2">
      <c r="C3810" t="b">
        <v>0</v>
      </c>
      <c r="D3810">
        <v>1420.12</v>
      </c>
      <c r="E3810" t="s">
        <v>30</v>
      </c>
    </row>
    <row r="3811" spans="2:13" x14ac:dyDescent="0.2">
      <c r="C3811" t="b">
        <v>0</v>
      </c>
      <c r="D3811">
        <v>1370.13</v>
      </c>
      <c r="E3811" t="s">
        <v>30</v>
      </c>
    </row>
    <row r="3812" spans="2:13" x14ac:dyDescent="0.2">
      <c r="C3812" t="b">
        <v>0</v>
      </c>
      <c r="D3812">
        <v>1590.14</v>
      </c>
      <c r="E3812" t="s">
        <v>30</v>
      </c>
    </row>
    <row r="3813" spans="2:13" x14ac:dyDescent="0.2">
      <c r="C3813" t="b">
        <v>0</v>
      </c>
      <c r="D3813">
        <v>1600.15</v>
      </c>
      <c r="E3813" t="s">
        <v>30</v>
      </c>
    </row>
    <row r="3814" spans="2:13" x14ac:dyDescent="0.2">
      <c r="C3814" t="b">
        <v>0</v>
      </c>
      <c r="D3814">
        <v>1400.12</v>
      </c>
      <c r="E3814" t="s">
        <v>30</v>
      </c>
    </row>
    <row r="3815" spans="2:13" x14ac:dyDescent="0.2">
      <c r="C3815" t="b">
        <v>0</v>
      </c>
      <c r="D3815">
        <v>1510.13</v>
      </c>
      <c r="E3815" t="s">
        <v>30</v>
      </c>
    </row>
    <row r="3816" spans="2:13" x14ac:dyDescent="0.2">
      <c r="C3816" t="b">
        <v>0</v>
      </c>
      <c r="D3816">
        <v>1510.14</v>
      </c>
      <c r="E3816" t="s">
        <v>30</v>
      </c>
    </row>
    <row r="3817" spans="2:13" x14ac:dyDescent="0.2">
      <c r="B3817" t="s">
        <v>11</v>
      </c>
    </row>
    <row r="3818" spans="2:13" x14ac:dyDescent="0.2">
      <c r="B3818" t="s">
        <v>12</v>
      </c>
      <c r="C3818" t="s">
        <v>13</v>
      </c>
      <c r="D3818" t="s">
        <v>14</v>
      </c>
      <c r="E3818" t="s">
        <v>15</v>
      </c>
      <c r="F3818" t="s">
        <v>16</v>
      </c>
      <c r="G3818" t="s">
        <v>17</v>
      </c>
      <c r="H3818" t="s">
        <v>18</v>
      </c>
      <c r="I3818" t="s">
        <v>19</v>
      </c>
      <c r="J3818" t="s">
        <v>20</v>
      </c>
      <c r="K3818" t="s">
        <v>21</v>
      </c>
      <c r="L3818" t="s">
        <v>22</v>
      </c>
      <c r="M3818" t="s">
        <v>23</v>
      </c>
    </row>
    <row r="3819" spans="2:13" x14ac:dyDescent="0.2">
      <c r="B3819" t="s">
        <v>33</v>
      </c>
      <c r="C3819">
        <v>89</v>
      </c>
      <c r="E3819" t="s">
        <v>25</v>
      </c>
      <c r="F3819">
        <v>8545.81</v>
      </c>
      <c r="G3819">
        <v>4.7</v>
      </c>
      <c r="K3819">
        <v>0.1</v>
      </c>
      <c r="L3819">
        <v>7</v>
      </c>
      <c r="M3819">
        <v>113.5</v>
      </c>
    </row>
    <row r="3820" spans="2:13" x14ac:dyDescent="0.2">
      <c r="C3820" t="s">
        <v>27</v>
      </c>
    </row>
    <row r="3821" spans="2:13" x14ac:dyDescent="0.2">
      <c r="C3821" t="s">
        <v>28</v>
      </c>
      <c r="D3821" t="s">
        <v>16</v>
      </c>
      <c r="E3821" t="s">
        <v>29</v>
      </c>
      <c r="F3821" t="s">
        <v>18</v>
      </c>
    </row>
    <row r="3822" spans="2:13" x14ac:dyDescent="0.2">
      <c r="C3822" t="b">
        <v>0</v>
      </c>
      <c r="D3822">
        <v>7972.52</v>
      </c>
      <c r="E3822" t="s">
        <v>30</v>
      </c>
    </row>
    <row r="3823" spans="2:13" x14ac:dyDescent="0.2">
      <c r="C3823" t="b">
        <v>0</v>
      </c>
      <c r="D3823">
        <v>8522.94</v>
      </c>
      <c r="E3823" t="s">
        <v>30</v>
      </c>
    </row>
    <row r="3824" spans="2:13" x14ac:dyDescent="0.2">
      <c r="C3824" t="b">
        <v>0</v>
      </c>
      <c r="D3824">
        <v>8923.17</v>
      </c>
      <c r="E3824" t="s">
        <v>30</v>
      </c>
    </row>
    <row r="3825" spans="1:13" x14ac:dyDescent="0.2">
      <c r="C3825" t="b">
        <v>0</v>
      </c>
      <c r="D3825">
        <v>9063.33</v>
      </c>
      <c r="E3825" t="s">
        <v>30</v>
      </c>
    </row>
    <row r="3826" spans="1:13" x14ac:dyDescent="0.2">
      <c r="C3826" t="b">
        <v>0</v>
      </c>
      <c r="D3826">
        <v>8813.2800000000007</v>
      </c>
      <c r="E3826" t="s">
        <v>30</v>
      </c>
    </row>
    <row r="3827" spans="1:13" x14ac:dyDescent="0.2">
      <c r="C3827" t="b">
        <v>0</v>
      </c>
      <c r="D3827">
        <v>8202.7199999999993</v>
      </c>
      <c r="E3827" t="s">
        <v>30</v>
      </c>
    </row>
    <row r="3828" spans="1:13" x14ac:dyDescent="0.2">
      <c r="C3828" t="b">
        <v>0</v>
      </c>
      <c r="D3828">
        <v>8322.74</v>
      </c>
      <c r="E3828" t="s">
        <v>30</v>
      </c>
    </row>
    <row r="3829" spans="1:13" x14ac:dyDescent="0.2">
      <c r="A3829" t="s">
        <v>0</v>
      </c>
    </row>
    <row r="3830" spans="1:13" x14ac:dyDescent="0.2">
      <c r="B3830" t="s">
        <v>1</v>
      </c>
      <c r="C3830" t="s">
        <v>2</v>
      </c>
      <c r="D3830" t="s">
        <v>3</v>
      </c>
      <c r="E3830" t="s">
        <v>4</v>
      </c>
      <c r="F3830" t="s">
        <v>5</v>
      </c>
      <c r="G3830" t="s">
        <v>6</v>
      </c>
    </row>
    <row r="3831" spans="1:13" x14ac:dyDescent="0.2">
      <c r="B3831" t="b">
        <v>0</v>
      </c>
      <c r="C3831" t="s">
        <v>71</v>
      </c>
      <c r="D3831" t="s">
        <v>312</v>
      </c>
      <c r="E3831" t="s">
        <v>49</v>
      </c>
      <c r="F3831">
        <v>9</v>
      </c>
      <c r="G3831" t="s">
        <v>73</v>
      </c>
    </row>
    <row r="3832" spans="1:13" x14ac:dyDescent="0.2">
      <c r="B3832" t="s">
        <v>11</v>
      </c>
    </row>
    <row r="3833" spans="1:13" x14ac:dyDescent="0.2">
      <c r="B3833" t="s">
        <v>12</v>
      </c>
      <c r="C3833" t="s">
        <v>13</v>
      </c>
      <c r="D3833" t="s">
        <v>14</v>
      </c>
      <c r="E3833" t="s">
        <v>15</v>
      </c>
      <c r="F3833" t="s">
        <v>16</v>
      </c>
      <c r="G3833" t="s">
        <v>17</v>
      </c>
      <c r="H3833" t="s">
        <v>18</v>
      </c>
      <c r="I3833" t="s">
        <v>19</v>
      </c>
      <c r="J3833" t="s">
        <v>20</v>
      </c>
      <c r="K3833" t="s">
        <v>21</v>
      </c>
      <c r="L3833" t="s">
        <v>22</v>
      </c>
      <c r="M3833" t="s">
        <v>23</v>
      </c>
    </row>
    <row r="3834" spans="1:13" x14ac:dyDescent="0.2">
      <c r="B3834" t="s">
        <v>24</v>
      </c>
      <c r="C3834">
        <v>59</v>
      </c>
      <c r="E3834" t="s">
        <v>25</v>
      </c>
      <c r="F3834">
        <v>162192550.44</v>
      </c>
      <c r="G3834">
        <v>0.9</v>
      </c>
      <c r="H3834">
        <v>49.988</v>
      </c>
      <c r="I3834" t="s">
        <v>26</v>
      </c>
      <c r="J3834">
        <v>0.9</v>
      </c>
      <c r="K3834">
        <v>0.1</v>
      </c>
      <c r="L3834">
        <v>7</v>
      </c>
    </row>
    <row r="3835" spans="1:13" x14ac:dyDescent="0.2">
      <c r="C3835" t="s">
        <v>27</v>
      </c>
    </row>
    <row r="3836" spans="1:13" x14ac:dyDescent="0.2">
      <c r="C3836" t="s">
        <v>28</v>
      </c>
      <c r="D3836" t="s">
        <v>16</v>
      </c>
      <c r="E3836" t="s">
        <v>29</v>
      </c>
      <c r="F3836" t="s">
        <v>18</v>
      </c>
    </row>
    <row r="3837" spans="1:13" x14ac:dyDescent="0.2">
      <c r="C3837" t="b">
        <v>0</v>
      </c>
      <c r="D3837">
        <v>162157157.58000001</v>
      </c>
      <c r="E3837" t="s">
        <v>67</v>
      </c>
      <c r="F3837">
        <v>49.976999999999997</v>
      </c>
    </row>
    <row r="3838" spans="1:13" x14ac:dyDescent="0.2">
      <c r="C3838" t="b">
        <v>0</v>
      </c>
      <c r="D3838">
        <v>160658067.61000001</v>
      </c>
      <c r="E3838" t="s">
        <v>67</v>
      </c>
      <c r="F3838">
        <v>49.515000000000001</v>
      </c>
    </row>
    <row r="3839" spans="1:13" x14ac:dyDescent="0.2">
      <c r="C3839" t="b">
        <v>0</v>
      </c>
      <c r="D3839">
        <v>161074747.59999999</v>
      </c>
      <c r="E3839" t="s">
        <v>67</v>
      </c>
      <c r="F3839">
        <v>49.643000000000001</v>
      </c>
    </row>
    <row r="3840" spans="1:13" x14ac:dyDescent="0.2">
      <c r="C3840" t="b">
        <v>0</v>
      </c>
      <c r="D3840">
        <v>162525607.58000001</v>
      </c>
      <c r="E3840" t="s">
        <v>67</v>
      </c>
      <c r="F3840">
        <v>50.09</v>
      </c>
    </row>
    <row r="3841" spans="2:13" x14ac:dyDescent="0.2">
      <c r="C3841" t="b">
        <v>0</v>
      </c>
      <c r="D3841">
        <v>163327927.56999999</v>
      </c>
      <c r="E3841" t="s">
        <v>67</v>
      </c>
      <c r="F3841">
        <v>50.338000000000001</v>
      </c>
    </row>
    <row r="3842" spans="2:13" x14ac:dyDescent="0.2">
      <c r="C3842" t="b">
        <v>0</v>
      </c>
      <c r="D3842">
        <v>164643377.55000001</v>
      </c>
      <c r="E3842" t="s">
        <v>67</v>
      </c>
      <c r="F3842">
        <v>50.743000000000002</v>
      </c>
    </row>
    <row r="3843" spans="2:13" x14ac:dyDescent="0.2">
      <c r="C3843" t="b">
        <v>0</v>
      </c>
      <c r="D3843">
        <v>160960967.59999999</v>
      </c>
      <c r="E3843" t="s">
        <v>67</v>
      </c>
      <c r="F3843">
        <v>49.607999999999997</v>
      </c>
    </row>
    <row r="3844" spans="2:13" x14ac:dyDescent="0.2">
      <c r="B3844" t="s">
        <v>11</v>
      </c>
    </row>
    <row r="3845" spans="2:13" x14ac:dyDescent="0.2">
      <c r="B3845" t="s">
        <v>12</v>
      </c>
      <c r="C3845" t="s">
        <v>13</v>
      </c>
      <c r="D3845" t="s">
        <v>14</v>
      </c>
      <c r="E3845" t="s">
        <v>15</v>
      </c>
      <c r="F3845" t="s">
        <v>16</v>
      </c>
      <c r="G3845" t="s">
        <v>17</v>
      </c>
      <c r="H3845" t="s">
        <v>18</v>
      </c>
      <c r="I3845" t="s">
        <v>19</v>
      </c>
      <c r="J3845" t="s">
        <v>20</v>
      </c>
      <c r="K3845" t="s">
        <v>21</v>
      </c>
      <c r="L3845" t="s">
        <v>22</v>
      </c>
      <c r="M3845" t="s">
        <v>23</v>
      </c>
    </row>
    <row r="3846" spans="2:13" x14ac:dyDescent="0.2">
      <c r="B3846" t="s">
        <v>31</v>
      </c>
      <c r="C3846">
        <v>45</v>
      </c>
      <c r="E3846" t="s">
        <v>25</v>
      </c>
      <c r="F3846">
        <v>1358.69</v>
      </c>
      <c r="G3846">
        <v>13</v>
      </c>
      <c r="K3846">
        <v>0.1</v>
      </c>
      <c r="L3846">
        <v>7</v>
      </c>
      <c r="M3846">
        <v>104.7</v>
      </c>
    </row>
    <row r="3847" spans="2:13" x14ac:dyDescent="0.2">
      <c r="C3847" t="s">
        <v>27</v>
      </c>
    </row>
    <row r="3848" spans="2:13" x14ac:dyDescent="0.2">
      <c r="C3848" t="s">
        <v>28</v>
      </c>
      <c r="D3848" t="s">
        <v>16</v>
      </c>
      <c r="E3848" t="s">
        <v>29</v>
      </c>
      <c r="F3848" t="s">
        <v>18</v>
      </c>
    </row>
    <row r="3849" spans="2:13" x14ac:dyDescent="0.2">
      <c r="C3849" t="b">
        <v>0</v>
      </c>
      <c r="D3849">
        <v>1200.0999999999999</v>
      </c>
      <c r="E3849" t="s">
        <v>30</v>
      </c>
    </row>
    <row r="3850" spans="2:13" x14ac:dyDescent="0.2">
      <c r="C3850" t="b">
        <v>0</v>
      </c>
      <c r="D3850">
        <v>1230.1099999999999</v>
      </c>
      <c r="E3850" t="s">
        <v>30</v>
      </c>
    </row>
    <row r="3851" spans="2:13" x14ac:dyDescent="0.2">
      <c r="C3851" t="b">
        <v>0</v>
      </c>
      <c r="D3851">
        <v>1540.12</v>
      </c>
      <c r="E3851" t="s">
        <v>30</v>
      </c>
    </row>
    <row r="3852" spans="2:13" x14ac:dyDescent="0.2">
      <c r="C3852" t="b">
        <v>0</v>
      </c>
      <c r="D3852">
        <v>1620.15</v>
      </c>
      <c r="E3852" t="s">
        <v>30</v>
      </c>
    </row>
    <row r="3853" spans="2:13" x14ac:dyDescent="0.2">
      <c r="C3853" t="b">
        <v>0</v>
      </c>
      <c r="D3853">
        <v>1420.13</v>
      </c>
      <c r="E3853" t="s">
        <v>30</v>
      </c>
    </row>
    <row r="3854" spans="2:13" x14ac:dyDescent="0.2">
      <c r="C3854" t="b">
        <v>0</v>
      </c>
      <c r="D3854">
        <v>1160.0899999999999</v>
      </c>
      <c r="E3854" t="s">
        <v>30</v>
      </c>
    </row>
    <row r="3855" spans="2:13" x14ac:dyDescent="0.2">
      <c r="C3855" t="b">
        <v>0</v>
      </c>
      <c r="D3855">
        <v>1340.11</v>
      </c>
      <c r="E3855" t="s">
        <v>30</v>
      </c>
    </row>
    <row r="3856" spans="2:13" x14ac:dyDescent="0.2">
      <c r="B3856" t="s">
        <v>11</v>
      </c>
    </row>
    <row r="3857" spans="2:13" x14ac:dyDescent="0.2">
      <c r="B3857" t="s">
        <v>12</v>
      </c>
      <c r="C3857" t="s">
        <v>13</v>
      </c>
      <c r="D3857" t="s">
        <v>14</v>
      </c>
      <c r="E3857" t="s">
        <v>15</v>
      </c>
      <c r="F3857" t="s">
        <v>16</v>
      </c>
      <c r="G3857" t="s">
        <v>17</v>
      </c>
      <c r="H3857" t="s">
        <v>18</v>
      </c>
      <c r="I3857" t="s">
        <v>19</v>
      </c>
      <c r="J3857" t="s">
        <v>20</v>
      </c>
      <c r="K3857" t="s">
        <v>21</v>
      </c>
      <c r="L3857" t="s">
        <v>22</v>
      </c>
      <c r="M3857" t="s">
        <v>23</v>
      </c>
    </row>
    <row r="3858" spans="2:13" x14ac:dyDescent="0.2">
      <c r="B3858" t="s">
        <v>32</v>
      </c>
      <c r="C3858">
        <v>72</v>
      </c>
      <c r="E3858" t="s">
        <v>25</v>
      </c>
      <c r="F3858">
        <v>1487.28</v>
      </c>
      <c r="G3858">
        <v>6.4</v>
      </c>
      <c r="K3858">
        <v>0.1</v>
      </c>
      <c r="L3858">
        <v>7</v>
      </c>
      <c r="M3858">
        <v>107.8</v>
      </c>
    </row>
    <row r="3859" spans="2:13" x14ac:dyDescent="0.2">
      <c r="C3859" t="s">
        <v>27</v>
      </c>
    </row>
    <row r="3860" spans="2:13" x14ac:dyDescent="0.2">
      <c r="C3860" t="s">
        <v>28</v>
      </c>
      <c r="D3860" t="s">
        <v>16</v>
      </c>
      <c r="E3860" t="s">
        <v>29</v>
      </c>
      <c r="F3860" t="s">
        <v>18</v>
      </c>
    </row>
    <row r="3861" spans="2:13" x14ac:dyDescent="0.2">
      <c r="C3861" t="b">
        <v>0</v>
      </c>
      <c r="D3861">
        <v>1440.14</v>
      </c>
      <c r="E3861" t="s">
        <v>30</v>
      </c>
    </row>
    <row r="3862" spans="2:13" x14ac:dyDescent="0.2">
      <c r="C3862" t="b">
        <v>0</v>
      </c>
      <c r="D3862">
        <v>1590.16</v>
      </c>
      <c r="E3862" t="s">
        <v>30</v>
      </c>
    </row>
    <row r="3863" spans="2:13" x14ac:dyDescent="0.2">
      <c r="C3863" t="b">
        <v>0</v>
      </c>
      <c r="D3863">
        <v>1320.1</v>
      </c>
      <c r="E3863" t="s">
        <v>30</v>
      </c>
    </row>
    <row r="3864" spans="2:13" x14ac:dyDescent="0.2">
      <c r="C3864" t="b">
        <v>0</v>
      </c>
      <c r="D3864">
        <v>1460.12</v>
      </c>
      <c r="E3864" t="s">
        <v>30</v>
      </c>
    </row>
    <row r="3865" spans="2:13" x14ac:dyDescent="0.2">
      <c r="C3865" t="b">
        <v>0</v>
      </c>
      <c r="D3865">
        <v>1590.14</v>
      </c>
      <c r="E3865" t="s">
        <v>30</v>
      </c>
    </row>
    <row r="3866" spans="2:13" x14ac:dyDescent="0.2">
      <c r="C3866" t="b">
        <v>0</v>
      </c>
      <c r="D3866">
        <v>1480.13</v>
      </c>
      <c r="E3866" t="s">
        <v>30</v>
      </c>
    </row>
    <row r="3867" spans="2:13" x14ac:dyDescent="0.2">
      <c r="C3867" t="b">
        <v>0</v>
      </c>
      <c r="D3867">
        <v>1530.16</v>
      </c>
      <c r="E3867" t="s">
        <v>30</v>
      </c>
    </row>
    <row r="3868" spans="2:13" x14ac:dyDescent="0.2">
      <c r="B3868" t="s">
        <v>11</v>
      </c>
    </row>
    <row r="3869" spans="2:13" x14ac:dyDescent="0.2">
      <c r="B3869" t="s">
        <v>12</v>
      </c>
      <c r="C3869" t="s">
        <v>13</v>
      </c>
      <c r="D3869" t="s">
        <v>14</v>
      </c>
      <c r="E3869" t="s">
        <v>15</v>
      </c>
      <c r="F3869" t="s">
        <v>16</v>
      </c>
      <c r="G3869" t="s">
        <v>17</v>
      </c>
      <c r="H3869" t="s">
        <v>18</v>
      </c>
      <c r="I3869" t="s">
        <v>19</v>
      </c>
      <c r="J3869" t="s">
        <v>20</v>
      </c>
      <c r="K3869" t="s">
        <v>21</v>
      </c>
      <c r="L3869" t="s">
        <v>22</v>
      </c>
      <c r="M3869" t="s">
        <v>23</v>
      </c>
    </row>
    <row r="3870" spans="2:13" x14ac:dyDescent="0.2">
      <c r="B3870" t="s">
        <v>33</v>
      </c>
      <c r="C3870">
        <v>89</v>
      </c>
      <c r="E3870" t="s">
        <v>25</v>
      </c>
      <c r="F3870">
        <v>8225.6200000000008</v>
      </c>
      <c r="G3870">
        <v>7.1</v>
      </c>
      <c r="K3870">
        <v>0.1</v>
      </c>
      <c r="L3870">
        <v>7</v>
      </c>
      <c r="M3870">
        <v>109.2</v>
      </c>
    </row>
    <row r="3871" spans="2:13" x14ac:dyDescent="0.2">
      <c r="C3871" t="s">
        <v>27</v>
      </c>
    </row>
    <row r="3872" spans="2:13" x14ac:dyDescent="0.2">
      <c r="C3872" t="s">
        <v>28</v>
      </c>
      <c r="D3872" t="s">
        <v>16</v>
      </c>
      <c r="E3872" t="s">
        <v>29</v>
      </c>
      <c r="F3872" t="s">
        <v>18</v>
      </c>
    </row>
    <row r="3873" spans="1:13" x14ac:dyDescent="0.2">
      <c r="C3873" t="b">
        <v>0</v>
      </c>
      <c r="D3873">
        <v>7512.32</v>
      </c>
      <c r="E3873" t="s">
        <v>30</v>
      </c>
    </row>
    <row r="3874" spans="1:13" x14ac:dyDescent="0.2">
      <c r="C3874" t="b">
        <v>0</v>
      </c>
      <c r="D3874">
        <v>7522.29</v>
      </c>
      <c r="E3874" t="s">
        <v>30</v>
      </c>
    </row>
    <row r="3875" spans="1:13" x14ac:dyDescent="0.2">
      <c r="C3875" t="b">
        <v>0</v>
      </c>
      <c r="D3875">
        <v>8102.62</v>
      </c>
      <c r="E3875" t="s">
        <v>30</v>
      </c>
    </row>
    <row r="3876" spans="1:13" x14ac:dyDescent="0.2">
      <c r="C3876" t="b">
        <v>0</v>
      </c>
      <c r="D3876">
        <v>8813.15</v>
      </c>
      <c r="E3876" t="s">
        <v>30</v>
      </c>
    </row>
    <row r="3877" spans="1:13" x14ac:dyDescent="0.2">
      <c r="C3877" t="b">
        <v>0</v>
      </c>
      <c r="D3877">
        <v>8072.66</v>
      </c>
      <c r="E3877" t="s">
        <v>30</v>
      </c>
    </row>
    <row r="3878" spans="1:13" x14ac:dyDescent="0.2">
      <c r="C3878" t="b">
        <v>0</v>
      </c>
      <c r="D3878">
        <v>8643.0300000000007</v>
      </c>
      <c r="E3878" t="s">
        <v>30</v>
      </c>
    </row>
    <row r="3879" spans="1:13" x14ac:dyDescent="0.2">
      <c r="C3879" t="b">
        <v>0</v>
      </c>
      <c r="D3879">
        <v>8913.26</v>
      </c>
      <c r="E3879" t="s">
        <v>30</v>
      </c>
    </row>
    <row r="3880" spans="1:13" x14ac:dyDescent="0.2">
      <c r="A3880" t="s">
        <v>0</v>
      </c>
    </row>
    <row r="3881" spans="1:13" x14ac:dyDescent="0.2">
      <c r="B3881" t="s">
        <v>1</v>
      </c>
      <c r="C3881" t="s">
        <v>2</v>
      </c>
      <c r="D3881" t="s">
        <v>3</v>
      </c>
      <c r="E3881" t="s">
        <v>4</v>
      </c>
      <c r="F3881" t="s">
        <v>5</v>
      </c>
      <c r="G3881" t="s">
        <v>6</v>
      </c>
    </row>
    <row r="3882" spans="1:13" x14ac:dyDescent="0.2">
      <c r="B3882" t="b">
        <v>0</v>
      </c>
      <c r="C3882" t="s">
        <v>74</v>
      </c>
      <c r="D3882" t="s">
        <v>313</v>
      </c>
      <c r="E3882" t="s">
        <v>9</v>
      </c>
      <c r="G3882" t="s">
        <v>76</v>
      </c>
    </row>
    <row r="3883" spans="1:13" x14ac:dyDescent="0.2">
      <c r="B3883" t="s">
        <v>11</v>
      </c>
    </row>
    <row r="3884" spans="1:13" x14ac:dyDescent="0.2">
      <c r="B3884" t="s">
        <v>12</v>
      </c>
      <c r="C3884" t="s">
        <v>13</v>
      </c>
      <c r="D3884" t="s">
        <v>14</v>
      </c>
      <c r="E3884" t="s">
        <v>15</v>
      </c>
      <c r="F3884" t="s">
        <v>16</v>
      </c>
      <c r="G3884" t="s">
        <v>17</v>
      </c>
      <c r="H3884" t="s">
        <v>18</v>
      </c>
      <c r="I3884" t="s">
        <v>19</v>
      </c>
      <c r="J3884" t="s">
        <v>20</v>
      </c>
      <c r="K3884" t="s">
        <v>21</v>
      </c>
      <c r="L3884" t="s">
        <v>22</v>
      </c>
      <c r="M3884" t="s">
        <v>23</v>
      </c>
    </row>
    <row r="3885" spans="1:13" x14ac:dyDescent="0.2">
      <c r="B3885" t="s">
        <v>24</v>
      </c>
      <c r="C3885">
        <v>59</v>
      </c>
      <c r="E3885" t="s">
        <v>25</v>
      </c>
      <c r="F3885">
        <v>397.16</v>
      </c>
      <c r="G3885">
        <v>21.3</v>
      </c>
      <c r="H3885">
        <v>0</v>
      </c>
      <c r="I3885" t="s">
        <v>26</v>
      </c>
      <c r="J3885">
        <v>23.6</v>
      </c>
      <c r="K3885">
        <v>0.1</v>
      </c>
      <c r="L3885">
        <v>7</v>
      </c>
    </row>
    <row r="3886" spans="1:13" x14ac:dyDescent="0.2">
      <c r="C3886" t="s">
        <v>27</v>
      </c>
    </row>
    <row r="3887" spans="1:13" x14ac:dyDescent="0.2">
      <c r="C3887" t="s">
        <v>28</v>
      </c>
      <c r="D3887" t="s">
        <v>16</v>
      </c>
      <c r="E3887" t="s">
        <v>29</v>
      </c>
      <c r="F3887" t="s">
        <v>18</v>
      </c>
    </row>
    <row r="3888" spans="1:13" x14ac:dyDescent="0.2">
      <c r="C3888" t="b">
        <v>0</v>
      </c>
      <c r="D3888">
        <v>300.01</v>
      </c>
      <c r="E3888" t="s">
        <v>30</v>
      </c>
      <c r="F3888">
        <v>0</v>
      </c>
    </row>
    <row r="3889" spans="2:13" x14ac:dyDescent="0.2">
      <c r="C3889" t="b">
        <v>0</v>
      </c>
      <c r="D3889">
        <v>440.02</v>
      </c>
      <c r="E3889" t="s">
        <v>30</v>
      </c>
      <c r="F3889">
        <v>0</v>
      </c>
    </row>
    <row r="3890" spans="2:13" x14ac:dyDescent="0.2">
      <c r="C3890" t="b">
        <v>0</v>
      </c>
      <c r="D3890">
        <v>330.01</v>
      </c>
      <c r="E3890" t="s">
        <v>30</v>
      </c>
      <c r="F3890">
        <v>0</v>
      </c>
    </row>
    <row r="3891" spans="2:13" x14ac:dyDescent="0.2">
      <c r="C3891" t="b">
        <v>0</v>
      </c>
      <c r="D3891">
        <v>300.01</v>
      </c>
      <c r="E3891" t="s">
        <v>30</v>
      </c>
      <c r="F3891">
        <v>0</v>
      </c>
    </row>
    <row r="3892" spans="2:13" x14ac:dyDescent="0.2">
      <c r="C3892" t="b">
        <v>0</v>
      </c>
      <c r="D3892">
        <v>500.03</v>
      </c>
      <c r="E3892" t="s">
        <v>30</v>
      </c>
      <c r="F3892">
        <v>0</v>
      </c>
    </row>
    <row r="3893" spans="2:13" x14ac:dyDescent="0.2">
      <c r="C3893" t="b">
        <v>0</v>
      </c>
      <c r="D3893">
        <v>440.02</v>
      </c>
      <c r="E3893" t="s">
        <v>30</v>
      </c>
      <c r="F3893">
        <v>0</v>
      </c>
    </row>
    <row r="3894" spans="2:13" x14ac:dyDescent="0.2">
      <c r="C3894" t="b">
        <v>0</v>
      </c>
      <c r="D3894">
        <v>470.02</v>
      </c>
      <c r="E3894" t="s">
        <v>30</v>
      </c>
      <c r="F3894">
        <v>0</v>
      </c>
    </row>
    <row r="3895" spans="2:13" x14ac:dyDescent="0.2">
      <c r="B3895" t="s">
        <v>11</v>
      </c>
    </row>
    <row r="3896" spans="2:13" x14ac:dyDescent="0.2">
      <c r="B3896" t="s">
        <v>12</v>
      </c>
      <c r="C3896" t="s">
        <v>13</v>
      </c>
      <c r="D3896" t="s">
        <v>14</v>
      </c>
      <c r="E3896" t="s">
        <v>15</v>
      </c>
      <c r="F3896" t="s">
        <v>16</v>
      </c>
      <c r="G3896" t="s">
        <v>17</v>
      </c>
      <c r="H3896" t="s">
        <v>18</v>
      </c>
      <c r="I3896" t="s">
        <v>19</v>
      </c>
      <c r="J3896" t="s">
        <v>20</v>
      </c>
      <c r="K3896" t="s">
        <v>21</v>
      </c>
      <c r="L3896" t="s">
        <v>22</v>
      </c>
      <c r="M3896" t="s">
        <v>23</v>
      </c>
    </row>
    <row r="3897" spans="2:13" x14ac:dyDescent="0.2">
      <c r="B3897" t="s">
        <v>31</v>
      </c>
      <c r="C3897">
        <v>45</v>
      </c>
      <c r="E3897" t="s">
        <v>25</v>
      </c>
      <c r="F3897">
        <v>1238.67</v>
      </c>
      <c r="G3897">
        <v>7.7</v>
      </c>
      <c r="K3897">
        <v>0.1</v>
      </c>
      <c r="L3897">
        <v>7</v>
      </c>
      <c r="M3897">
        <v>95.5</v>
      </c>
    </row>
    <row r="3898" spans="2:13" x14ac:dyDescent="0.2">
      <c r="C3898" t="s">
        <v>27</v>
      </c>
    </row>
    <row r="3899" spans="2:13" x14ac:dyDescent="0.2">
      <c r="C3899" t="s">
        <v>28</v>
      </c>
      <c r="D3899" t="s">
        <v>16</v>
      </c>
      <c r="E3899" t="s">
        <v>29</v>
      </c>
      <c r="F3899" t="s">
        <v>18</v>
      </c>
    </row>
    <row r="3900" spans="2:13" x14ac:dyDescent="0.2">
      <c r="C3900" t="b">
        <v>0</v>
      </c>
      <c r="D3900">
        <v>1130.0899999999999</v>
      </c>
      <c r="E3900" t="s">
        <v>30</v>
      </c>
    </row>
    <row r="3901" spans="2:13" x14ac:dyDescent="0.2">
      <c r="C3901" t="b">
        <v>0</v>
      </c>
      <c r="D3901">
        <v>1160.0899999999999</v>
      </c>
      <c r="E3901" t="s">
        <v>30</v>
      </c>
    </row>
    <row r="3902" spans="2:13" x14ac:dyDescent="0.2">
      <c r="C3902" t="b">
        <v>0</v>
      </c>
      <c r="D3902">
        <v>1240.0999999999999</v>
      </c>
      <c r="E3902" t="s">
        <v>30</v>
      </c>
    </row>
    <row r="3903" spans="2:13" x14ac:dyDescent="0.2">
      <c r="C3903" t="b">
        <v>0</v>
      </c>
      <c r="D3903">
        <v>1190.0999999999999</v>
      </c>
      <c r="E3903" t="s">
        <v>30</v>
      </c>
    </row>
    <row r="3904" spans="2:13" x14ac:dyDescent="0.2">
      <c r="C3904" t="b">
        <v>0</v>
      </c>
      <c r="D3904">
        <v>1230.0999999999999</v>
      </c>
      <c r="E3904" t="s">
        <v>30</v>
      </c>
    </row>
    <row r="3905" spans="2:13" x14ac:dyDescent="0.2">
      <c r="C3905" t="b">
        <v>0</v>
      </c>
      <c r="D3905">
        <v>1310.1099999999999</v>
      </c>
      <c r="E3905" t="s">
        <v>30</v>
      </c>
    </row>
    <row r="3906" spans="2:13" x14ac:dyDescent="0.2">
      <c r="C3906" t="b">
        <v>0</v>
      </c>
      <c r="D3906">
        <v>1410.12</v>
      </c>
      <c r="E3906" t="s">
        <v>30</v>
      </c>
    </row>
    <row r="3907" spans="2:13" x14ac:dyDescent="0.2">
      <c r="B3907" t="s">
        <v>11</v>
      </c>
    </row>
    <row r="3908" spans="2:13" x14ac:dyDescent="0.2">
      <c r="B3908" t="s">
        <v>12</v>
      </c>
      <c r="C3908" t="s">
        <v>13</v>
      </c>
      <c r="D3908" t="s">
        <v>14</v>
      </c>
      <c r="E3908" t="s">
        <v>15</v>
      </c>
      <c r="F3908" t="s">
        <v>16</v>
      </c>
      <c r="G3908" t="s">
        <v>17</v>
      </c>
      <c r="H3908" t="s">
        <v>18</v>
      </c>
      <c r="I3908" t="s">
        <v>19</v>
      </c>
      <c r="J3908" t="s">
        <v>20</v>
      </c>
      <c r="K3908" t="s">
        <v>21</v>
      </c>
      <c r="L3908" t="s">
        <v>22</v>
      </c>
      <c r="M3908" t="s">
        <v>23</v>
      </c>
    </row>
    <row r="3909" spans="2:13" x14ac:dyDescent="0.2">
      <c r="B3909" t="s">
        <v>32</v>
      </c>
      <c r="C3909">
        <v>72</v>
      </c>
      <c r="E3909" t="s">
        <v>25</v>
      </c>
      <c r="F3909">
        <v>1430.13</v>
      </c>
      <c r="G3909">
        <v>14.9</v>
      </c>
      <c r="K3909">
        <v>0.1</v>
      </c>
      <c r="L3909">
        <v>7</v>
      </c>
      <c r="M3909">
        <v>103.6</v>
      </c>
    </row>
    <row r="3910" spans="2:13" x14ac:dyDescent="0.2">
      <c r="C3910" t="s">
        <v>27</v>
      </c>
    </row>
    <row r="3911" spans="2:13" x14ac:dyDescent="0.2">
      <c r="C3911" t="s">
        <v>28</v>
      </c>
      <c r="D3911" t="s">
        <v>16</v>
      </c>
      <c r="E3911" t="s">
        <v>29</v>
      </c>
      <c r="F3911" t="s">
        <v>18</v>
      </c>
    </row>
    <row r="3912" spans="2:13" x14ac:dyDescent="0.2">
      <c r="C3912" t="b">
        <v>0</v>
      </c>
      <c r="D3912">
        <v>1260.0999999999999</v>
      </c>
      <c r="E3912" t="s">
        <v>30</v>
      </c>
    </row>
    <row r="3913" spans="2:13" x14ac:dyDescent="0.2">
      <c r="C3913" t="b">
        <v>0</v>
      </c>
      <c r="D3913">
        <v>1340.12</v>
      </c>
      <c r="E3913" t="s">
        <v>30</v>
      </c>
    </row>
    <row r="3914" spans="2:13" x14ac:dyDescent="0.2">
      <c r="C3914" t="b">
        <v>0</v>
      </c>
      <c r="D3914">
        <v>1550.14</v>
      </c>
      <c r="E3914" t="s">
        <v>30</v>
      </c>
    </row>
    <row r="3915" spans="2:13" x14ac:dyDescent="0.2">
      <c r="C3915" t="b">
        <v>0</v>
      </c>
      <c r="D3915">
        <v>1230.08</v>
      </c>
      <c r="E3915" t="s">
        <v>30</v>
      </c>
    </row>
    <row r="3916" spans="2:13" x14ac:dyDescent="0.2">
      <c r="C3916" t="b">
        <v>0</v>
      </c>
      <c r="D3916">
        <v>1740.18</v>
      </c>
      <c r="E3916" t="s">
        <v>30</v>
      </c>
    </row>
    <row r="3917" spans="2:13" x14ac:dyDescent="0.2">
      <c r="C3917" t="b">
        <v>0</v>
      </c>
      <c r="D3917">
        <v>1650.17</v>
      </c>
      <c r="E3917" t="s">
        <v>30</v>
      </c>
    </row>
    <row r="3918" spans="2:13" x14ac:dyDescent="0.2">
      <c r="C3918" t="b">
        <v>0</v>
      </c>
      <c r="D3918">
        <v>1240.1099999999999</v>
      </c>
      <c r="E3918" t="s">
        <v>30</v>
      </c>
    </row>
    <row r="3919" spans="2:13" x14ac:dyDescent="0.2">
      <c r="B3919" t="s">
        <v>11</v>
      </c>
    </row>
    <row r="3920" spans="2:13" x14ac:dyDescent="0.2">
      <c r="B3920" t="s">
        <v>12</v>
      </c>
      <c r="C3920" t="s">
        <v>13</v>
      </c>
      <c r="D3920" t="s">
        <v>14</v>
      </c>
      <c r="E3920" t="s">
        <v>15</v>
      </c>
      <c r="F3920" t="s">
        <v>16</v>
      </c>
      <c r="G3920" t="s">
        <v>17</v>
      </c>
      <c r="H3920" t="s">
        <v>18</v>
      </c>
      <c r="I3920" t="s">
        <v>19</v>
      </c>
      <c r="J3920" t="s">
        <v>20</v>
      </c>
      <c r="K3920" t="s">
        <v>21</v>
      </c>
      <c r="L3920" t="s">
        <v>22</v>
      </c>
      <c r="M3920" t="s">
        <v>23</v>
      </c>
    </row>
    <row r="3921" spans="1:13" x14ac:dyDescent="0.2">
      <c r="B3921" t="s">
        <v>33</v>
      </c>
      <c r="C3921">
        <v>89</v>
      </c>
      <c r="E3921" t="s">
        <v>25</v>
      </c>
      <c r="F3921">
        <v>7771.02</v>
      </c>
      <c r="G3921">
        <v>3.3</v>
      </c>
      <c r="K3921">
        <v>0.1</v>
      </c>
      <c r="L3921">
        <v>7</v>
      </c>
      <c r="M3921">
        <v>103.2</v>
      </c>
    </row>
    <row r="3922" spans="1:13" x14ac:dyDescent="0.2">
      <c r="C3922" t="s">
        <v>27</v>
      </c>
    </row>
    <row r="3923" spans="1:13" x14ac:dyDescent="0.2">
      <c r="C3923" t="s">
        <v>28</v>
      </c>
      <c r="D3923" t="s">
        <v>16</v>
      </c>
      <c r="E3923" t="s">
        <v>29</v>
      </c>
      <c r="F3923" t="s">
        <v>18</v>
      </c>
    </row>
    <row r="3924" spans="1:13" x14ac:dyDescent="0.2">
      <c r="C3924" t="b">
        <v>0</v>
      </c>
      <c r="D3924">
        <v>7802.43</v>
      </c>
      <c r="E3924" t="s">
        <v>30</v>
      </c>
    </row>
    <row r="3925" spans="1:13" x14ac:dyDescent="0.2">
      <c r="C3925" t="b">
        <v>0</v>
      </c>
      <c r="D3925">
        <v>7592.3</v>
      </c>
      <c r="E3925" t="s">
        <v>30</v>
      </c>
    </row>
    <row r="3926" spans="1:13" x14ac:dyDescent="0.2">
      <c r="C3926" t="b">
        <v>0</v>
      </c>
      <c r="D3926">
        <v>8152.76</v>
      </c>
      <c r="E3926" t="s">
        <v>30</v>
      </c>
    </row>
    <row r="3927" spans="1:13" x14ac:dyDescent="0.2">
      <c r="C3927" t="b">
        <v>0</v>
      </c>
      <c r="D3927">
        <v>7542.3</v>
      </c>
      <c r="E3927" t="s">
        <v>30</v>
      </c>
    </row>
    <row r="3928" spans="1:13" x14ac:dyDescent="0.2">
      <c r="C3928" t="b">
        <v>0</v>
      </c>
      <c r="D3928">
        <v>7902.55</v>
      </c>
      <c r="E3928" t="s">
        <v>30</v>
      </c>
    </row>
    <row r="3929" spans="1:13" x14ac:dyDescent="0.2">
      <c r="C3929" t="b">
        <v>0</v>
      </c>
      <c r="D3929">
        <v>7952.55</v>
      </c>
      <c r="E3929" t="s">
        <v>30</v>
      </c>
    </row>
    <row r="3930" spans="1:13" x14ac:dyDescent="0.2">
      <c r="C3930" t="b">
        <v>0</v>
      </c>
      <c r="D3930">
        <v>7452.26</v>
      </c>
      <c r="E3930" t="s">
        <v>30</v>
      </c>
    </row>
    <row r="3931" spans="1:13" x14ac:dyDescent="0.2">
      <c r="A3931" t="s">
        <v>0</v>
      </c>
    </row>
    <row r="3932" spans="1:13" x14ac:dyDescent="0.2">
      <c r="B3932" t="s">
        <v>1</v>
      </c>
      <c r="C3932" t="s">
        <v>2</v>
      </c>
      <c r="D3932" t="s">
        <v>3</v>
      </c>
      <c r="E3932" t="s">
        <v>4</v>
      </c>
      <c r="F3932" t="s">
        <v>5</v>
      </c>
      <c r="G3932" t="s">
        <v>6</v>
      </c>
    </row>
    <row r="3933" spans="1:13" x14ac:dyDescent="0.2">
      <c r="B3933" t="b">
        <v>0</v>
      </c>
      <c r="C3933" t="s">
        <v>77</v>
      </c>
      <c r="D3933" t="s">
        <v>314</v>
      </c>
      <c r="E3933" t="s">
        <v>9</v>
      </c>
      <c r="G3933" t="s">
        <v>76</v>
      </c>
    </row>
    <row r="3934" spans="1:13" x14ac:dyDescent="0.2">
      <c r="B3934" t="s">
        <v>11</v>
      </c>
    </row>
    <row r="3935" spans="1:13" x14ac:dyDescent="0.2">
      <c r="B3935" t="s">
        <v>12</v>
      </c>
      <c r="C3935" t="s">
        <v>13</v>
      </c>
      <c r="D3935" t="s">
        <v>14</v>
      </c>
      <c r="E3935" t="s">
        <v>15</v>
      </c>
      <c r="F3935" t="s">
        <v>16</v>
      </c>
      <c r="G3935" t="s">
        <v>17</v>
      </c>
      <c r="H3935" t="s">
        <v>18</v>
      </c>
      <c r="I3935" t="s">
        <v>19</v>
      </c>
      <c r="J3935" t="s">
        <v>20</v>
      </c>
      <c r="K3935" t="s">
        <v>21</v>
      </c>
      <c r="L3935" t="s">
        <v>22</v>
      </c>
      <c r="M3935" t="s">
        <v>23</v>
      </c>
    </row>
    <row r="3936" spans="1:13" x14ac:dyDescent="0.2">
      <c r="B3936" t="s">
        <v>24</v>
      </c>
      <c r="C3936">
        <v>59</v>
      </c>
      <c r="E3936" t="s">
        <v>25</v>
      </c>
      <c r="F3936">
        <v>627.20000000000005</v>
      </c>
      <c r="G3936">
        <v>97.1</v>
      </c>
      <c r="H3936">
        <v>0</v>
      </c>
      <c r="I3936" t="s">
        <v>26</v>
      </c>
      <c r="J3936">
        <v>103.5</v>
      </c>
      <c r="K3936">
        <v>0.1</v>
      </c>
      <c r="L3936">
        <v>7</v>
      </c>
    </row>
    <row r="3937" spans="2:13" x14ac:dyDescent="0.2">
      <c r="C3937" t="s">
        <v>27</v>
      </c>
    </row>
    <row r="3938" spans="2:13" x14ac:dyDescent="0.2">
      <c r="C3938" t="s">
        <v>28</v>
      </c>
      <c r="D3938" t="s">
        <v>16</v>
      </c>
      <c r="E3938" t="s">
        <v>29</v>
      </c>
      <c r="F3938" t="s">
        <v>18</v>
      </c>
    </row>
    <row r="3939" spans="2:13" x14ac:dyDescent="0.2">
      <c r="C3939" t="b">
        <v>0</v>
      </c>
      <c r="D3939">
        <v>200.01</v>
      </c>
      <c r="E3939" t="s">
        <v>30</v>
      </c>
      <c r="F3939">
        <v>0</v>
      </c>
    </row>
    <row r="3940" spans="2:13" x14ac:dyDescent="0.2">
      <c r="C3940" t="b">
        <v>0</v>
      </c>
      <c r="D3940">
        <v>1050.1199999999999</v>
      </c>
      <c r="E3940" t="s">
        <v>30</v>
      </c>
      <c r="F3940">
        <v>0</v>
      </c>
    </row>
    <row r="3941" spans="2:13" x14ac:dyDescent="0.2">
      <c r="C3941" t="b">
        <v>0</v>
      </c>
      <c r="D3941">
        <v>1830.19</v>
      </c>
      <c r="E3941" t="s">
        <v>30</v>
      </c>
      <c r="F3941">
        <v>1E-3</v>
      </c>
    </row>
    <row r="3942" spans="2:13" x14ac:dyDescent="0.2">
      <c r="C3942" t="b">
        <v>0</v>
      </c>
      <c r="D3942">
        <v>530.03</v>
      </c>
      <c r="E3942" t="s">
        <v>30</v>
      </c>
      <c r="F3942">
        <v>0</v>
      </c>
    </row>
    <row r="3943" spans="2:13" x14ac:dyDescent="0.2">
      <c r="C3943" t="b">
        <v>0</v>
      </c>
      <c r="D3943">
        <v>280.01</v>
      </c>
      <c r="E3943" t="s">
        <v>30</v>
      </c>
      <c r="F3943">
        <v>0</v>
      </c>
    </row>
    <row r="3944" spans="2:13" x14ac:dyDescent="0.2">
      <c r="C3944" t="b">
        <v>0</v>
      </c>
      <c r="D3944">
        <v>280.01</v>
      </c>
      <c r="E3944" t="s">
        <v>30</v>
      </c>
      <c r="F3944">
        <v>0</v>
      </c>
    </row>
    <row r="3945" spans="2:13" x14ac:dyDescent="0.2">
      <c r="C3945" t="b">
        <v>0</v>
      </c>
      <c r="D3945">
        <v>220.01</v>
      </c>
      <c r="E3945" t="s">
        <v>30</v>
      </c>
      <c r="F3945">
        <v>0</v>
      </c>
    </row>
    <row r="3946" spans="2:13" x14ac:dyDescent="0.2">
      <c r="B3946" t="s">
        <v>11</v>
      </c>
    </row>
    <row r="3947" spans="2:13" x14ac:dyDescent="0.2">
      <c r="B3947" t="s">
        <v>12</v>
      </c>
      <c r="C3947" t="s">
        <v>13</v>
      </c>
      <c r="D3947" t="s">
        <v>14</v>
      </c>
      <c r="E3947" t="s">
        <v>15</v>
      </c>
      <c r="F3947" t="s">
        <v>16</v>
      </c>
      <c r="G3947" t="s">
        <v>17</v>
      </c>
      <c r="H3947" t="s">
        <v>18</v>
      </c>
      <c r="I3947" t="s">
        <v>19</v>
      </c>
      <c r="J3947" t="s">
        <v>20</v>
      </c>
      <c r="K3947" t="s">
        <v>21</v>
      </c>
      <c r="L3947" t="s">
        <v>22</v>
      </c>
      <c r="M3947" t="s">
        <v>23</v>
      </c>
    </row>
    <row r="3948" spans="2:13" x14ac:dyDescent="0.2">
      <c r="B3948" t="s">
        <v>31</v>
      </c>
      <c r="C3948">
        <v>45</v>
      </c>
      <c r="E3948" t="s">
        <v>25</v>
      </c>
      <c r="F3948">
        <v>1417.26</v>
      </c>
      <c r="G3948">
        <v>7.4</v>
      </c>
      <c r="K3948">
        <v>0.1</v>
      </c>
      <c r="L3948">
        <v>7</v>
      </c>
      <c r="M3948">
        <v>109.3</v>
      </c>
    </row>
    <row r="3949" spans="2:13" x14ac:dyDescent="0.2">
      <c r="C3949" t="s">
        <v>27</v>
      </c>
    </row>
    <row r="3950" spans="2:13" x14ac:dyDescent="0.2">
      <c r="C3950" t="s">
        <v>28</v>
      </c>
      <c r="D3950" t="s">
        <v>16</v>
      </c>
      <c r="E3950" t="s">
        <v>29</v>
      </c>
      <c r="F3950" t="s">
        <v>18</v>
      </c>
    </row>
    <row r="3951" spans="2:13" x14ac:dyDescent="0.2">
      <c r="C3951" t="b">
        <v>0</v>
      </c>
      <c r="D3951">
        <v>1420.12</v>
      </c>
      <c r="E3951" t="s">
        <v>30</v>
      </c>
    </row>
    <row r="3952" spans="2:13" x14ac:dyDescent="0.2">
      <c r="C3952" t="b">
        <v>0</v>
      </c>
      <c r="D3952">
        <v>1510.13</v>
      </c>
      <c r="E3952" t="s">
        <v>30</v>
      </c>
    </row>
    <row r="3953" spans="2:13" x14ac:dyDescent="0.2">
      <c r="C3953" t="b">
        <v>0</v>
      </c>
      <c r="D3953">
        <v>1380.12</v>
      </c>
      <c r="E3953" t="s">
        <v>30</v>
      </c>
    </row>
    <row r="3954" spans="2:13" x14ac:dyDescent="0.2">
      <c r="C3954" t="b">
        <v>0</v>
      </c>
      <c r="D3954">
        <v>1330.11</v>
      </c>
      <c r="E3954" t="s">
        <v>30</v>
      </c>
    </row>
    <row r="3955" spans="2:13" x14ac:dyDescent="0.2">
      <c r="C3955" t="b">
        <v>0</v>
      </c>
      <c r="D3955">
        <v>1570.14</v>
      </c>
      <c r="E3955" t="s">
        <v>30</v>
      </c>
    </row>
    <row r="3956" spans="2:13" x14ac:dyDescent="0.2">
      <c r="C3956" t="b">
        <v>0</v>
      </c>
      <c r="D3956">
        <v>1450.12</v>
      </c>
      <c r="E3956" t="s">
        <v>30</v>
      </c>
    </row>
    <row r="3957" spans="2:13" x14ac:dyDescent="0.2">
      <c r="C3957" t="b">
        <v>0</v>
      </c>
      <c r="D3957">
        <v>1260.0899999999999</v>
      </c>
      <c r="E3957" t="s">
        <v>30</v>
      </c>
    </row>
    <row r="3958" spans="2:13" x14ac:dyDescent="0.2">
      <c r="B3958" t="s">
        <v>11</v>
      </c>
    </row>
    <row r="3959" spans="2:13" x14ac:dyDescent="0.2">
      <c r="B3959" t="s">
        <v>12</v>
      </c>
      <c r="C3959" t="s">
        <v>13</v>
      </c>
      <c r="D3959" t="s">
        <v>14</v>
      </c>
      <c r="E3959" t="s">
        <v>15</v>
      </c>
      <c r="F3959" t="s">
        <v>16</v>
      </c>
      <c r="G3959" t="s">
        <v>17</v>
      </c>
      <c r="H3959" t="s">
        <v>18</v>
      </c>
      <c r="I3959" t="s">
        <v>19</v>
      </c>
      <c r="J3959" t="s">
        <v>20</v>
      </c>
      <c r="K3959" t="s">
        <v>21</v>
      </c>
      <c r="L3959" t="s">
        <v>22</v>
      </c>
      <c r="M3959" t="s">
        <v>23</v>
      </c>
    </row>
    <row r="3960" spans="2:13" x14ac:dyDescent="0.2">
      <c r="B3960" t="s">
        <v>32</v>
      </c>
      <c r="C3960">
        <v>72</v>
      </c>
      <c r="E3960" t="s">
        <v>25</v>
      </c>
      <c r="F3960">
        <v>1427.27</v>
      </c>
      <c r="G3960">
        <v>5.2</v>
      </c>
      <c r="K3960">
        <v>0.1</v>
      </c>
      <c r="L3960">
        <v>7</v>
      </c>
      <c r="M3960">
        <v>103.4</v>
      </c>
    </row>
    <row r="3961" spans="2:13" x14ac:dyDescent="0.2">
      <c r="C3961" t="s">
        <v>27</v>
      </c>
    </row>
    <row r="3962" spans="2:13" x14ac:dyDescent="0.2">
      <c r="C3962" t="s">
        <v>28</v>
      </c>
      <c r="D3962" t="s">
        <v>16</v>
      </c>
      <c r="E3962" t="s">
        <v>29</v>
      </c>
      <c r="F3962" t="s">
        <v>18</v>
      </c>
    </row>
    <row r="3963" spans="2:13" x14ac:dyDescent="0.2">
      <c r="C3963" t="b">
        <v>0</v>
      </c>
      <c r="D3963">
        <v>1550.14</v>
      </c>
      <c r="E3963" t="s">
        <v>30</v>
      </c>
    </row>
    <row r="3964" spans="2:13" x14ac:dyDescent="0.2">
      <c r="C3964" t="b">
        <v>0</v>
      </c>
      <c r="D3964">
        <v>1400.13</v>
      </c>
      <c r="E3964" t="s">
        <v>30</v>
      </c>
    </row>
    <row r="3965" spans="2:13" x14ac:dyDescent="0.2">
      <c r="C3965" t="b">
        <v>0</v>
      </c>
      <c r="D3965">
        <v>1420.13</v>
      </c>
      <c r="E3965" t="s">
        <v>30</v>
      </c>
    </row>
    <row r="3966" spans="2:13" x14ac:dyDescent="0.2">
      <c r="C3966" t="b">
        <v>0</v>
      </c>
      <c r="D3966">
        <v>1480.12</v>
      </c>
      <c r="E3966" t="s">
        <v>30</v>
      </c>
    </row>
    <row r="3967" spans="2:13" x14ac:dyDescent="0.2">
      <c r="C3967" t="b">
        <v>0</v>
      </c>
      <c r="D3967">
        <v>1450.15</v>
      </c>
      <c r="E3967" t="s">
        <v>30</v>
      </c>
    </row>
    <row r="3968" spans="2:13" x14ac:dyDescent="0.2">
      <c r="C3968" t="b">
        <v>0</v>
      </c>
      <c r="D3968">
        <v>1340.12</v>
      </c>
      <c r="E3968" t="s">
        <v>30</v>
      </c>
    </row>
    <row r="3969" spans="1:13" x14ac:dyDescent="0.2">
      <c r="C3969" t="b">
        <v>0</v>
      </c>
      <c r="D3969">
        <v>1350.11</v>
      </c>
      <c r="E3969" t="s">
        <v>30</v>
      </c>
    </row>
    <row r="3970" spans="1:13" x14ac:dyDescent="0.2">
      <c r="B3970" t="s">
        <v>11</v>
      </c>
    </row>
    <row r="3971" spans="1:13" x14ac:dyDescent="0.2">
      <c r="B3971" t="s">
        <v>12</v>
      </c>
      <c r="C3971" t="s">
        <v>13</v>
      </c>
      <c r="D3971" t="s">
        <v>14</v>
      </c>
      <c r="E3971" t="s">
        <v>15</v>
      </c>
      <c r="F3971" t="s">
        <v>16</v>
      </c>
      <c r="G3971" t="s">
        <v>17</v>
      </c>
      <c r="H3971" t="s">
        <v>18</v>
      </c>
      <c r="I3971" t="s">
        <v>19</v>
      </c>
      <c r="J3971" t="s">
        <v>20</v>
      </c>
      <c r="K3971" t="s">
        <v>21</v>
      </c>
      <c r="L3971" t="s">
        <v>22</v>
      </c>
      <c r="M3971" t="s">
        <v>23</v>
      </c>
    </row>
    <row r="3972" spans="1:13" x14ac:dyDescent="0.2">
      <c r="B3972" t="s">
        <v>33</v>
      </c>
      <c r="C3972">
        <v>89</v>
      </c>
      <c r="E3972" t="s">
        <v>25</v>
      </c>
      <c r="F3972">
        <v>7903.95</v>
      </c>
      <c r="G3972">
        <v>6</v>
      </c>
      <c r="K3972">
        <v>0.1</v>
      </c>
      <c r="L3972">
        <v>7</v>
      </c>
      <c r="M3972">
        <v>104.9</v>
      </c>
    </row>
    <row r="3973" spans="1:13" x14ac:dyDescent="0.2">
      <c r="C3973" t="s">
        <v>27</v>
      </c>
    </row>
    <row r="3974" spans="1:13" x14ac:dyDescent="0.2">
      <c r="C3974" t="s">
        <v>28</v>
      </c>
      <c r="D3974" t="s">
        <v>16</v>
      </c>
      <c r="E3974" t="s">
        <v>29</v>
      </c>
      <c r="F3974" t="s">
        <v>18</v>
      </c>
    </row>
    <row r="3975" spans="1:13" x14ac:dyDescent="0.2">
      <c r="C3975" t="b">
        <v>0</v>
      </c>
      <c r="D3975">
        <v>6901.95</v>
      </c>
      <c r="E3975" t="s">
        <v>30</v>
      </c>
    </row>
    <row r="3976" spans="1:13" x14ac:dyDescent="0.2">
      <c r="C3976" t="b">
        <v>0</v>
      </c>
      <c r="D3976">
        <v>8072.63</v>
      </c>
      <c r="E3976" t="s">
        <v>30</v>
      </c>
    </row>
    <row r="3977" spans="1:13" x14ac:dyDescent="0.2">
      <c r="C3977" t="b">
        <v>0</v>
      </c>
      <c r="D3977">
        <v>7932.49</v>
      </c>
      <c r="E3977" t="s">
        <v>30</v>
      </c>
    </row>
    <row r="3978" spans="1:13" x14ac:dyDescent="0.2">
      <c r="C3978" t="b">
        <v>0</v>
      </c>
      <c r="D3978">
        <v>7952.51</v>
      </c>
      <c r="E3978" t="s">
        <v>30</v>
      </c>
    </row>
    <row r="3979" spans="1:13" x14ac:dyDescent="0.2">
      <c r="C3979" t="b">
        <v>0</v>
      </c>
      <c r="D3979">
        <v>8422.89</v>
      </c>
      <c r="E3979" t="s">
        <v>30</v>
      </c>
    </row>
    <row r="3980" spans="1:13" x14ac:dyDescent="0.2">
      <c r="C3980" t="b">
        <v>0</v>
      </c>
      <c r="D3980">
        <v>8042.57</v>
      </c>
      <c r="E3980" t="s">
        <v>30</v>
      </c>
    </row>
    <row r="3981" spans="1:13" x14ac:dyDescent="0.2">
      <c r="C3981" t="b">
        <v>0</v>
      </c>
      <c r="D3981">
        <v>8002.6</v>
      </c>
      <c r="E3981" t="s">
        <v>30</v>
      </c>
    </row>
    <row r="3982" spans="1:13" x14ac:dyDescent="0.2">
      <c r="A3982" t="s">
        <v>0</v>
      </c>
    </row>
    <row r="3983" spans="1:13" x14ac:dyDescent="0.2">
      <c r="B3983" t="s">
        <v>1</v>
      </c>
      <c r="C3983" t="s">
        <v>2</v>
      </c>
      <c r="D3983" t="s">
        <v>3</v>
      </c>
      <c r="E3983" t="s">
        <v>4</v>
      </c>
      <c r="F3983" t="s">
        <v>5</v>
      </c>
      <c r="G3983" t="s">
        <v>6</v>
      </c>
    </row>
    <row r="3984" spans="1:13" x14ac:dyDescent="0.2">
      <c r="B3984" t="b">
        <v>0</v>
      </c>
      <c r="C3984" t="s">
        <v>79</v>
      </c>
      <c r="D3984" t="s">
        <v>315</v>
      </c>
      <c r="E3984" t="s">
        <v>0</v>
      </c>
      <c r="G3984" t="s">
        <v>197</v>
      </c>
    </row>
    <row r="3985" spans="2:13" x14ac:dyDescent="0.2">
      <c r="B3985" t="s">
        <v>11</v>
      </c>
    </row>
    <row r="3986" spans="2:13" x14ac:dyDescent="0.2">
      <c r="B3986" t="s">
        <v>12</v>
      </c>
      <c r="C3986" t="s">
        <v>13</v>
      </c>
      <c r="D3986" t="s">
        <v>14</v>
      </c>
      <c r="E3986" t="s">
        <v>15</v>
      </c>
      <c r="F3986" t="s">
        <v>16</v>
      </c>
      <c r="G3986" t="s">
        <v>17</v>
      </c>
      <c r="H3986" t="s">
        <v>18</v>
      </c>
      <c r="I3986" t="s">
        <v>19</v>
      </c>
      <c r="J3986" t="s">
        <v>20</v>
      </c>
      <c r="K3986" t="s">
        <v>21</v>
      </c>
      <c r="L3986" t="s">
        <v>22</v>
      </c>
      <c r="M3986" t="s">
        <v>23</v>
      </c>
    </row>
    <row r="3987" spans="2:13" x14ac:dyDescent="0.2">
      <c r="B3987" t="s">
        <v>24</v>
      </c>
      <c r="C3987">
        <v>59</v>
      </c>
      <c r="E3987" t="s">
        <v>25</v>
      </c>
      <c r="F3987">
        <v>627.17999999999995</v>
      </c>
      <c r="G3987">
        <v>61</v>
      </c>
      <c r="H3987">
        <v>0</v>
      </c>
      <c r="I3987" t="s">
        <v>26</v>
      </c>
      <c r="J3987">
        <v>65</v>
      </c>
      <c r="K3987">
        <v>0.1</v>
      </c>
      <c r="L3987">
        <v>7</v>
      </c>
    </row>
    <row r="3988" spans="2:13" x14ac:dyDescent="0.2">
      <c r="C3988" t="s">
        <v>27</v>
      </c>
    </row>
    <row r="3989" spans="2:13" x14ac:dyDescent="0.2">
      <c r="C3989" t="s">
        <v>28</v>
      </c>
      <c r="D3989" t="s">
        <v>16</v>
      </c>
      <c r="E3989" t="s">
        <v>29</v>
      </c>
      <c r="F3989" t="s">
        <v>18</v>
      </c>
    </row>
    <row r="3990" spans="2:13" x14ac:dyDescent="0.2">
      <c r="C3990" t="b">
        <v>0</v>
      </c>
      <c r="D3990">
        <v>1440.13</v>
      </c>
      <c r="E3990" t="s">
        <v>30</v>
      </c>
      <c r="F3990">
        <v>0</v>
      </c>
    </row>
    <row r="3991" spans="2:13" x14ac:dyDescent="0.2">
      <c r="C3991" t="b">
        <v>0</v>
      </c>
      <c r="D3991">
        <v>630.04</v>
      </c>
      <c r="E3991" t="s">
        <v>30</v>
      </c>
      <c r="F3991">
        <v>0</v>
      </c>
    </row>
    <row r="3992" spans="2:13" x14ac:dyDescent="0.2">
      <c r="C3992" t="b">
        <v>0</v>
      </c>
      <c r="D3992">
        <v>450.02</v>
      </c>
      <c r="E3992" t="s">
        <v>30</v>
      </c>
      <c r="F3992">
        <v>0</v>
      </c>
    </row>
    <row r="3993" spans="2:13" x14ac:dyDescent="0.2">
      <c r="C3993" t="b">
        <v>0</v>
      </c>
      <c r="D3993">
        <v>520.03</v>
      </c>
      <c r="E3993" t="s">
        <v>30</v>
      </c>
      <c r="F3993">
        <v>0</v>
      </c>
    </row>
    <row r="3994" spans="2:13" x14ac:dyDescent="0.2">
      <c r="C3994" t="b">
        <v>0</v>
      </c>
      <c r="D3994">
        <v>500.02</v>
      </c>
      <c r="E3994" t="s">
        <v>30</v>
      </c>
      <c r="F3994">
        <v>0</v>
      </c>
    </row>
    <row r="3995" spans="2:13" x14ac:dyDescent="0.2">
      <c r="C3995" t="b">
        <v>0</v>
      </c>
      <c r="D3995">
        <v>620.03</v>
      </c>
      <c r="E3995" t="s">
        <v>30</v>
      </c>
      <c r="F3995">
        <v>0</v>
      </c>
    </row>
    <row r="3996" spans="2:13" x14ac:dyDescent="0.2">
      <c r="C3996" t="b">
        <v>0</v>
      </c>
      <c r="D3996">
        <v>230.01</v>
      </c>
      <c r="E3996" t="s">
        <v>30</v>
      </c>
      <c r="F3996">
        <v>0</v>
      </c>
    </row>
    <row r="3997" spans="2:13" x14ac:dyDescent="0.2">
      <c r="B3997" t="s">
        <v>11</v>
      </c>
    </row>
    <row r="3998" spans="2:13" x14ac:dyDescent="0.2">
      <c r="B3998" t="s">
        <v>12</v>
      </c>
      <c r="C3998" t="s">
        <v>13</v>
      </c>
      <c r="D3998" t="s">
        <v>14</v>
      </c>
      <c r="E3998" t="s">
        <v>15</v>
      </c>
      <c r="F3998" t="s">
        <v>16</v>
      </c>
      <c r="G3998" t="s">
        <v>17</v>
      </c>
      <c r="H3998" t="s">
        <v>18</v>
      </c>
      <c r="I3998" t="s">
        <v>19</v>
      </c>
      <c r="J3998" t="s">
        <v>20</v>
      </c>
      <c r="K3998" t="s">
        <v>21</v>
      </c>
      <c r="L3998" t="s">
        <v>22</v>
      </c>
      <c r="M3998" t="s">
        <v>23</v>
      </c>
    </row>
    <row r="3999" spans="2:13" x14ac:dyDescent="0.2">
      <c r="B3999" t="s">
        <v>31</v>
      </c>
      <c r="C3999">
        <v>45</v>
      </c>
      <c r="E3999" t="s">
        <v>25</v>
      </c>
      <c r="F3999">
        <v>1175.8</v>
      </c>
      <c r="G3999">
        <v>11.1</v>
      </c>
      <c r="K3999">
        <v>0.1</v>
      </c>
      <c r="L3999">
        <v>7</v>
      </c>
      <c r="M3999">
        <v>90.6</v>
      </c>
    </row>
    <row r="4000" spans="2:13" x14ac:dyDescent="0.2">
      <c r="C4000" t="s">
        <v>27</v>
      </c>
    </row>
    <row r="4001" spans="2:13" x14ac:dyDescent="0.2">
      <c r="C4001" t="s">
        <v>28</v>
      </c>
      <c r="D4001" t="s">
        <v>16</v>
      </c>
      <c r="E4001" t="s">
        <v>29</v>
      </c>
      <c r="F4001" t="s">
        <v>18</v>
      </c>
    </row>
    <row r="4002" spans="2:13" x14ac:dyDescent="0.2">
      <c r="C4002" t="b">
        <v>0</v>
      </c>
      <c r="D4002">
        <v>1200.0999999999999</v>
      </c>
      <c r="E4002" t="s">
        <v>30</v>
      </c>
    </row>
    <row r="4003" spans="2:13" x14ac:dyDescent="0.2">
      <c r="C4003" t="b">
        <v>0</v>
      </c>
      <c r="D4003">
        <v>1060.07</v>
      </c>
      <c r="E4003" t="s">
        <v>30</v>
      </c>
    </row>
    <row r="4004" spans="2:13" x14ac:dyDescent="0.2">
      <c r="C4004" t="b">
        <v>0</v>
      </c>
      <c r="D4004">
        <v>960.07</v>
      </c>
      <c r="E4004" t="s">
        <v>30</v>
      </c>
    </row>
    <row r="4005" spans="2:13" x14ac:dyDescent="0.2">
      <c r="C4005" t="b">
        <v>0</v>
      </c>
      <c r="D4005">
        <v>1140.08</v>
      </c>
      <c r="E4005" t="s">
        <v>30</v>
      </c>
    </row>
    <row r="4006" spans="2:13" x14ac:dyDescent="0.2">
      <c r="C4006" t="b">
        <v>0</v>
      </c>
      <c r="D4006">
        <v>1260.0899999999999</v>
      </c>
      <c r="E4006" t="s">
        <v>30</v>
      </c>
    </row>
    <row r="4007" spans="2:13" x14ac:dyDescent="0.2">
      <c r="C4007" t="b">
        <v>0</v>
      </c>
      <c r="D4007">
        <v>1290.0999999999999</v>
      </c>
      <c r="E4007" t="s">
        <v>30</v>
      </c>
    </row>
    <row r="4008" spans="2:13" x14ac:dyDescent="0.2">
      <c r="C4008" t="b">
        <v>0</v>
      </c>
      <c r="D4008">
        <v>1320.11</v>
      </c>
      <c r="E4008" t="s">
        <v>30</v>
      </c>
    </row>
    <row r="4009" spans="2:13" x14ac:dyDescent="0.2">
      <c r="B4009" t="s">
        <v>11</v>
      </c>
    </row>
    <row r="4010" spans="2:13" x14ac:dyDescent="0.2">
      <c r="B4010" t="s">
        <v>12</v>
      </c>
      <c r="C4010" t="s">
        <v>13</v>
      </c>
      <c r="D4010" t="s">
        <v>14</v>
      </c>
      <c r="E4010" t="s">
        <v>15</v>
      </c>
      <c r="F4010" t="s">
        <v>16</v>
      </c>
      <c r="G4010" t="s">
        <v>17</v>
      </c>
      <c r="H4010" t="s">
        <v>18</v>
      </c>
      <c r="I4010" t="s">
        <v>19</v>
      </c>
      <c r="J4010" t="s">
        <v>20</v>
      </c>
      <c r="K4010" t="s">
        <v>21</v>
      </c>
      <c r="L4010" t="s">
        <v>22</v>
      </c>
      <c r="M4010" t="s">
        <v>23</v>
      </c>
    </row>
    <row r="4011" spans="2:13" x14ac:dyDescent="0.2">
      <c r="B4011" t="s">
        <v>32</v>
      </c>
      <c r="C4011">
        <v>72</v>
      </c>
      <c r="E4011" t="s">
        <v>25</v>
      </c>
      <c r="F4011">
        <v>1232.96</v>
      </c>
      <c r="G4011">
        <v>7.1</v>
      </c>
      <c r="K4011">
        <v>0.1</v>
      </c>
      <c r="L4011">
        <v>7</v>
      </c>
      <c r="M4011">
        <v>89.3</v>
      </c>
    </row>
    <row r="4012" spans="2:13" x14ac:dyDescent="0.2">
      <c r="C4012" t="s">
        <v>27</v>
      </c>
    </row>
    <row r="4013" spans="2:13" x14ac:dyDescent="0.2">
      <c r="C4013" t="s">
        <v>28</v>
      </c>
      <c r="D4013" t="s">
        <v>16</v>
      </c>
      <c r="E4013" t="s">
        <v>29</v>
      </c>
      <c r="F4013" t="s">
        <v>18</v>
      </c>
    </row>
    <row r="4014" spans="2:13" x14ac:dyDescent="0.2">
      <c r="C4014" t="b">
        <v>0</v>
      </c>
      <c r="D4014">
        <v>1160.0899999999999</v>
      </c>
      <c r="E4014" t="s">
        <v>30</v>
      </c>
    </row>
    <row r="4015" spans="2:13" x14ac:dyDescent="0.2">
      <c r="C4015" t="b">
        <v>0</v>
      </c>
      <c r="D4015">
        <v>1240.0999999999999</v>
      </c>
      <c r="E4015" t="s">
        <v>30</v>
      </c>
    </row>
    <row r="4016" spans="2:13" x14ac:dyDescent="0.2">
      <c r="C4016" t="b">
        <v>0</v>
      </c>
      <c r="D4016">
        <v>1270.1099999999999</v>
      </c>
      <c r="E4016" t="s">
        <v>30</v>
      </c>
    </row>
    <row r="4017" spans="2:13" x14ac:dyDescent="0.2">
      <c r="C4017" t="b">
        <v>0</v>
      </c>
      <c r="D4017">
        <v>1170.0899999999999</v>
      </c>
      <c r="E4017" t="s">
        <v>30</v>
      </c>
    </row>
    <row r="4018" spans="2:13" x14ac:dyDescent="0.2">
      <c r="C4018" t="b">
        <v>0</v>
      </c>
      <c r="D4018">
        <v>1190.0899999999999</v>
      </c>
      <c r="E4018" t="s">
        <v>30</v>
      </c>
    </row>
    <row r="4019" spans="2:13" x14ac:dyDescent="0.2">
      <c r="C4019" t="b">
        <v>0</v>
      </c>
      <c r="D4019">
        <v>1190.0899999999999</v>
      </c>
      <c r="E4019" t="s">
        <v>30</v>
      </c>
    </row>
    <row r="4020" spans="2:13" x14ac:dyDescent="0.2">
      <c r="C4020" t="b">
        <v>0</v>
      </c>
      <c r="D4020">
        <v>1410.12</v>
      </c>
      <c r="E4020" t="s">
        <v>30</v>
      </c>
    </row>
    <row r="4021" spans="2:13" x14ac:dyDescent="0.2">
      <c r="B4021" t="s">
        <v>11</v>
      </c>
    </row>
    <row r="4022" spans="2:13" x14ac:dyDescent="0.2">
      <c r="B4022" t="s">
        <v>12</v>
      </c>
      <c r="C4022" t="s">
        <v>13</v>
      </c>
      <c r="D4022" t="s">
        <v>14</v>
      </c>
      <c r="E4022" t="s">
        <v>15</v>
      </c>
      <c r="F4022" t="s">
        <v>16</v>
      </c>
      <c r="G4022" t="s">
        <v>17</v>
      </c>
      <c r="H4022" t="s">
        <v>18</v>
      </c>
      <c r="I4022" t="s">
        <v>19</v>
      </c>
      <c r="J4022" t="s">
        <v>20</v>
      </c>
      <c r="K4022" t="s">
        <v>21</v>
      </c>
      <c r="L4022" t="s">
        <v>22</v>
      </c>
      <c r="M4022" t="s">
        <v>23</v>
      </c>
    </row>
    <row r="4023" spans="2:13" x14ac:dyDescent="0.2">
      <c r="B4023" t="s">
        <v>33</v>
      </c>
      <c r="C4023">
        <v>89</v>
      </c>
      <c r="E4023" t="s">
        <v>25</v>
      </c>
      <c r="F4023">
        <v>6636.11</v>
      </c>
      <c r="G4023">
        <v>6.6</v>
      </c>
      <c r="K4023">
        <v>0.1</v>
      </c>
      <c r="L4023">
        <v>7</v>
      </c>
      <c r="M4023">
        <v>88.1</v>
      </c>
    </row>
    <row r="4024" spans="2:13" x14ac:dyDescent="0.2">
      <c r="C4024" t="s">
        <v>27</v>
      </c>
    </row>
    <row r="4025" spans="2:13" x14ac:dyDescent="0.2">
      <c r="C4025" t="s">
        <v>28</v>
      </c>
      <c r="D4025" t="s">
        <v>16</v>
      </c>
      <c r="E4025" t="s">
        <v>29</v>
      </c>
      <c r="F4025" t="s">
        <v>18</v>
      </c>
    </row>
    <row r="4026" spans="2:13" x14ac:dyDescent="0.2">
      <c r="C4026" t="b">
        <v>0</v>
      </c>
      <c r="D4026">
        <v>6071.54</v>
      </c>
      <c r="E4026" t="s">
        <v>30</v>
      </c>
    </row>
    <row r="4027" spans="2:13" x14ac:dyDescent="0.2">
      <c r="C4027" t="b">
        <v>0</v>
      </c>
      <c r="D4027">
        <v>6731.85</v>
      </c>
      <c r="E4027" t="s">
        <v>30</v>
      </c>
    </row>
    <row r="4028" spans="2:13" x14ac:dyDescent="0.2">
      <c r="C4028" t="b">
        <v>0</v>
      </c>
      <c r="D4028">
        <v>6031.53</v>
      </c>
      <c r="E4028" t="s">
        <v>30</v>
      </c>
    </row>
    <row r="4029" spans="2:13" x14ac:dyDescent="0.2">
      <c r="C4029" t="b">
        <v>0</v>
      </c>
      <c r="D4029">
        <v>6661.86</v>
      </c>
      <c r="E4029" t="s">
        <v>30</v>
      </c>
    </row>
    <row r="4030" spans="2:13" x14ac:dyDescent="0.2">
      <c r="C4030" t="b">
        <v>0</v>
      </c>
      <c r="D4030">
        <v>6761.87</v>
      </c>
      <c r="E4030" t="s">
        <v>30</v>
      </c>
    </row>
    <row r="4031" spans="2:13" x14ac:dyDescent="0.2">
      <c r="C4031" t="b">
        <v>0</v>
      </c>
      <c r="D4031">
        <v>7082.08</v>
      </c>
      <c r="E4031" t="s">
        <v>30</v>
      </c>
    </row>
    <row r="4032" spans="2:13" x14ac:dyDescent="0.2">
      <c r="C4032" t="b">
        <v>0</v>
      </c>
      <c r="D4032">
        <v>7112.03</v>
      </c>
      <c r="E4032" t="s">
        <v>30</v>
      </c>
    </row>
    <row r="4033" spans="1:13" x14ac:dyDescent="0.2">
      <c r="A4033" t="s">
        <v>0</v>
      </c>
    </row>
    <row r="4034" spans="1:13" x14ac:dyDescent="0.2"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</row>
    <row r="4035" spans="1:13" x14ac:dyDescent="0.2">
      <c r="B4035" t="b">
        <v>0</v>
      </c>
      <c r="C4035" t="s">
        <v>82</v>
      </c>
      <c r="D4035" t="s">
        <v>316</v>
      </c>
      <c r="E4035" t="s">
        <v>0</v>
      </c>
      <c r="G4035" t="s">
        <v>200</v>
      </c>
    </row>
    <row r="4036" spans="1:13" x14ac:dyDescent="0.2">
      <c r="B4036" t="s">
        <v>11</v>
      </c>
    </row>
    <row r="4037" spans="1:13" x14ac:dyDescent="0.2">
      <c r="B4037" t="s">
        <v>12</v>
      </c>
      <c r="C4037" t="s">
        <v>13</v>
      </c>
      <c r="D4037" t="s">
        <v>14</v>
      </c>
      <c r="E4037" t="s">
        <v>15</v>
      </c>
      <c r="F4037" t="s">
        <v>16</v>
      </c>
      <c r="G4037" t="s">
        <v>17</v>
      </c>
      <c r="H4037" t="s">
        <v>18</v>
      </c>
      <c r="I4037" t="s">
        <v>19</v>
      </c>
      <c r="J4037" t="s">
        <v>20</v>
      </c>
      <c r="K4037" t="s">
        <v>21</v>
      </c>
      <c r="L4037" t="s">
        <v>22</v>
      </c>
      <c r="M4037" t="s">
        <v>23</v>
      </c>
    </row>
    <row r="4038" spans="1:13" x14ac:dyDescent="0.2">
      <c r="B4038" t="s">
        <v>24</v>
      </c>
      <c r="C4038">
        <v>59</v>
      </c>
      <c r="E4038" t="s">
        <v>25</v>
      </c>
      <c r="F4038">
        <v>303546.62</v>
      </c>
      <c r="G4038">
        <v>0.7</v>
      </c>
      <c r="H4038">
        <v>9.4E-2</v>
      </c>
      <c r="I4038" t="s">
        <v>26</v>
      </c>
      <c r="J4038">
        <v>0.7</v>
      </c>
      <c r="K4038">
        <v>0.1</v>
      </c>
      <c r="L4038">
        <v>7</v>
      </c>
    </row>
    <row r="4039" spans="1:13" x14ac:dyDescent="0.2">
      <c r="C4039" t="s">
        <v>27</v>
      </c>
    </row>
    <row r="4040" spans="1:13" x14ac:dyDescent="0.2">
      <c r="C4040" t="s">
        <v>28</v>
      </c>
      <c r="D4040" t="s">
        <v>16</v>
      </c>
      <c r="E4040" t="s">
        <v>29</v>
      </c>
      <c r="F4040" t="s">
        <v>18</v>
      </c>
    </row>
    <row r="4041" spans="1:13" x14ac:dyDescent="0.2">
      <c r="C4041" t="b">
        <v>0</v>
      </c>
      <c r="D4041">
        <v>304462.55</v>
      </c>
      <c r="E4041" t="s">
        <v>30</v>
      </c>
      <c r="F4041">
        <v>9.4E-2</v>
      </c>
    </row>
    <row r="4042" spans="1:13" x14ac:dyDescent="0.2">
      <c r="C4042" t="b">
        <v>0</v>
      </c>
      <c r="D4042">
        <v>304556.11</v>
      </c>
      <c r="E4042" t="s">
        <v>30</v>
      </c>
      <c r="F4042">
        <v>9.4E-2</v>
      </c>
    </row>
    <row r="4043" spans="1:13" x14ac:dyDescent="0.2">
      <c r="C4043" t="b">
        <v>0</v>
      </c>
      <c r="D4043">
        <v>303882.28000000003</v>
      </c>
      <c r="E4043" t="s">
        <v>30</v>
      </c>
      <c r="F4043">
        <v>9.4E-2</v>
      </c>
    </row>
    <row r="4044" spans="1:13" x14ac:dyDescent="0.2">
      <c r="C4044" t="b">
        <v>0</v>
      </c>
      <c r="D4044">
        <v>302117.14</v>
      </c>
      <c r="E4044" t="s">
        <v>30</v>
      </c>
      <c r="F4044">
        <v>9.2999999999999999E-2</v>
      </c>
    </row>
    <row r="4045" spans="1:13" x14ac:dyDescent="0.2">
      <c r="C4045" t="b">
        <v>0</v>
      </c>
      <c r="D4045">
        <v>300652.01</v>
      </c>
      <c r="E4045" t="s">
        <v>30</v>
      </c>
      <c r="F4045">
        <v>9.2999999999999999E-2</v>
      </c>
    </row>
    <row r="4046" spans="1:13" x14ac:dyDescent="0.2">
      <c r="C4046" t="b">
        <v>0</v>
      </c>
      <c r="D4046">
        <v>306868.63</v>
      </c>
      <c r="E4046" t="s">
        <v>30</v>
      </c>
      <c r="F4046">
        <v>9.5000000000000001E-2</v>
      </c>
    </row>
    <row r="4047" spans="1:13" x14ac:dyDescent="0.2">
      <c r="C4047" t="b">
        <v>0</v>
      </c>
      <c r="D4047">
        <v>302287.61</v>
      </c>
      <c r="E4047" t="s">
        <v>30</v>
      </c>
      <c r="F4047">
        <v>9.2999999999999999E-2</v>
      </c>
    </row>
    <row r="4048" spans="1:13" x14ac:dyDescent="0.2">
      <c r="B4048" t="s">
        <v>11</v>
      </c>
    </row>
    <row r="4049" spans="2:13" x14ac:dyDescent="0.2">
      <c r="B4049" t="s">
        <v>12</v>
      </c>
      <c r="C4049" t="s">
        <v>13</v>
      </c>
      <c r="D4049" t="s">
        <v>14</v>
      </c>
      <c r="E4049" t="s">
        <v>15</v>
      </c>
      <c r="F4049" t="s">
        <v>16</v>
      </c>
      <c r="G4049" t="s">
        <v>17</v>
      </c>
      <c r="H4049" t="s">
        <v>18</v>
      </c>
      <c r="I4049" t="s">
        <v>19</v>
      </c>
      <c r="J4049" t="s">
        <v>20</v>
      </c>
      <c r="K4049" t="s">
        <v>21</v>
      </c>
      <c r="L4049" t="s">
        <v>22</v>
      </c>
      <c r="M4049" t="s">
        <v>23</v>
      </c>
    </row>
    <row r="4050" spans="2:13" x14ac:dyDescent="0.2">
      <c r="B4050" t="s">
        <v>31</v>
      </c>
      <c r="C4050">
        <v>45</v>
      </c>
      <c r="E4050" t="s">
        <v>25</v>
      </c>
      <c r="F4050">
        <v>1385.84</v>
      </c>
      <c r="G4050">
        <v>9</v>
      </c>
      <c r="K4050">
        <v>0.1</v>
      </c>
      <c r="L4050">
        <v>7</v>
      </c>
      <c r="M4050">
        <v>106.8</v>
      </c>
    </row>
    <row r="4051" spans="2:13" x14ac:dyDescent="0.2">
      <c r="C4051" t="s">
        <v>27</v>
      </c>
    </row>
    <row r="4052" spans="2:13" x14ac:dyDescent="0.2">
      <c r="C4052" t="s">
        <v>28</v>
      </c>
      <c r="D4052" t="s">
        <v>16</v>
      </c>
      <c r="E4052" t="s">
        <v>29</v>
      </c>
      <c r="F4052" t="s">
        <v>18</v>
      </c>
    </row>
    <row r="4053" spans="2:13" x14ac:dyDescent="0.2">
      <c r="C4053" t="b">
        <v>0</v>
      </c>
      <c r="D4053">
        <v>1240.0999999999999</v>
      </c>
      <c r="E4053" t="s">
        <v>30</v>
      </c>
    </row>
    <row r="4054" spans="2:13" x14ac:dyDescent="0.2">
      <c r="C4054" t="b">
        <v>0</v>
      </c>
      <c r="D4054">
        <v>1250.0999999999999</v>
      </c>
      <c r="E4054" t="s">
        <v>30</v>
      </c>
    </row>
    <row r="4055" spans="2:13" x14ac:dyDescent="0.2">
      <c r="C4055" t="b">
        <v>0</v>
      </c>
      <c r="D4055">
        <v>1280.0999999999999</v>
      </c>
      <c r="E4055" t="s">
        <v>30</v>
      </c>
    </row>
    <row r="4056" spans="2:13" x14ac:dyDescent="0.2">
      <c r="C4056" t="b">
        <v>0</v>
      </c>
      <c r="D4056">
        <v>1460.13</v>
      </c>
      <c r="E4056" t="s">
        <v>30</v>
      </c>
    </row>
    <row r="4057" spans="2:13" x14ac:dyDescent="0.2">
      <c r="C4057" t="b">
        <v>0</v>
      </c>
      <c r="D4057">
        <v>1490.14</v>
      </c>
      <c r="E4057" t="s">
        <v>30</v>
      </c>
    </row>
    <row r="4058" spans="2:13" x14ac:dyDescent="0.2">
      <c r="C4058" t="b">
        <v>0</v>
      </c>
      <c r="D4058">
        <v>1540.16</v>
      </c>
      <c r="E4058" t="s">
        <v>30</v>
      </c>
    </row>
    <row r="4059" spans="2:13" x14ac:dyDescent="0.2">
      <c r="C4059" t="b">
        <v>0</v>
      </c>
      <c r="D4059">
        <v>1440.12</v>
      </c>
      <c r="E4059" t="s">
        <v>30</v>
      </c>
    </row>
    <row r="4060" spans="2:13" x14ac:dyDescent="0.2">
      <c r="B4060" t="s">
        <v>11</v>
      </c>
    </row>
    <row r="4061" spans="2:13" x14ac:dyDescent="0.2">
      <c r="B4061" t="s">
        <v>12</v>
      </c>
      <c r="C4061" t="s">
        <v>13</v>
      </c>
      <c r="D4061" t="s">
        <v>14</v>
      </c>
      <c r="E4061" t="s">
        <v>15</v>
      </c>
      <c r="F4061" t="s">
        <v>16</v>
      </c>
      <c r="G4061" t="s">
        <v>17</v>
      </c>
      <c r="H4061" t="s">
        <v>18</v>
      </c>
      <c r="I4061" t="s">
        <v>19</v>
      </c>
      <c r="J4061" t="s">
        <v>20</v>
      </c>
      <c r="K4061" t="s">
        <v>21</v>
      </c>
      <c r="L4061" t="s">
        <v>22</v>
      </c>
      <c r="M4061" t="s">
        <v>23</v>
      </c>
    </row>
    <row r="4062" spans="2:13" x14ac:dyDescent="0.2">
      <c r="B4062" t="s">
        <v>32</v>
      </c>
      <c r="C4062">
        <v>72</v>
      </c>
      <c r="E4062" t="s">
        <v>25</v>
      </c>
      <c r="F4062">
        <v>1385.83</v>
      </c>
      <c r="G4062">
        <v>9.8000000000000007</v>
      </c>
      <c r="K4062">
        <v>0.1</v>
      </c>
      <c r="L4062">
        <v>7</v>
      </c>
      <c r="M4062">
        <v>100.4</v>
      </c>
    </row>
    <row r="4063" spans="2:13" x14ac:dyDescent="0.2">
      <c r="C4063" t="s">
        <v>27</v>
      </c>
    </row>
    <row r="4064" spans="2:13" x14ac:dyDescent="0.2">
      <c r="C4064" t="s">
        <v>28</v>
      </c>
      <c r="D4064" t="s">
        <v>16</v>
      </c>
      <c r="E4064" t="s">
        <v>29</v>
      </c>
      <c r="F4064" t="s">
        <v>18</v>
      </c>
    </row>
    <row r="4065" spans="2:13" x14ac:dyDescent="0.2">
      <c r="C4065" t="b">
        <v>0</v>
      </c>
      <c r="D4065">
        <v>1220.1099999999999</v>
      </c>
      <c r="E4065" t="s">
        <v>30</v>
      </c>
    </row>
    <row r="4066" spans="2:13" x14ac:dyDescent="0.2">
      <c r="C4066" t="b">
        <v>0</v>
      </c>
      <c r="D4066">
        <v>1420.12</v>
      </c>
      <c r="E4066" t="s">
        <v>30</v>
      </c>
    </row>
    <row r="4067" spans="2:13" x14ac:dyDescent="0.2">
      <c r="C4067" t="b">
        <v>0</v>
      </c>
      <c r="D4067">
        <v>1450.12</v>
      </c>
      <c r="E4067" t="s">
        <v>30</v>
      </c>
    </row>
    <row r="4068" spans="2:13" x14ac:dyDescent="0.2">
      <c r="C4068" t="b">
        <v>0</v>
      </c>
      <c r="D4068">
        <v>1240.0899999999999</v>
      </c>
      <c r="E4068" t="s">
        <v>30</v>
      </c>
    </row>
    <row r="4069" spans="2:13" x14ac:dyDescent="0.2">
      <c r="C4069" t="b">
        <v>0</v>
      </c>
      <c r="D4069">
        <v>1350.11</v>
      </c>
      <c r="E4069" t="s">
        <v>30</v>
      </c>
    </row>
    <row r="4070" spans="2:13" x14ac:dyDescent="0.2">
      <c r="C4070" t="b">
        <v>0</v>
      </c>
      <c r="D4070">
        <v>1620.15</v>
      </c>
      <c r="E4070" t="s">
        <v>30</v>
      </c>
    </row>
    <row r="4071" spans="2:13" x14ac:dyDescent="0.2">
      <c r="C4071" t="b">
        <v>0</v>
      </c>
      <c r="D4071">
        <v>1400.12</v>
      </c>
      <c r="E4071" t="s">
        <v>30</v>
      </c>
    </row>
    <row r="4072" spans="2:13" x14ac:dyDescent="0.2">
      <c r="B4072" t="s">
        <v>11</v>
      </c>
    </row>
    <row r="4073" spans="2:13" x14ac:dyDescent="0.2">
      <c r="B4073" t="s">
        <v>12</v>
      </c>
      <c r="C4073" t="s">
        <v>13</v>
      </c>
      <c r="D4073" t="s">
        <v>14</v>
      </c>
      <c r="E4073" t="s">
        <v>15</v>
      </c>
      <c r="F4073" t="s">
        <v>16</v>
      </c>
      <c r="G4073" t="s">
        <v>17</v>
      </c>
      <c r="H4073" t="s">
        <v>18</v>
      </c>
      <c r="I4073" t="s">
        <v>19</v>
      </c>
      <c r="J4073" t="s">
        <v>20</v>
      </c>
      <c r="K4073" t="s">
        <v>21</v>
      </c>
      <c r="L4073" t="s">
        <v>22</v>
      </c>
      <c r="M4073" t="s">
        <v>23</v>
      </c>
    </row>
    <row r="4074" spans="2:13" x14ac:dyDescent="0.2">
      <c r="B4074" t="s">
        <v>33</v>
      </c>
      <c r="C4074">
        <v>89</v>
      </c>
      <c r="E4074" t="s">
        <v>25</v>
      </c>
      <c r="F4074">
        <v>8131.24</v>
      </c>
      <c r="G4074">
        <v>5</v>
      </c>
      <c r="K4074">
        <v>0.1</v>
      </c>
      <c r="L4074">
        <v>7</v>
      </c>
      <c r="M4074">
        <v>108</v>
      </c>
    </row>
    <row r="4075" spans="2:13" x14ac:dyDescent="0.2">
      <c r="C4075" t="s">
        <v>27</v>
      </c>
    </row>
    <row r="4076" spans="2:13" x14ac:dyDescent="0.2">
      <c r="C4076" t="s">
        <v>28</v>
      </c>
      <c r="D4076" t="s">
        <v>16</v>
      </c>
      <c r="E4076" t="s">
        <v>29</v>
      </c>
      <c r="F4076" t="s">
        <v>18</v>
      </c>
    </row>
    <row r="4077" spans="2:13" x14ac:dyDescent="0.2">
      <c r="C4077" t="b">
        <v>0</v>
      </c>
      <c r="D4077">
        <v>7712.42</v>
      </c>
      <c r="E4077" t="s">
        <v>30</v>
      </c>
    </row>
    <row r="4078" spans="2:13" x14ac:dyDescent="0.2">
      <c r="C4078" t="b">
        <v>0</v>
      </c>
      <c r="D4078">
        <v>7752.41</v>
      </c>
      <c r="E4078" t="s">
        <v>30</v>
      </c>
    </row>
    <row r="4079" spans="2:13" x14ac:dyDescent="0.2">
      <c r="C4079" t="b">
        <v>0</v>
      </c>
      <c r="D4079">
        <v>7972.59</v>
      </c>
      <c r="E4079" t="s">
        <v>30</v>
      </c>
    </row>
    <row r="4080" spans="2:13" x14ac:dyDescent="0.2">
      <c r="C4080" t="b">
        <v>0</v>
      </c>
      <c r="D4080">
        <v>8032.61</v>
      </c>
      <c r="E4080" t="s">
        <v>30</v>
      </c>
    </row>
    <row r="4081" spans="1:13" x14ac:dyDescent="0.2">
      <c r="C4081" t="b">
        <v>0</v>
      </c>
      <c r="D4081">
        <v>8222.77</v>
      </c>
      <c r="E4081" t="s">
        <v>30</v>
      </c>
    </row>
    <row r="4082" spans="1:13" x14ac:dyDescent="0.2">
      <c r="C4082" t="b">
        <v>0</v>
      </c>
      <c r="D4082">
        <v>8893.14</v>
      </c>
      <c r="E4082" t="s">
        <v>30</v>
      </c>
    </row>
    <row r="4083" spans="1:13" x14ac:dyDescent="0.2">
      <c r="C4083" t="b">
        <v>0</v>
      </c>
      <c r="D4083">
        <v>8332.75</v>
      </c>
      <c r="E4083" t="s">
        <v>30</v>
      </c>
    </row>
    <row r="4084" spans="1:13" x14ac:dyDescent="0.2">
      <c r="A4084" t="s">
        <v>0</v>
      </c>
    </row>
    <row r="4085" spans="1:13" x14ac:dyDescent="0.2">
      <c r="B4085" t="s">
        <v>1</v>
      </c>
      <c r="C4085" t="s">
        <v>2</v>
      </c>
      <c r="D4085" t="s">
        <v>3</v>
      </c>
      <c r="E4085" t="s">
        <v>4</v>
      </c>
      <c r="F4085" t="s">
        <v>5</v>
      </c>
      <c r="G4085" t="s">
        <v>6</v>
      </c>
    </row>
    <row r="4086" spans="1:13" x14ac:dyDescent="0.2">
      <c r="B4086" t="b">
        <v>0</v>
      </c>
      <c r="C4086" t="s">
        <v>85</v>
      </c>
      <c r="D4086" t="s">
        <v>317</v>
      </c>
      <c r="E4086" t="s">
        <v>0</v>
      </c>
      <c r="G4086" t="s">
        <v>203</v>
      </c>
    </row>
    <row r="4087" spans="1:13" x14ac:dyDescent="0.2">
      <c r="B4087" t="s">
        <v>11</v>
      </c>
    </row>
    <row r="4088" spans="1:13" x14ac:dyDescent="0.2">
      <c r="B4088" t="s">
        <v>12</v>
      </c>
      <c r="C4088" t="s">
        <v>13</v>
      </c>
      <c r="D4088" t="s">
        <v>14</v>
      </c>
      <c r="E4088" t="s">
        <v>15</v>
      </c>
      <c r="F4088" t="s">
        <v>16</v>
      </c>
      <c r="G4088" t="s">
        <v>17</v>
      </c>
      <c r="H4088" t="s">
        <v>18</v>
      </c>
      <c r="I4088" t="s">
        <v>19</v>
      </c>
      <c r="J4088" t="s">
        <v>20</v>
      </c>
      <c r="K4088" t="s">
        <v>21</v>
      </c>
      <c r="L4088" t="s">
        <v>22</v>
      </c>
      <c r="M4088" t="s">
        <v>23</v>
      </c>
    </row>
    <row r="4089" spans="1:13" x14ac:dyDescent="0.2">
      <c r="B4089" t="s">
        <v>24</v>
      </c>
      <c r="C4089">
        <v>59</v>
      </c>
      <c r="E4089" t="s">
        <v>25</v>
      </c>
      <c r="F4089">
        <v>311821.83</v>
      </c>
      <c r="G4089">
        <v>1.7</v>
      </c>
      <c r="H4089">
        <v>9.6000000000000002E-2</v>
      </c>
      <c r="I4089" t="s">
        <v>26</v>
      </c>
      <c r="J4089">
        <v>1.7</v>
      </c>
      <c r="K4089">
        <v>0.1</v>
      </c>
      <c r="L4089">
        <v>7</v>
      </c>
    </row>
    <row r="4090" spans="1:13" x14ac:dyDescent="0.2">
      <c r="C4090" t="s">
        <v>27</v>
      </c>
    </row>
    <row r="4091" spans="1:13" x14ac:dyDescent="0.2">
      <c r="C4091" t="s">
        <v>28</v>
      </c>
      <c r="D4091" t="s">
        <v>16</v>
      </c>
      <c r="E4091" t="s">
        <v>29</v>
      </c>
      <c r="F4091" t="s">
        <v>18</v>
      </c>
    </row>
    <row r="4092" spans="1:13" x14ac:dyDescent="0.2">
      <c r="C4092" t="b">
        <v>0</v>
      </c>
      <c r="D4092">
        <v>315489.57</v>
      </c>
      <c r="E4092" t="s">
        <v>30</v>
      </c>
      <c r="F4092">
        <v>9.7000000000000003E-2</v>
      </c>
    </row>
    <row r="4093" spans="1:13" x14ac:dyDescent="0.2">
      <c r="C4093" t="b">
        <v>0</v>
      </c>
      <c r="D4093">
        <v>316276.81</v>
      </c>
      <c r="E4093" t="s">
        <v>30</v>
      </c>
      <c r="F4093">
        <v>9.7000000000000003E-2</v>
      </c>
    </row>
    <row r="4094" spans="1:13" x14ac:dyDescent="0.2">
      <c r="C4094" t="b">
        <v>0</v>
      </c>
      <c r="D4094">
        <v>318733.86</v>
      </c>
      <c r="E4094" t="s">
        <v>30</v>
      </c>
      <c r="F4094">
        <v>9.8000000000000004E-2</v>
      </c>
    </row>
    <row r="4095" spans="1:13" x14ac:dyDescent="0.2">
      <c r="C4095" t="b">
        <v>0</v>
      </c>
      <c r="D4095">
        <v>312237.61</v>
      </c>
      <c r="E4095" t="s">
        <v>30</v>
      </c>
      <c r="F4095">
        <v>9.6000000000000002E-2</v>
      </c>
    </row>
    <row r="4096" spans="1:13" x14ac:dyDescent="0.2">
      <c r="C4096" t="b">
        <v>0</v>
      </c>
      <c r="D4096">
        <v>308329.55</v>
      </c>
      <c r="E4096" t="s">
        <v>30</v>
      </c>
      <c r="F4096">
        <v>9.5000000000000001E-2</v>
      </c>
    </row>
    <row r="4097" spans="2:13" x14ac:dyDescent="0.2">
      <c r="C4097" t="b">
        <v>0</v>
      </c>
      <c r="D4097">
        <v>307801.38</v>
      </c>
      <c r="E4097" t="s">
        <v>30</v>
      </c>
      <c r="F4097">
        <v>9.5000000000000001E-2</v>
      </c>
    </row>
    <row r="4098" spans="2:13" x14ac:dyDescent="0.2">
      <c r="C4098" t="b">
        <v>0</v>
      </c>
      <c r="D4098">
        <v>303884.03999999998</v>
      </c>
      <c r="E4098" t="s">
        <v>30</v>
      </c>
      <c r="F4098">
        <v>9.4E-2</v>
      </c>
    </row>
    <row r="4099" spans="2:13" x14ac:dyDescent="0.2">
      <c r="B4099" t="s">
        <v>11</v>
      </c>
    </row>
    <row r="4100" spans="2:13" x14ac:dyDescent="0.2">
      <c r="B4100" t="s">
        <v>12</v>
      </c>
      <c r="C4100" t="s">
        <v>13</v>
      </c>
      <c r="D4100" t="s">
        <v>14</v>
      </c>
      <c r="E4100" t="s">
        <v>15</v>
      </c>
      <c r="F4100" t="s">
        <v>16</v>
      </c>
      <c r="G4100" t="s">
        <v>17</v>
      </c>
      <c r="H4100" t="s">
        <v>18</v>
      </c>
      <c r="I4100" t="s">
        <v>19</v>
      </c>
      <c r="J4100" t="s">
        <v>20</v>
      </c>
      <c r="K4100" t="s">
        <v>21</v>
      </c>
      <c r="L4100" t="s">
        <v>22</v>
      </c>
      <c r="M4100" t="s">
        <v>23</v>
      </c>
    </row>
    <row r="4101" spans="2:13" x14ac:dyDescent="0.2">
      <c r="B4101" t="s">
        <v>31</v>
      </c>
      <c r="C4101">
        <v>45</v>
      </c>
      <c r="E4101" t="s">
        <v>25</v>
      </c>
      <c r="F4101">
        <v>1511.57</v>
      </c>
      <c r="G4101">
        <v>20.3</v>
      </c>
      <c r="K4101">
        <v>0.1</v>
      </c>
      <c r="L4101">
        <v>7</v>
      </c>
      <c r="M4101">
        <v>116.5</v>
      </c>
    </row>
    <row r="4102" spans="2:13" x14ac:dyDescent="0.2">
      <c r="C4102" t="s">
        <v>27</v>
      </c>
    </row>
    <row r="4103" spans="2:13" x14ac:dyDescent="0.2">
      <c r="C4103" t="s">
        <v>28</v>
      </c>
      <c r="D4103" t="s">
        <v>16</v>
      </c>
      <c r="E4103" t="s">
        <v>29</v>
      </c>
      <c r="F4103" t="s">
        <v>18</v>
      </c>
    </row>
    <row r="4104" spans="2:13" x14ac:dyDescent="0.2">
      <c r="C4104" t="b">
        <v>0</v>
      </c>
      <c r="D4104">
        <v>1240.0999999999999</v>
      </c>
      <c r="E4104" t="s">
        <v>30</v>
      </c>
    </row>
    <row r="4105" spans="2:13" x14ac:dyDescent="0.2">
      <c r="C4105" t="b">
        <v>0</v>
      </c>
      <c r="D4105">
        <v>1320.12</v>
      </c>
      <c r="E4105" t="s">
        <v>30</v>
      </c>
    </row>
    <row r="4106" spans="2:13" x14ac:dyDescent="0.2">
      <c r="C4106" t="b">
        <v>0</v>
      </c>
      <c r="D4106">
        <v>1300.1099999999999</v>
      </c>
      <c r="E4106" t="s">
        <v>30</v>
      </c>
    </row>
    <row r="4107" spans="2:13" x14ac:dyDescent="0.2">
      <c r="C4107" t="b">
        <v>0</v>
      </c>
      <c r="D4107">
        <v>1450.12</v>
      </c>
      <c r="E4107" t="s">
        <v>30</v>
      </c>
    </row>
    <row r="4108" spans="2:13" x14ac:dyDescent="0.2">
      <c r="C4108" t="b">
        <v>0</v>
      </c>
      <c r="D4108">
        <v>1370.11</v>
      </c>
      <c r="E4108" t="s">
        <v>30</v>
      </c>
    </row>
    <row r="4109" spans="2:13" x14ac:dyDescent="0.2">
      <c r="C4109" t="b">
        <v>0</v>
      </c>
      <c r="D4109">
        <v>1990.22</v>
      </c>
      <c r="E4109" t="s">
        <v>30</v>
      </c>
    </row>
    <row r="4110" spans="2:13" x14ac:dyDescent="0.2">
      <c r="C4110" t="b">
        <v>0</v>
      </c>
      <c r="D4110">
        <v>1910.2</v>
      </c>
      <c r="E4110" t="s">
        <v>30</v>
      </c>
    </row>
    <row r="4111" spans="2:13" x14ac:dyDescent="0.2">
      <c r="B4111" t="s">
        <v>11</v>
      </c>
    </row>
    <row r="4112" spans="2:13" x14ac:dyDescent="0.2">
      <c r="B4112" t="s">
        <v>12</v>
      </c>
      <c r="C4112" t="s">
        <v>13</v>
      </c>
      <c r="D4112" t="s">
        <v>14</v>
      </c>
      <c r="E4112" t="s">
        <v>15</v>
      </c>
      <c r="F4112" t="s">
        <v>16</v>
      </c>
      <c r="G4112" t="s">
        <v>17</v>
      </c>
      <c r="H4112" t="s">
        <v>18</v>
      </c>
      <c r="I4112" t="s">
        <v>19</v>
      </c>
      <c r="J4112" t="s">
        <v>20</v>
      </c>
      <c r="K4112" t="s">
        <v>21</v>
      </c>
      <c r="L4112" t="s">
        <v>22</v>
      </c>
      <c r="M4112" t="s">
        <v>23</v>
      </c>
    </row>
    <row r="4113" spans="2:13" x14ac:dyDescent="0.2">
      <c r="B4113" t="s">
        <v>32</v>
      </c>
      <c r="C4113">
        <v>72</v>
      </c>
      <c r="E4113" t="s">
        <v>25</v>
      </c>
      <c r="F4113">
        <v>1404.41</v>
      </c>
      <c r="G4113">
        <v>17.899999999999999</v>
      </c>
      <c r="K4113">
        <v>0.1</v>
      </c>
      <c r="L4113">
        <v>7</v>
      </c>
      <c r="M4113">
        <v>101.8</v>
      </c>
    </row>
    <row r="4114" spans="2:13" x14ac:dyDescent="0.2">
      <c r="C4114" t="s">
        <v>27</v>
      </c>
    </row>
    <row r="4115" spans="2:13" x14ac:dyDescent="0.2">
      <c r="C4115" t="s">
        <v>28</v>
      </c>
      <c r="D4115" t="s">
        <v>16</v>
      </c>
      <c r="E4115" t="s">
        <v>29</v>
      </c>
      <c r="F4115" t="s">
        <v>18</v>
      </c>
    </row>
    <row r="4116" spans="2:13" x14ac:dyDescent="0.2">
      <c r="C4116" t="b">
        <v>0</v>
      </c>
      <c r="D4116">
        <v>1140.08</v>
      </c>
      <c r="E4116" t="s">
        <v>30</v>
      </c>
    </row>
    <row r="4117" spans="2:13" x14ac:dyDescent="0.2">
      <c r="C4117" t="b">
        <v>0</v>
      </c>
      <c r="D4117">
        <v>1380.12</v>
      </c>
      <c r="E4117" t="s">
        <v>30</v>
      </c>
    </row>
    <row r="4118" spans="2:13" x14ac:dyDescent="0.2">
      <c r="C4118" t="b">
        <v>0</v>
      </c>
      <c r="D4118">
        <v>1180.0999999999999</v>
      </c>
      <c r="E4118" t="s">
        <v>30</v>
      </c>
    </row>
    <row r="4119" spans="2:13" x14ac:dyDescent="0.2">
      <c r="C4119" t="b">
        <v>0</v>
      </c>
      <c r="D4119">
        <v>1160.0899999999999</v>
      </c>
      <c r="E4119" t="s">
        <v>30</v>
      </c>
    </row>
    <row r="4120" spans="2:13" x14ac:dyDescent="0.2">
      <c r="C4120" t="b">
        <v>0</v>
      </c>
      <c r="D4120">
        <v>1590.16</v>
      </c>
      <c r="E4120" t="s">
        <v>30</v>
      </c>
    </row>
    <row r="4121" spans="2:13" x14ac:dyDescent="0.2">
      <c r="C4121" t="b">
        <v>0</v>
      </c>
      <c r="D4121">
        <v>1700.18</v>
      </c>
      <c r="E4121" t="s">
        <v>30</v>
      </c>
    </row>
    <row r="4122" spans="2:13" x14ac:dyDescent="0.2">
      <c r="C4122" t="b">
        <v>0</v>
      </c>
      <c r="D4122">
        <v>1680.16</v>
      </c>
      <c r="E4122" t="s">
        <v>30</v>
      </c>
    </row>
    <row r="4123" spans="2:13" x14ac:dyDescent="0.2">
      <c r="B4123" t="s">
        <v>11</v>
      </c>
    </row>
    <row r="4124" spans="2:13" x14ac:dyDescent="0.2">
      <c r="B4124" t="s">
        <v>12</v>
      </c>
      <c r="C4124" t="s">
        <v>13</v>
      </c>
      <c r="D4124" t="s">
        <v>14</v>
      </c>
      <c r="E4124" t="s">
        <v>15</v>
      </c>
      <c r="F4124" t="s">
        <v>16</v>
      </c>
      <c r="G4124" t="s">
        <v>17</v>
      </c>
      <c r="H4124" t="s">
        <v>18</v>
      </c>
      <c r="I4124" t="s">
        <v>19</v>
      </c>
      <c r="J4124" t="s">
        <v>20</v>
      </c>
      <c r="K4124" t="s">
        <v>21</v>
      </c>
      <c r="L4124" t="s">
        <v>22</v>
      </c>
      <c r="M4124" t="s">
        <v>23</v>
      </c>
    </row>
    <row r="4125" spans="2:13" x14ac:dyDescent="0.2">
      <c r="B4125" t="s">
        <v>33</v>
      </c>
      <c r="C4125">
        <v>89</v>
      </c>
      <c r="E4125" t="s">
        <v>25</v>
      </c>
      <c r="F4125">
        <v>8257.1</v>
      </c>
      <c r="G4125">
        <v>20.399999999999999</v>
      </c>
      <c r="K4125">
        <v>0.1</v>
      </c>
      <c r="L4125">
        <v>7</v>
      </c>
      <c r="M4125">
        <v>109.6</v>
      </c>
    </row>
    <row r="4126" spans="2:13" x14ac:dyDescent="0.2">
      <c r="C4126" t="s">
        <v>27</v>
      </c>
    </row>
    <row r="4127" spans="2:13" x14ac:dyDescent="0.2">
      <c r="C4127" t="s">
        <v>28</v>
      </c>
      <c r="D4127" t="s">
        <v>16</v>
      </c>
      <c r="E4127" t="s">
        <v>29</v>
      </c>
      <c r="F4127" t="s">
        <v>18</v>
      </c>
    </row>
    <row r="4128" spans="2:13" x14ac:dyDescent="0.2">
      <c r="C4128" t="b">
        <v>0</v>
      </c>
      <c r="D4128">
        <v>6201.59</v>
      </c>
      <c r="E4128" t="s">
        <v>30</v>
      </c>
    </row>
    <row r="4129" spans="1:13" x14ac:dyDescent="0.2">
      <c r="C4129" t="b">
        <v>0</v>
      </c>
      <c r="D4129">
        <v>7082.03</v>
      </c>
      <c r="E4129" t="s">
        <v>30</v>
      </c>
    </row>
    <row r="4130" spans="1:13" x14ac:dyDescent="0.2">
      <c r="C4130" t="b">
        <v>0</v>
      </c>
      <c r="D4130">
        <v>7142.07</v>
      </c>
      <c r="E4130" t="s">
        <v>30</v>
      </c>
    </row>
    <row r="4131" spans="1:13" x14ac:dyDescent="0.2">
      <c r="C4131" t="b">
        <v>0</v>
      </c>
      <c r="D4131">
        <v>7752.44</v>
      </c>
      <c r="E4131" t="s">
        <v>30</v>
      </c>
    </row>
    <row r="4132" spans="1:13" x14ac:dyDescent="0.2">
      <c r="C4132" t="b">
        <v>0</v>
      </c>
      <c r="D4132">
        <v>8953.25</v>
      </c>
      <c r="E4132" t="s">
        <v>30</v>
      </c>
    </row>
    <row r="4133" spans="1:13" x14ac:dyDescent="0.2">
      <c r="C4133" t="b">
        <v>0</v>
      </c>
      <c r="D4133">
        <v>9693.64</v>
      </c>
      <c r="E4133" t="s">
        <v>30</v>
      </c>
    </row>
    <row r="4134" spans="1:13" x14ac:dyDescent="0.2">
      <c r="C4134" t="b">
        <v>0</v>
      </c>
      <c r="D4134">
        <v>10974.7</v>
      </c>
      <c r="E4134" t="s">
        <v>30</v>
      </c>
    </row>
    <row r="4135" spans="1:13" x14ac:dyDescent="0.2">
      <c r="A4135" t="s">
        <v>0</v>
      </c>
    </row>
    <row r="4136" spans="1:13" x14ac:dyDescent="0.2"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t="s">
        <v>6</v>
      </c>
    </row>
    <row r="4137" spans="1:13" x14ac:dyDescent="0.2">
      <c r="B4137" t="b">
        <v>0</v>
      </c>
      <c r="C4137" t="s">
        <v>88</v>
      </c>
      <c r="D4137" t="s">
        <v>318</v>
      </c>
      <c r="E4137" t="s">
        <v>0</v>
      </c>
      <c r="G4137" t="s">
        <v>206</v>
      </c>
    </row>
    <row r="4138" spans="1:13" x14ac:dyDescent="0.2">
      <c r="B4138" t="s">
        <v>11</v>
      </c>
    </row>
    <row r="4139" spans="1:13" x14ac:dyDescent="0.2">
      <c r="B4139" t="s">
        <v>12</v>
      </c>
      <c r="C4139" t="s">
        <v>13</v>
      </c>
      <c r="D4139" t="s">
        <v>14</v>
      </c>
      <c r="E4139" t="s">
        <v>15</v>
      </c>
      <c r="F4139" t="s">
        <v>16</v>
      </c>
      <c r="G4139" t="s">
        <v>17</v>
      </c>
      <c r="H4139" t="s">
        <v>18</v>
      </c>
      <c r="I4139" t="s">
        <v>19</v>
      </c>
      <c r="J4139" t="s">
        <v>20</v>
      </c>
      <c r="K4139" t="s">
        <v>21</v>
      </c>
      <c r="L4139" t="s">
        <v>22</v>
      </c>
      <c r="M4139" t="s">
        <v>23</v>
      </c>
    </row>
    <row r="4140" spans="1:13" x14ac:dyDescent="0.2">
      <c r="B4140" t="s">
        <v>24</v>
      </c>
      <c r="C4140">
        <v>59</v>
      </c>
      <c r="E4140" t="s">
        <v>25</v>
      </c>
      <c r="F4140">
        <v>1798562.36</v>
      </c>
      <c r="G4140">
        <v>1.2</v>
      </c>
      <c r="H4140">
        <v>0.55400000000000005</v>
      </c>
      <c r="I4140" t="s">
        <v>26</v>
      </c>
      <c r="J4140">
        <v>1.2</v>
      </c>
      <c r="K4140">
        <v>0.1</v>
      </c>
      <c r="L4140">
        <v>7</v>
      </c>
    </row>
    <row r="4141" spans="1:13" x14ac:dyDescent="0.2">
      <c r="C4141" t="s">
        <v>27</v>
      </c>
    </row>
    <row r="4142" spans="1:13" x14ac:dyDescent="0.2">
      <c r="C4142" t="s">
        <v>28</v>
      </c>
      <c r="D4142" t="s">
        <v>16</v>
      </c>
      <c r="E4142" t="s">
        <v>29</v>
      </c>
      <c r="F4142" t="s">
        <v>18</v>
      </c>
    </row>
    <row r="4143" spans="1:13" x14ac:dyDescent="0.2">
      <c r="C4143" t="b">
        <v>0</v>
      </c>
      <c r="D4143">
        <v>1771394.19</v>
      </c>
      <c r="E4143" t="s">
        <v>67</v>
      </c>
      <c r="F4143">
        <v>0.54600000000000004</v>
      </c>
    </row>
    <row r="4144" spans="1:13" x14ac:dyDescent="0.2">
      <c r="C4144" t="b">
        <v>0</v>
      </c>
      <c r="D4144">
        <v>1796513.41</v>
      </c>
      <c r="E4144" t="s">
        <v>67</v>
      </c>
      <c r="F4144">
        <v>0.55400000000000005</v>
      </c>
    </row>
    <row r="4145" spans="2:13" x14ac:dyDescent="0.2">
      <c r="C4145" t="b">
        <v>0</v>
      </c>
      <c r="D4145">
        <v>1778100.75</v>
      </c>
      <c r="E4145" t="s">
        <v>67</v>
      </c>
      <c r="F4145">
        <v>0.54800000000000004</v>
      </c>
    </row>
    <row r="4146" spans="2:13" x14ac:dyDescent="0.2">
      <c r="C4146" t="b">
        <v>0</v>
      </c>
      <c r="D4146">
        <v>1822762.32</v>
      </c>
      <c r="E4146" t="s">
        <v>67</v>
      </c>
      <c r="F4146">
        <v>0.56200000000000006</v>
      </c>
    </row>
    <row r="4147" spans="2:13" x14ac:dyDescent="0.2">
      <c r="C4147" t="b">
        <v>0</v>
      </c>
      <c r="D4147">
        <v>1785469.97</v>
      </c>
      <c r="E4147" t="s">
        <v>67</v>
      </c>
      <c r="F4147">
        <v>0.55000000000000004</v>
      </c>
    </row>
    <row r="4148" spans="2:13" x14ac:dyDescent="0.2">
      <c r="C4148" t="b">
        <v>0</v>
      </c>
      <c r="D4148">
        <v>1808903.41</v>
      </c>
      <c r="E4148" t="s">
        <v>67</v>
      </c>
      <c r="F4148">
        <v>0.55700000000000005</v>
      </c>
    </row>
    <row r="4149" spans="2:13" x14ac:dyDescent="0.2">
      <c r="C4149" t="b">
        <v>0</v>
      </c>
      <c r="D4149">
        <v>1826792.47</v>
      </c>
      <c r="E4149" t="s">
        <v>67</v>
      </c>
      <c r="F4149">
        <v>0.56299999999999994</v>
      </c>
    </row>
    <row r="4150" spans="2:13" x14ac:dyDescent="0.2">
      <c r="B4150" t="s">
        <v>11</v>
      </c>
    </row>
    <row r="4151" spans="2:13" x14ac:dyDescent="0.2">
      <c r="B4151" t="s">
        <v>12</v>
      </c>
      <c r="C4151" t="s">
        <v>13</v>
      </c>
      <c r="D4151" t="s">
        <v>14</v>
      </c>
      <c r="E4151" t="s">
        <v>15</v>
      </c>
      <c r="F4151" t="s">
        <v>16</v>
      </c>
      <c r="G4151" t="s">
        <v>17</v>
      </c>
      <c r="H4151" t="s">
        <v>18</v>
      </c>
      <c r="I4151" t="s">
        <v>19</v>
      </c>
      <c r="J4151" t="s">
        <v>20</v>
      </c>
      <c r="K4151" t="s">
        <v>21</v>
      </c>
      <c r="L4151" t="s">
        <v>22</v>
      </c>
      <c r="M4151" t="s">
        <v>23</v>
      </c>
    </row>
    <row r="4152" spans="2:13" x14ac:dyDescent="0.2">
      <c r="B4152" t="s">
        <v>31</v>
      </c>
      <c r="C4152">
        <v>45</v>
      </c>
      <c r="E4152" t="s">
        <v>25</v>
      </c>
      <c r="F4152">
        <v>1382.97</v>
      </c>
      <c r="G4152">
        <v>11.5</v>
      </c>
      <c r="K4152">
        <v>0.1</v>
      </c>
      <c r="L4152">
        <v>7</v>
      </c>
      <c r="M4152">
        <v>106.6</v>
      </c>
    </row>
    <row r="4153" spans="2:13" x14ac:dyDescent="0.2">
      <c r="C4153" t="s">
        <v>27</v>
      </c>
    </row>
    <row r="4154" spans="2:13" x14ac:dyDescent="0.2">
      <c r="C4154" t="s">
        <v>28</v>
      </c>
      <c r="D4154" t="s">
        <v>16</v>
      </c>
      <c r="E4154" t="s">
        <v>29</v>
      </c>
      <c r="F4154" t="s">
        <v>18</v>
      </c>
    </row>
    <row r="4155" spans="2:13" x14ac:dyDescent="0.2">
      <c r="C4155" t="b">
        <v>0</v>
      </c>
      <c r="D4155">
        <v>1250.1099999999999</v>
      </c>
      <c r="E4155" t="s">
        <v>30</v>
      </c>
    </row>
    <row r="4156" spans="2:13" x14ac:dyDescent="0.2">
      <c r="C4156" t="b">
        <v>0</v>
      </c>
      <c r="D4156">
        <v>1290.1099999999999</v>
      </c>
      <c r="E4156" t="s">
        <v>30</v>
      </c>
    </row>
    <row r="4157" spans="2:13" x14ac:dyDescent="0.2">
      <c r="C4157" t="b">
        <v>0</v>
      </c>
      <c r="D4157">
        <v>1170.0899999999999</v>
      </c>
      <c r="E4157" t="s">
        <v>30</v>
      </c>
    </row>
    <row r="4158" spans="2:13" x14ac:dyDescent="0.2">
      <c r="C4158" t="b">
        <v>0</v>
      </c>
      <c r="D4158">
        <v>1600.14</v>
      </c>
      <c r="E4158" t="s">
        <v>30</v>
      </c>
    </row>
    <row r="4159" spans="2:13" x14ac:dyDescent="0.2">
      <c r="C4159" t="b">
        <v>0</v>
      </c>
      <c r="D4159">
        <v>1360.11</v>
      </c>
      <c r="E4159" t="s">
        <v>30</v>
      </c>
    </row>
    <row r="4160" spans="2:13" x14ac:dyDescent="0.2">
      <c r="C4160" t="b">
        <v>0</v>
      </c>
      <c r="D4160">
        <v>1540.13</v>
      </c>
      <c r="E4160" t="s">
        <v>30</v>
      </c>
    </row>
    <row r="4161" spans="2:13" x14ac:dyDescent="0.2">
      <c r="C4161" t="b">
        <v>0</v>
      </c>
      <c r="D4161">
        <v>1470.12</v>
      </c>
      <c r="E4161" t="s">
        <v>30</v>
      </c>
    </row>
    <row r="4162" spans="2:13" x14ac:dyDescent="0.2">
      <c r="B4162" t="s">
        <v>11</v>
      </c>
    </row>
    <row r="4163" spans="2:13" x14ac:dyDescent="0.2">
      <c r="B4163" t="s">
        <v>12</v>
      </c>
      <c r="C4163" t="s">
        <v>13</v>
      </c>
      <c r="D4163" t="s">
        <v>14</v>
      </c>
      <c r="E4163" t="s">
        <v>15</v>
      </c>
      <c r="F4163" t="s">
        <v>16</v>
      </c>
      <c r="G4163" t="s">
        <v>17</v>
      </c>
      <c r="H4163" t="s">
        <v>18</v>
      </c>
      <c r="I4163" t="s">
        <v>19</v>
      </c>
      <c r="J4163" t="s">
        <v>20</v>
      </c>
      <c r="K4163" t="s">
        <v>21</v>
      </c>
      <c r="L4163" t="s">
        <v>22</v>
      </c>
      <c r="M4163" t="s">
        <v>23</v>
      </c>
    </row>
    <row r="4164" spans="2:13" x14ac:dyDescent="0.2">
      <c r="B4164" t="s">
        <v>32</v>
      </c>
      <c r="C4164">
        <v>72</v>
      </c>
      <c r="E4164" t="s">
        <v>25</v>
      </c>
      <c r="F4164">
        <v>1494.42</v>
      </c>
      <c r="G4164">
        <v>7.6</v>
      </c>
      <c r="K4164">
        <v>0.1</v>
      </c>
      <c r="L4164">
        <v>7</v>
      </c>
      <c r="M4164">
        <v>108.3</v>
      </c>
    </row>
    <row r="4165" spans="2:13" x14ac:dyDescent="0.2">
      <c r="C4165" t="s">
        <v>27</v>
      </c>
    </row>
    <row r="4166" spans="2:13" x14ac:dyDescent="0.2">
      <c r="C4166" t="s">
        <v>28</v>
      </c>
      <c r="D4166" t="s">
        <v>16</v>
      </c>
      <c r="E4166" t="s">
        <v>29</v>
      </c>
      <c r="F4166" t="s">
        <v>18</v>
      </c>
    </row>
    <row r="4167" spans="2:13" x14ac:dyDescent="0.2">
      <c r="C4167" t="b">
        <v>0</v>
      </c>
      <c r="D4167">
        <v>1340.11</v>
      </c>
      <c r="E4167" t="s">
        <v>30</v>
      </c>
    </row>
    <row r="4168" spans="2:13" x14ac:dyDescent="0.2">
      <c r="C4168" t="b">
        <v>0</v>
      </c>
      <c r="D4168">
        <v>1330.11</v>
      </c>
      <c r="E4168" t="s">
        <v>30</v>
      </c>
    </row>
    <row r="4169" spans="2:13" x14ac:dyDescent="0.2">
      <c r="C4169" t="b">
        <v>0</v>
      </c>
      <c r="D4169">
        <v>1530.14</v>
      </c>
      <c r="E4169" t="s">
        <v>30</v>
      </c>
    </row>
    <row r="4170" spans="2:13" x14ac:dyDescent="0.2">
      <c r="C4170" t="b">
        <v>0</v>
      </c>
      <c r="D4170">
        <v>1560.15</v>
      </c>
      <c r="E4170" t="s">
        <v>30</v>
      </c>
    </row>
    <row r="4171" spans="2:13" x14ac:dyDescent="0.2">
      <c r="C4171" t="b">
        <v>0</v>
      </c>
      <c r="D4171">
        <v>1560.15</v>
      </c>
      <c r="E4171" t="s">
        <v>30</v>
      </c>
    </row>
    <row r="4172" spans="2:13" x14ac:dyDescent="0.2">
      <c r="C4172" t="b">
        <v>0</v>
      </c>
      <c r="D4172">
        <v>1520.14</v>
      </c>
      <c r="E4172" t="s">
        <v>30</v>
      </c>
    </row>
    <row r="4173" spans="2:13" x14ac:dyDescent="0.2">
      <c r="C4173" t="b">
        <v>0</v>
      </c>
      <c r="D4173">
        <v>1620.14</v>
      </c>
      <c r="E4173" t="s">
        <v>30</v>
      </c>
    </row>
    <row r="4174" spans="2:13" x14ac:dyDescent="0.2">
      <c r="B4174" t="s">
        <v>11</v>
      </c>
    </row>
    <row r="4175" spans="2:13" x14ac:dyDescent="0.2">
      <c r="B4175" t="s">
        <v>12</v>
      </c>
      <c r="C4175" t="s">
        <v>13</v>
      </c>
      <c r="D4175" t="s">
        <v>14</v>
      </c>
      <c r="E4175" t="s">
        <v>15</v>
      </c>
      <c r="F4175" t="s">
        <v>16</v>
      </c>
      <c r="G4175" t="s">
        <v>17</v>
      </c>
      <c r="H4175" t="s">
        <v>18</v>
      </c>
      <c r="I4175" t="s">
        <v>19</v>
      </c>
      <c r="J4175" t="s">
        <v>20</v>
      </c>
      <c r="K4175" t="s">
        <v>21</v>
      </c>
      <c r="L4175" t="s">
        <v>22</v>
      </c>
      <c r="M4175" t="s">
        <v>23</v>
      </c>
    </row>
    <row r="4176" spans="2:13" x14ac:dyDescent="0.2">
      <c r="B4176" t="s">
        <v>33</v>
      </c>
      <c r="C4176">
        <v>89</v>
      </c>
      <c r="E4176" t="s">
        <v>25</v>
      </c>
      <c r="F4176">
        <v>8550.08</v>
      </c>
      <c r="G4176">
        <v>6.8</v>
      </c>
      <c r="K4176">
        <v>0.1</v>
      </c>
      <c r="L4176">
        <v>7</v>
      </c>
      <c r="M4176">
        <v>113.5</v>
      </c>
    </row>
    <row r="4177" spans="1:13" x14ac:dyDescent="0.2">
      <c r="C4177" t="s">
        <v>27</v>
      </c>
    </row>
    <row r="4178" spans="1:13" x14ac:dyDescent="0.2">
      <c r="C4178" t="s">
        <v>28</v>
      </c>
      <c r="D4178" t="s">
        <v>16</v>
      </c>
      <c r="E4178" t="s">
        <v>29</v>
      </c>
      <c r="F4178" t="s">
        <v>18</v>
      </c>
    </row>
    <row r="4179" spans="1:13" x14ac:dyDescent="0.2">
      <c r="C4179" t="b">
        <v>0</v>
      </c>
      <c r="D4179">
        <v>7732.47</v>
      </c>
      <c r="E4179" t="s">
        <v>30</v>
      </c>
    </row>
    <row r="4180" spans="1:13" x14ac:dyDescent="0.2">
      <c r="C4180" t="b">
        <v>0</v>
      </c>
      <c r="D4180">
        <v>8102.56</v>
      </c>
      <c r="E4180" t="s">
        <v>30</v>
      </c>
    </row>
    <row r="4181" spans="1:13" x14ac:dyDescent="0.2">
      <c r="C4181" t="b">
        <v>0</v>
      </c>
      <c r="D4181">
        <v>8192.68</v>
      </c>
      <c r="E4181" t="s">
        <v>30</v>
      </c>
    </row>
    <row r="4182" spans="1:13" x14ac:dyDescent="0.2">
      <c r="C4182" t="b">
        <v>0</v>
      </c>
      <c r="D4182">
        <v>8923.19</v>
      </c>
      <c r="E4182" t="s">
        <v>30</v>
      </c>
    </row>
    <row r="4183" spans="1:13" x14ac:dyDescent="0.2">
      <c r="C4183" t="b">
        <v>0</v>
      </c>
      <c r="D4183">
        <v>8653.0400000000009</v>
      </c>
      <c r="E4183" t="s">
        <v>30</v>
      </c>
    </row>
    <row r="4184" spans="1:13" x14ac:dyDescent="0.2">
      <c r="C4184" t="b">
        <v>0</v>
      </c>
      <c r="D4184">
        <v>9443.49</v>
      </c>
      <c r="E4184" t="s">
        <v>30</v>
      </c>
    </row>
    <row r="4185" spans="1:13" x14ac:dyDescent="0.2">
      <c r="C4185" t="b">
        <v>0</v>
      </c>
      <c r="D4185">
        <v>8803.11</v>
      </c>
      <c r="E4185" t="s">
        <v>30</v>
      </c>
    </row>
    <row r="4186" spans="1:13" x14ac:dyDescent="0.2">
      <c r="A4186" t="s">
        <v>0</v>
      </c>
    </row>
    <row r="4187" spans="1:13" x14ac:dyDescent="0.2">
      <c r="B4187" t="s">
        <v>1</v>
      </c>
      <c r="C4187" t="s">
        <v>2</v>
      </c>
      <c r="D4187" t="s">
        <v>3</v>
      </c>
      <c r="E4187" t="s">
        <v>4</v>
      </c>
      <c r="F4187" t="s">
        <v>5</v>
      </c>
      <c r="G4187" t="s">
        <v>6</v>
      </c>
    </row>
    <row r="4188" spans="1:13" x14ac:dyDescent="0.2">
      <c r="B4188" t="b">
        <v>0</v>
      </c>
      <c r="C4188" t="s">
        <v>91</v>
      </c>
      <c r="D4188" t="s">
        <v>319</v>
      </c>
      <c r="E4188" t="s">
        <v>0</v>
      </c>
      <c r="G4188" t="s">
        <v>209</v>
      </c>
    </row>
    <row r="4189" spans="1:13" x14ac:dyDescent="0.2">
      <c r="B4189" t="s">
        <v>11</v>
      </c>
    </row>
    <row r="4190" spans="1:13" x14ac:dyDescent="0.2">
      <c r="B4190" t="s">
        <v>12</v>
      </c>
      <c r="C4190" t="s">
        <v>13</v>
      </c>
      <c r="D4190" t="s">
        <v>14</v>
      </c>
      <c r="E4190" t="s">
        <v>15</v>
      </c>
      <c r="F4190" t="s">
        <v>16</v>
      </c>
      <c r="G4190" t="s">
        <v>17</v>
      </c>
      <c r="H4190" t="s">
        <v>18</v>
      </c>
      <c r="I4190" t="s">
        <v>19</v>
      </c>
      <c r="J4190" t="s">
        <v>20</v>
      </c>
      <c r="K4190" t="s">
        <v>21</v>
      </c>
      <c r="L4190" t="s">
        <v>22</v>
      </c>
      <c r="M4190" t="s">
        <v>23</v>
      </c>
    </row>
    <row r="4191" spans="1:13" x14ac:dyDescent="0.2">
      <c r="B4191" t="s">
        <v>24</v>
      </c>
      <c r="C4191">
        <v>59</v>
      </c>
      <c r="E4191" t="s">
        <v>25</v>
      </c>
      <c r="F4191">
        <v>17563559.030000001</v>
      </c>
      <c r="G4191">
        <v>1</v>
      </c>
      <c r="H4191">
        <v>5.4130000000000003</v>
      </c>
      <c r="I4191" t="s">
        <v>26</v>
      </c>
      <c r="J4191">
        <v>1</v>
      </c>
      <c r="K4191">
        <v>0.1</v>
      </c>
      <c r="L4191">
        <v>7</v>
      </c>
    </row>
    <row r="4192" spans="1:13" x14ac:dyDescent="0.2">
      <c r="C4192" t="s">
        <v>27</v>
      </c>
    </row>
    <row r="4193" spans="2:13" x14ac:dyDescent="0.2">
      <c r="C4193" t="s">
        <v>28</v>
      </c>
      <c r="D4193" t="s">
        <v>16</v>
      </c>
      <c r="E4193" t="s">
        <v>29</v>
      </c>
      <c r="F4193" t="s">
        <v>18</v>
      </c>
    </row>
    <row r="4194" spans="2:13" x14ac:dyDescent="0.2">
      <c r="C4194" t="b">
        <v>0</v>
      </c>
      <c r="D4194">
        <v>17502437.239999998</v>
      </c>
      <c r="E4194" t="s">
        <v>67</v>
      </c>
      <c r="F4194">
        <v>5.3940000000000001</v>
      </c>
    </row>
    <row r="4195" spans="2:13" x14ac:dyDescent="0.2">
      <c r="C4195" t="b">
        <v>0</v>
      </c>
      <c r="D4195">
        <v>17567438.489999998</v>
      </c>
      <c r="E4195" t="s">
        <v>67</v>
      </c>
      <c r="F4195">
        <v>5.4139999999999997</v>
      </c>
    </row>
    <row r="4196" spans="2:13" x14ac:dyDescent="0.2">
      <c r="C4196" t="b">
        <v>0</v>
      </c>
      <c r="D4196">
        <v>17218390.989999998</v>
      </c>
      <c r="E4196" t="s">
        <v>67</v>
      </c>
      <c r="F4196">
        <v>5.3070000000000004</v>
      </c>
    </row>
    <row r="4197" spans="2:13" x14ac:dyDescent="0.2">
      <c r="C4197" t="b">
        <v>0</v>
      </c>
      <c r="D4197">
        <v>17734929.739999998</v>
      </c>
      <c r="E4197" t="s">
        <v>67</v>
      </c>
      <c r="F4197">
        <v>5.4660000000000002</v>
      </c>
    </row>
    <row r="4198" spans="2:13" x14ac:dyDescent="0.2">
      <c r="C4198" t="b">
        <v>0</v>
      </c>
      <c r="D4198">
        <v>17530187.239999998</v>
      </c>
      <c r="E4198" t="s">
        <v>67</v>
      </c>
      <c r="F4198">
        <v>5.4029999999999996</v>
      </c>
    </row>
    <row r="4199" spans="2:13" x14ac:dyDescent="0.2">
      <c r="C4199" t="b">
        <v>0</v>
      </c>
      <c r="D4199">
        <v>17774289.739999998</v>
      </c>
      <c r="E4199" t="s">
        <v>67</v>
      </c>
      <c r="F4199">
        <v>5.4779999999999998</v>
      </c>
    </row>
    <row r="4200" spans="2:13" x14ac:dyDescent="0.2">
      <c r="C4200" t="b">
        <v>0</v>
      </c>
      <c r="D4200">
        <v>17617239.739999998</v>
      </c>
      <c r="E4200" t="s">
        <v>67</v>
      </c>
      <c r="F4200">
        <v>5.43</v>
      </c>
    </row>
    <row r="4201" spans="2:13" x14ac:dyDescent="0.2">
      <c r="B4201" t="s">
        <v>11</v>
      </c>
    </row>
    <row r="4202" spans="2:13" x14ac:dyDescent="0.2">
      <c r="B4202" t="s">
        <v>12</v>
      </c>
      <c r="C4202" t="s">
        <v>13</v>
      </c>
      <c r="D4202" t="s">
        <v>14</v>
      </c>
      <c r="E4202" t="s">
        <v>15</v>
      </c>
      <c r="F4202" t="s">
        <v>16</v>
      </c>
      <c r="G4202" t="s">
        <v>17</v>
      </c>
      <c r="H4202" t="s">
        <v>18</v>
      </c>
      <c r="I4202" t="s">
        <v>19</v>
      </c>
      <c r="J4202" t="s">
        <v>20</v>
      </c>
      <c r="K4202" t="s">
        <v>21</v>
      </c>
      <c r="L4202" t="s">
        <v>22</v>
      </c>
      <c r="M4202" t="s">
        <v>23</v>
      </c>
    </row>
    <row r="4203" spans="2:13" x14ac:dyDescent="0.2">
      <c r="B4203" t="s">
        <v>31</v>
      </c>
      <c r="C4203">
        <v>45</v>
      </c>
      <c r="E4203" t="s">
        <v>25</v>
      </c>
      <c r="F4203">
        <v>1420.12</v>
      </c>
      <c r="G4203">
        <v>7.8</v>
      </c>
      <c r="K4203">
        <v>0.1</v>
      </c>
      <c r="L4203">
        <v>7</v>
      </c>
      <c r="M4203">
        <v>109.5</v>
      </c>
    </row>
    <row r="4204" spans="2:13" x14ac:dyDescent="0.2">
      <c r="C4204" t="s">
        <v>27</v>
      </c>
    </row>
    <row r="4205" spans="2:13" x14ac:dyDescent="0.2">
      <c r="C4205" t="s">
        <v>28</v>
      </c>
      <c r="D4205" t="s">
        <v>16</v>
      </c>
      <c r="E4205" t="s">
        <v>29</v>
      </c>
      <c r="F4205" t="s">
        <v>18</v>
      </c>
    </row>
    <row r="4206" spans="2:13" x14ac:dyDescent="0.2">
      <c r="C4206" t="b">
        <v>0</v>
      </c>
      <c r="D4206">
        <v>1230.0999999999999</v>
      </c>
      <c r="E4206" t="s">
        <v>30</v>
      </c>
    </row>
    <row r="4207" spans="2:13" x14ac:dyDescent="0.2">
      <c r="C4207" t="b">
        <v>0</v>
      </c>
      <c r="D4207">
        <v>1420.12</v>
      </c>
      <c r="E4207" t="s">
        <v>30</v>
      </c>
    </row>
    <row r="4208" spans="2:13" x14ac:dyDescent="0.2">
      <c r="C4208" t="b">
        <v>0</v>
      </c>
      <c r="D4208">
        <v>1470.12</v>
      </c>
      <c r="E4208" t="s">
        <v>30</v>
      </c>
    </row>
    <row r="4209" spans="2:13" x14ac:dyDescent="0.2">
      <c r="C4209" t="b">
        <v>0</v>
      </c>
      <c r="D4209">
        <v>1560.13</v>
      </c>
      <c r="E4209" t="s">
        <v>30</v>
      </c>
    </row>
    <row r="4210" spans="2:13" x14ac:dyDescent="0.2">
      <c r="C4210" t="b">
        <v>0</v>
      </c>
      <c r="D4210">
        <v>1500.13</v>
      </c>
      <c r="E4210" t="s">
        <v>30</v>
      </c>
    </row>
    <row r="4211" spans="2:13" x14ac:dyDescent="0.2">
      <c r="C4211" t="b">
        <v>0</v>
      </c>
      <c r="D4211">
        <v>1430.12</v>
      </c>
      <c r="E4211" t="s">
        <v>30</v>
      </c>
    </row>
    <row r="4212" spans="2:13" x14ac:dyDescent="0.2">
      <c r="C4212" t="b">
        <v>0</v>
      </c>
      <c r="D4212">
        <v>1330.1</v>
      </c>
      <c r="E4212" t="s">
        <v>30</v>
      </c>
    </row>
    <row r="4213" spans="2:13" x14ac:dyDescent="0.2">
      <c r="B4213" t="s">
        <v>11</v>
      </c>
    </row>
    <row r="4214" spans="2:13" x14ac:dyDescent="0.2">
      <c r="B4214" t="s">
        <v>12</v>
      </c>
      <c r="C4214" t="s">
        <v>13</v>
      </c>
      <c r="D4214" t="s">
        <v>14</v>
      </c>
      <c r="E4214" t="s">
        <v>15</v>
      </c>
      <c r="F4214" t="s">
        <v>16</v>
      </c>
      <c r="G4214" t="s">
        <v>17</v>
      </c>
      <c r="H4214" t="s">
        <v>18</v>
      </c>
      <c r="I4214" t="s">
        <v>19</v>
      </c>
      <c r="J4214" t="s">
        <v>20</v>
      </c>
      <c r="K4214" t="s">
        <v>21</v>
      </c>
      <c r="L4214" t="s">
        <v>22</v>
      </c>
      <c r="M4214" t="s">
        <v>23</v>
      </c>
    </row>
    <row r="4215" spans="2:13" x14ac:dyDescent="0.2">
      <c r="B4215" t="s">
        <v>32</v>
      </c>
      <c r="C4215">
        <v>72</v>
      </c>
      <c r="E4215" t="s">
        <v>25</v>
      </c>
      <c r="F4215">
        <v>1340.11</v>
      </c>
      <c r="G4215">
        <v>9.4</v>
      </c>
      <c r="K4215">
        <v>0.1</v>
      </c>
      <c r="L4215">
        <v>7</v>
      </c>
      <c r="M4215">
        <v>97.1</v>
      </c>
    </row>
    <row r="4216" spans="2:13" x14ac:dyDescent="0.2">
      <c r="C4216" t="s">
        <v>27</v>
      </c>
    </row>
    <row r="4217" spans="2:13" x14ac:dyDescent="0.2">
      <c r="C4217" t="s">
        <v>28</v>
      </c>
      <c r="D4217" t="s">
        <v>16</v>
      </c>
      <c r="E4217" t="s">
        <v>29</v>
      </c>
      <c r="F4217" t="s">
        <v>18</v>
      </c>
    </row>
    <row r="4218" spans="2:13" x14ac:dyDescent="0.2">
      <c r="C4218" t="b">
        <v>0</v>
      </c>
      <c r="D4218">
        <v>1420.13</v>
      </c>
      <c r="E4218" t="s">
        <v>30</v>
      </c>
    </row>
    <row r="4219" spans="2:13" x14ac:dyDescent="0.2">
      <c r="C4219" t="b">
        <v>0</v>
      </c>
      <c r="D4219">
        <v>1160.08</v>
      </c>
      <c r="E4219" t="s">
        <v>30</v>
      </c>
    </row>
    <row r="4220" spans="2:13" x14ac:dyDescent="0.2">
      <c r="C4220" t="b">
        <v>0</v>
      </c>
      <c r="D4220">
        <v>1350.12</v>
      </c>
      <c r="E4220" t="s">
        <v>30</v>
      </c>
    </row>
    <row r="4221" spans="2:13" x14ac:dyDescent="0.2">
      <c r="C4221" t="b">
        <v>0</v>
      </c>
      <c r="D4221">
        <v>1440.11</v>
      </c>
      <c r="E4221" t="s">
        <v>30</v>
      </c>
    </row>
    <row r="4222" spans="2:13" x14ac:dyDescent="0.2">
      <c r="C4222" t="b">
        <v>0</v>
      </c>
      <c r="D4222">
        <v>1230.0899999999999</v>
      </c>
      <c r="E4222" t="s">
        <v>30</v>
      </c>
    </row>
    <row r="4223" spans="2:13" x14ac:dyDescent="0.2">
      <c r="C4223" t="b">
        <v>0</v>
      </c>
      <c r="D4223">
        <v>1510.14</v>
      </c>
      <c r="E4223" t="s">
        <v>30</v>
      </c>
    </row>
    <row r="4224" spans="2:13" x14ac:dyDescent="0.2">
      <c r="C4224" t="b">
        <v>0</v>
      </c>
      <c r="D4224">
        <v>1270.1099999999999</v>
      </c>
      <c r="E4224" t="s">
        <v>30</v>
      </c>
    </row>
    <row r="4225" spans="1:13" x14ac:dyDescent="0.2">
      <c r="B4225" t="s">
        <v>11</v>
      </c>
    </row>
    <row r="4226" spans="1:13" x14ac:dyDescent="0.2">
      <c r="B4226" t="s">
        <v>12</v>
      </c>
      <c r="C4226" t="s">
        <v>13</v>
      </c>
      <c r="D4226" t="s">
        <v>14</v>
      </c>
      <c r="E4226" t="s">
        <v>15</v>
      </c>
      <c r="F4226" t="s">
        <v>16</v>
      </c>
      <c r="G4226" t="s">
        <v>17</v>
      </c>
      <c r="H4226" t="s">
        <v>18</v>
      </c>
      <c r="I4226" t="s">
        <v>19</v>
      </c>
      <c r="J4226" t="s">
        <v>20</v>
      </c>
      <c r="K4226" t="s">
        <v>21</v>
      </c>
      <c r="L4226" t="s">
        <v>22</v>
      </c>
      <c r="M4226" t="s">
        <v>23</v>
      </c>
    </row>
    <row r="4227" spans="1:13" x14ac:dyDescent="0.2">
      <c r="B4227" t="s">
        <v>33</v>
      </c>
      <c r="C4227">
        <v>89</v>
      </c>
      <c r="E4227" t="s">
        <v>25</v>
      </c>
      <c r="F4227">
        <v>8016.89</v>
      </c>
      <c r="G4227">
        <v>6.3</v>
      </c>
      <c r="K4227">
        <v>0.1</v>
      </c>
      <c r="L4227">
        <v>7</v>
      </c>
      <c r="M4227">
        <v>106.4</v>
      </c>
    </row>
    <row r="4228" spans="1:13" x14ac:dyDescent="0.2">
      <c r="C4228" t="s">
        <v>27</v>
      </c>
    </row>
    <row r="4229" spans="1:13" x14ac:dyDescent="0.2">
      <c r="C4229" t="s">
        <v>28</v>
      </c>
      <c r="D4229" t="s">
        <v>16</v>
      </c>
      <c r="E4229" t="s">
        <v>29</v>
      </c>
      <c r="F4229" t="s">
        <v>18</v>
      </c>
    </row>
    <row r="4230" spans="1:13" x14ac:dyDescent="0.2">
      <c r="C4230" t="b">
        <v>0</v>
      </c>
      <c r="D4230">
        <v>7852.41</v>
      </c>
      <c r="E4230" t="s">
        <v>30</v>
      </c>
    </row>
    <row r="4231" spans="1:13" x14ac:dyDescent="0.2">
      <c r="C4231" t="b">
        <v>0</v>
      </c>
      <c r="D4231">
        <v>7912.57</v>
      </c>
      <c r="E4231" t="s">
        <v>30</v>
      </c>
    </row>
    <row r="4232" spans="1:13" x14ac:dyDescent="0.2">
      <c r="C4232" t="b">
        <v>0</v>
      </c>
      <c r="D4232">
        <v>7232.15</v>
      </c>
      <c r="E4232" t="s">
        <v>30</v>
      </c>
    </row>
    <row r="4233" spans="1:13" x14ac:dyDescent="0.2">
      <c r="C4233" t="b">
        <v>0</v>
      </c>
      <c r="D4233">
        <v>7752.46</v>
      </c>
      <c r="E4233" t="s">
        <v>30</v>
      </c>
    </row>
    <row r="4234" spans="1:13" x14ac:dyDescent="0.2">
      <c r="C4234" t="b">
        <v>0</v>
      </c>
      <c r="D4234">
        <v>8242.7800000000007</v>
      </c>
      <c r="E4234" t="s">
        <v>30</v>
      </c>
    </row>
    <row r="4235" spans="1:13" x14ac:dyDescent="0.2">
      <c r="C4235" t="b">
        <v>0</v>
      </c>
      <c r="D4235">
        <v>8292.7900000000009</v>
      </c>
      <c r="E4235" t="s">
        <v>30</v>
      </c>
    </row>
    <row r="4236" spans="1:13" x14ac:dyDescent="0.2">
      <c r="C4236" t="b">
        <v>0</v>
      </c>
      <c r="D4236">
        <v>8833.08</v>
      </c>
      <c r="E4236" t="s">
        <v>30</v>
      </c>
    </row>
    <row r="4237" spans="1:13" x14ac:dyDescent="0.2">
      <c r="A4237" t="s">
        <v>0</v>
      </c>
    </row>
    <row r="4238" spans="1:13" x14ac:dyDescent="0.2">
      <c r="B4238" t="s">
        <v>1</v>
      </c>
      <c r="C4238" t="s">
        <v>2</v>
      </c>
      <c r="D4238" t="s">
        <v>3</v>
      </c>
      <c r="E4238" t="s">
        <v>4</v>
      </c>
      <c r="F4238" t="s">
        <v>5</v>
      </c>
      <c r="G4238" t="s">
        <v>6</v>
      </c>
    </row>
    <row r="4239" spans="1:13" x14ac:dyDescent="0.2">
      <c r="B4239" t="b">
        <v>0</v>
      </c>
      <c r="C4239" t="s">
        <v>320</v>
      </c>
      <c r="D4239" t="s">
        <v>321</v>
      </c>
      <c r="E4239" t="s">
        <v>9</v>
      </c>
      <c r="G4239" t="s">
        <v>194</v>
      </c>
    </row>
    <row r="4240" spans="1:13" x14ac:dyDescent="0.2">
      <c r="B4240" t="s">
        <v>11</v>
      </c>
    </row>
    <row r="4241" spans="2:13" x14ac:dyDescent="0.2">
      <c r="B4241" t="s">
        <v>12</v>
      </c>
      <c r="C4241" t="s">
        <v>13</v>
      </c>
      <c r="D4241" t="s">
        <v>14</v>
      </c>
      <c r="E4241" t="s">
        <v>15</v>
      </c>
      <c r="F4241" t="s">
        <v>16</v>
      </c>
      <c r="G4241" t="s">
        <v>17</v>
      </c>
      <c r="H4241" t="s">
        <v>18</v>
      </c>
      <c r="I4241" t="s">
        <v>19</v>
      </c>
      <c r="J4241" t="s">
        <v>20</v>
      </c>
      <c r="K4241" t="s">
        <v>21</v>
      </c>
      <c r="L4241" t="s">
        <v>22</v>
      </c>
      <c r="M4241" t="s">
        <v>23</v>
      </c>
    </row>
    <row r="4242" spans="2:13" x14ac:dyDescent="0.2">
      <c r="B4242" t="s">
        <v>24</v>
      </c>
      <c r="C4242">
        <v>59</v>
      </c>
      <c r="E4242" t="s">
        <v>25</v>
      </c>
      <c r="F4242">
        <v>108.57</v>
      </c>
      <c r="G4242">
        <v>13.5</v>
      </c>
      <c r="H4242">
        <v>0</v>
      </c>
      <c r="I4242" t="s">
        <v>26</v>
      </c>
      <c r="J4242">
        <v>20.9</v>
      </c>
      <c r="K4242">
        <v>0.1</v>
      </c>
      <c r="L4242">
        <v>7</v>
      </c>
    </row>
    <row r="4243" spans="2:13" x14ac:dyDescent="0.2">
      <c r="C4243" t="s">
        <v>27</v>
      </c>
    </row>
    <row r="4244" spans="2:13" x14ac:dyDescent="0.2">
      <c r="C4244" t="s">
        <v>28</v>
      </c>
      <c r="D4244" t="s">
        <v>16</v>
      </c>
      <c r="E4244" t="s">
        <v>29</v>
      </c>
      <c r="F4244" t="s">
        <v>18</v>
      </c>
    </row>
    <row r="4245" spans="2:13" x14ac:dyDescent="0.2">
      <c r="C4245" t="b">
        <v>0</v>
      </c>
      <c r="D4245">
        <v>110</v>
      </c>
      <c r="E4245" t="s">
        <v>30</v>
      </c>
      <c r="F4245">
        <v>0</v>
      </c>
    </row>
    <row r="4246" spans="2:13" x14ac:dyDescent="0.2">
      <c r="C4246" t="b">
        <v>0</v>
      </c>
      <c r="D4246">
        <v>120</v>
      </c>
      <c r="E4246" t="s">
        <v>30</v>
      </c>
      <c r="F4246">
        <v>0</v>
      </c>
    </row>
    <row r="4247" spans="2:13" x14ac:dyDescent="0.2">
      <c r="C4247" t="b">
        <v>0</v>
      </c>
      <c r="D4247">
        <v>110</v>
      </c>
      <c r="E4247" t="s">
        <v>30</v>
      </c>
      <c r="F4247">
        <v>0</v>
      </c>
    </row>
    <row r="4248" spans="2:13" x14ac:dyDescent="0.2">
      <c r="C4248" t="b">
        <v>0</v>
      </c>
      <c r="D4248">
        <v>80</v>
      </c>
      <c r="E4248" t="s">
        <v>30</v>
      </c>
      <c r="F4248">
        <v>0</v>
      </c>
    </row>
    <row r="4249" spans="2:13" x14ac:dyDescent="0.2">
      <c r="C4249" t="b">
        <v>0</v>
      </c>
      <c r="D4249">
        <v>120</v>
      </c>
      <c r="E4249" t="s">
        <v>30</v>
      </c>
      <c r="F4249">
        <v>0</v>
      </c>
    </row>
    <row r="4250" spans="2:13" x14ac:dyDescent="0.2">
      <c r="C4250" t="b">
        <v>0</v>
      </c>
      <c r="D4250">
        <v>120</v>
      </c>
      <c r="E4250" t="s">
        <v>30</v>
      </c>
      <c r="F4250">
        <v>0</v>
      </c>
    </row>
    <row r="4251" spans="2:13" x14ac:dyDescent="0.2">
      <c r="C4251" t="b">
        <v>0</v>
      </c>
      <c r="D4251">
        <v>100</v>
      </c>
      <c r="E4251" t="s">
        <v>30</v>
      </c>
      <c r="F4251">
        <v>0</v>
      </c>
    </row>
    <row r="4252" spans="2:13" x14ac:dyDescent="0.2">
      <c r="B4252" t="s">
        <v>11</v>
      </c>
    </row>
    <row r="4253" spans="2:13" x14ac:dyDescent="0.2">
      <c r="B4253" t="s">
        <v>12</v>
      </c>
      <c r="C4253" t="s">
        <v>13</v>
      </c>
      <c r="D4253" t="s">
        <v>14</v>
      </c>
      <c r="E4253" t="s">
        <v>15</v>
      </c>
      <c r="F4253" t="s">
        <v>16</v>
      </c>
      <c r="G4253" t="s">
        <v>17</v>
      </c>
      <c r="H4253" t="s">
        <v>18</v>
      </c>
      <c r="I4253" t="s">
        <v>19</v>
      </c>
      <c r="J4253" t="s">
        <v>20</v>
      </c>
      <c r="K4253" t="s">
        <v>21</v>
      </c>
      <c r="L4253" t="s">
        <v>22</v>
      </c>
      <c r="M4253" t="s">
        <v>23</v>
      </c>
    </row>
    <row r="4254" spans="2:13" x14ac:dyDescent="0.2">
      <c r="B4254" t="s">
        <v>31</v>
      </c>
      <c r="C4254">
        <v>45</v>
      </c>
      <c r="E4254" t="s">
        <v>25</v>
      </c>
      <c r="F4254">
        <v>1390.12</v>
      </c>
      <c r="G4254">
        <v>18.399999999999999</v>
      </c>
      <c r="K4254">
        <v>0.1</v>
      </c>
      <c r="L4254">
        <v>7</v>
      </c>
      <c r="M4254">
        <v>107.2</v>
      </c>
    </row>
    <row r="4255" spans="2:13" x14ac:dyDescent="0.2">
      <c r="C4255" t="s">
        <v>27</v>
      </c>
    </row>
    <row r="4256" spans="2:13" x14ac:dyDescent="0.2">
      <c r="C4256" t="s">
        <v>28</v>
      </c>
      <c r="D4256" t="s">
        <v>16</v>
      </c>
      <c r="E4256" t="s">
        <v>29</v>
      </c>
      <c r="F4256" t="s">
        <v>18</v>
      </c>
    </row>
    <row r="4257" spans="2:13" x14ac:dyDescent="0.2">
      <c r="C4257" t="b">
        <v>0</v>
      </c>
      <c r="D4257">
        <v>1120.0899999999999</v>
      </c>
      <c r="E4257" t="s">
        <v>30</v>
      </c>
    </row>
    <row r="4258" spans="2:13" x14ac:dyDescent="0.2">
      <c r="C4258" t="b">
        <v>0</v>
      </c>
      <c r="D4258">
        <v>1480.13</v>
      </c>
      <c r="E4258" t="s">
        <v>30</v>
      </c>
    </row>
    <row r="4259" spans="2:13" x14ac:dyDescent="0.2">
      <c r="C4259" t="b">
        <v>0</v>
      </c>
      <c r="D4259">
        <v>1060.07</v>
      </c>
      <c r="E4259" t="s">
        <v>30</v>
      </c>
    </row>
    <row r="4260" spans="2:13" x14ac:dyDescent="0.2">
      <c r="C4260" t="b">
        <v>0</v>
      </c>
      <c r="D4260">
        <v>1240.0999999999999</v>
      </c>
      <c r="E4260" t="s">
        <v>30</v>
      </c>
    </row>
    <row r="4261" spans="2:13" x14ac:dyDescent="0.2">
      <c r="C4261" t="b">
        <v>0</v>
      </c>
      <c r="D4261">
        <v>1460.14</v>
      </c>
      <c r="E4261" t="s">
        <v>30</v>
      </c>
    </row>
    <row r="4262" spans="2:13" x14ac:dyDescent="0.2">
      <c r="C4262" t="b">
        <v>0</v>
      </c>
      <c r="D4262">
        <v>1660.15</v>
      </c>
      <c r="E4262" t="s">
        <v>30</v>
      </c>
    </row>
    <row r="4263" spans="2:13" x14ac:dyDescent="0.2">
      <c r="C4263" t="b">
        <v>0</v>
      </c>
      <c r="D4263">
        <v>1710.17</v>
      </c>
      <c r="E4263" t="s">
        <v>30</v>
      </c>
    </row>
    <row r="4264" spans="2:13" x14ac:dyDescent="0.2">
      <c r="B4264" t="s">
        <v>11</v>
      </c>
    </row>
    <row r="4265" spans="2:13" x14ac:dyDescent="0.2">
      <c r="B4265" t="s">
        <v>12</v>
      </c>
      <c r="C4265" t="s">
        <v>13</v>
      </c>
      <c r="D4265" t="s">
        <v>14</v>
      </c>
      <c r="E4265" t="s">
        <v>15</v>
      </c>
      <c r="F4265" t="s">
        <v>16</v>
      </c>
      <c r="G4265" t="s">
        <v>17</v>
      </c>
      <c r="H4265" t="s">
        <v>18</v>
      </c>
      <c r="I4265" t="s">
        <v>19</v>
      </c>
      <c r="J4265" t="s">
        <v>20</v>
      </c>
      <c r="K4265" t="s">
        <v>21</v>
      </c>
      <c r="L4265" t="s">
        <v>22</v>
      </c>
      <c r="M4265" t="s">
        <v>23</v>
      </c>
    </row>
    <row r="4266" spans="2:13" x14ac:dyDescent="0.2">
      <c r="B4266" t="s">
        <v>32</v>
      </c>
      <c r="C4266">
        <v>72</v>
      </c>
      <c r="E4266" t="s">
        <v>25</v>
      </c>
      <c r="F4266">
        <v>1457.27</v>
      </c>
      <c r="G4266">
        <v>8.1</v>
      </c>
      <c r="K4266">
        <v>0.1</v>
      </c>
      <c r="L4266">
        <v>7</v>
      </c>
      <c r="M4266">
        <v>105.6</v>
      </c>
    </row>
    <row r="4267" spans="2:13" x14ac:dyDescent="0.2">
      <c r="C4267" t="s">
        <v>27</v>
      </c>
    </row>
    <row r="4268" spans="2:13" x14ac:dyDescent="0.2">
      <c r="C4268" t="s">
        <v>28</v>
      </c>
      <c r="D4268" t="s">
        <v>16</v>
      </c>
      <c r="E4268" t="s">
        <v>29</v>
      </c>
      <c r="F4268" t="s">
        <v>18</v>
      </c>
    </row>
    <row r="4269" spans="2:13" x14ac:dyDescent="0.2">
      <c r="C4269" t="b">
        <v>0</v>
      </c>
      <c r="D4269">
        <v>1390.11</v>
      </c>
      <c r="E4269" t="s">
        <v>30</v>
      </c>
    </row>
    <row r="4270" spans="2:13" x14ac:dyDescent="0.2">
      <c r="C4270" t="b">
        <v>0</v>
      </c>
      <c r="D4270">
        <v>1440.12</v>
      </c>
      <c r="E4270" t="s">
        <v>30</v>
      </c>
    </row>
    <row r="4271" spans="2:13" x14ac:dyDescent="0.2">
      <c r="C4271" t="b">
        <v>0</v>
      </c>
      <c r="D4271">
        <v>1270.0999999999999</v>
      </c>
      <c r="E4271" t="s">
        <v>30</v>
      </c>
    </row>
    <row r="4272" spans="2:13" x14ac:dyDescent="0.2">
      <c r="C4272" t="b">
        <v>0</v>
      </c>
      <c r="D4272">
        <v>1560.14</v>
      </c>
      <c r="E4272" t="s">
        <v>30</v>
      </c>
    </row>
    <row r="4273" spans="1:13" x14ac:dyDescent="0.2">
      <c r="C4273" t="b">
        <v>0</v>
      </c>
      <c r="D4273">
        <v>1490.12</v>
      </c>
      <c r="E4273" t="s">
        <v>30</v>
      </c>
    </row>
    <row r="4274" spans="1:13" x14ac:dyDescent="0.2">
      <c r="C4274" t="b">
        <v>0</v>
      </c>
      <c r="D4274">
        <v>1630.16</v>
      </c>
      <c r="E4274" t="s">
        <v>30</v>
      </c>
    </row>
    <row r="4275" spans="1:13" x14ac:dyDescent="0.2">
      <c r="C4275" t="b">
        <v>0</v>
      </c>
      <c r="D4275">
        <v>1420.14</v>
      </c>
      <c r="E4275" t="s">
        <v>30</v>
      </c>
    </row>
    <row r="4276" spans="1:13" x14ac:dyDescent="0.2">
      <c r="B4276" t="s">
        <v>11</v>
      </c>
    </row>
    <row r="4277" spans="1:13" x14ac:dyDescent="0.2">
      <c r="B4277" t="s">
        <v>12</v>
      </c>
      <c r="C4277" t="s">
        <v>13</v>
      </c>
      <c r="D4277" t="s">
        <v>14</v>
      </c>
      <c r="E4277" t="s">
        <v>15</v>
      </c>
      <c r="F4277" t="s">
        <v>16</v>
      </c>
      <c r="G4277" t="s">
        <v>17</v>
      </c>
      <c r="H4277" t="s">
        <v>18</v>
      </c>
      <c r="I4277" t="s">
        <v>19</v>
      </c>
      <c r="J4277" t="s">
        <v>20</v>
      </c>
      <c r="K4277" t="s">
        <v>21</v>
      </c>
      <c r="L4277" t="s">
        <v>22</v>
      </c>
      <c r="M4277" t="s">
        <v>23</v>
      </c>
    </row>
    <row r="4278" spans="1:13" x14ac:dyDescent="0.2">
      <c r="B4278" t="s">
        <v>33</v>
      </c>
      <c r="C4278">
        <v>89</v>
      </c>
      <c r="E4278" t="s">
        <v>25</v>
      </c>
      <c r="F4278">
        <v>8404.27</v>
      </c>
      <c r="G4278">
        <v>7.7</v>
      </c>
      <c r="K4278">
        <v>0.1</v>
      </c>
      <c r="L4278">
        <v>7</v>
      </c>
      <c r="M4278">
        <v>111.6</v>
      </c>
    </row>
    <row r="4279" spans="1:13" x14ac:dyDescent="0.2">
      <c r="C4279" t="s">
        <v>27</v>
      </c>
    </row>
    <row r="4280" spans="1:13" x14ac:dyDescent="0.2">
      <c r="C4280" t="s">
        <v>28</v>
      </c>
      <c r="D4280" t="s">
        <v>16</v>
      </c>
      <c r="E4280" t="s">
        <v>29</v>
      </c>
      <c r="F4280" t="s">
        <v>18</v>
      </c>
    </row>
    <row r="4281" spans="1:13" x14ac:dyDescent="0.2">
      <c r="C4281" t="b">
        <v>0</v>
      </c>
      <c r="D4281">
        <v>7702.43</v>
      </c>
      <c r="E4281" t="s">
        <v>30</v>
      </c>
    </row>
    <row r="4282" spans="1:13" x14ac:dyDescent="0.2">
      <c r="C4282" t="b">
        <v>0</v>
      </c>
      <c r="D4282">
        <v>8733.0400000000009</v>
      </c>
      <c r="E4282" t="s">
        <v>30</v>
      </c>
    </row>
    <row r="4283" spans="1:13" x14ac:dyDescent="0.2">
      <c r="C4283" t="b">
        <v>0</v>
      </c>
      <c r="D4283">
        <v>7972.61</v>
      </c>
      <c r="E4283" t="s">
        <v>30</v>
      </c>
    </row>
    <row r="4284" spans="1:13" x14ac:dyDescent="0.2">
      <c r="C4284" t="b">
        <v>0</v>
      </c>
      <c r="D4284">
        <v>8732.99</v>
      </c>
      <c r="E4284" t="s">
        <v>30</v>
      </c>
    </row>
    <row r="4285" spans="1:13" x14ac:dyDescent="0.2">
      <c r="C4285" t="b">
        <v>0</v>
      </c>
      <c r="D4285">
        <v>7552.35</v>
      </c>
      <c r="E4285" t="s">
        <v>30</v>
      </c>
    </row>
    <row r="4286" spans="1:13" x14ac:dyDescent="0.2">
      <c r="C4286" t="b">
        <v>0</v>
      </c>
      <c r="D4286">
        <v>9113.32</v>
      </c>
      <c r="E4286" t="s">
        <v>30</v>
      </c>
    </row>
    <row r="4287" spans="1:13" x14ac:dyDescent="0.2">
      <c r="C4287" t="b">
        <v>0</v>
      </c>
      <c r="D4287">
        <v>9023.14</v>
      </c>
      <c r="E4287" t="s">
        <v>30</v>
      </c>
    </row>
    <row r="4288" spans="1:13" x14ac:dyDescent="0.2">
      <c r="A4288" t="s">
        <v>0</v>
      </c>
    </row>
    <row r="4289" spans="2:13" x14ac:dyDescent="0.2">
      <c r="B4289" t="s">
        <v>1</v>
      </c>
      <c r="C4289" t="s">
        <v>2</v>
      </c>
      <c r="D4289" t="s">
        <v>3</v>
      </c>
      <c r="E4289" t="s">
        <v>4</v>
      </c>
      <c r="F4289" t="s">
        <v>5</v>
      </c>
      <c r="G4289" t="s">
        <v>6</v>
      </c>
    </row>
    <row r="4290" spans="2:13" x14ac:dyDescent="0.2">
      <c r="B4290" t="b">
        <v>0</v>
      </c>
      <c r="C4290" t="s">
        <v>322</v>
      </c>
      <c r="D4290" t="s">
        <v>323</v>
      </c>
      <c r="E4290" t="s">
        <v>9</v>
      </c>
      <c r="G4290" t="s">
        <v>194</v>
      </c>
    </row>
    <row r="4291" spans="2:13" x14ac:dyDescent="0.2">
      <c r="B4291" t="s">
        <v>11</v>
      </c>
    </row>
    <row r="4292" spans="2:13" x14ac:dyDescent="0.2">
      <c r="B4292" t="s">
        <v>12</v>
      </c>
      <c r="C4292" t="s">
        <v>13</v>
      </c>
      <c r="D4292" t="s">
        <v>14</v>
      </c>
      <c r="E4292" t="s">
        <v>15</v>
      </c>
      <c r="F4292" t="s">
        <v>16</v>
      </c>
      <c r="G4292" t="s">
        <v>17</v>
      </c>
      <c r="H4292" t="s">
        <v>18</v>
      </c>
      <c r="I4292" t="s">
        <v>19</v>
      </c>
      <c r="J4292" t="s">
        <v>20</v>
      </c>
      <c r="K4292" t="s">
        <v>21</v>
      </c>
      <c r="L4292" t="s">
        <v>22</v>
      </c>
      <c r="M4292" t="s">
        <v>23</v>
      </c>
    </row>
    <row r="4293" spans="2:13" x14ac:dyDescent="0.2">
      <c r="B4293" t="s">
        <v>24</v>
      </c>
      <c r="C4293">
        <v>59</v>
      </c>
      <c r="E4293" t="s">
        <v>25</v>
      </c>
      <c r="F4293">
        <v>2185.96</v>
      </c>
      <c r="G4293">
        <v>12.4</v>
      </c>
      <c r="H4293">
        <v>1E-3</v>
      </c>
      <c r="I4293" t="s">
        <v>26</v>
      </c>
      <c r="J4293">
        <v>12.6</v>
      </c>
      <c r="K4293">
        <v>0.1</v>
      </c>
      <c r="L4293">
        <v>7</v>
      </c>
    </row>
    <row r="4294" spans="2:13" x14ac:dyDescent="0.2">
      <c r="C4294" t="s">
        <v>27</v>
      </c>
    </row>
    <row r="4295" spans="2:13" x14ac:dyDescent="0.2">
      <c r="C4295" t="s">
        <v>28</v>
      </c>
      <c r="D4295" t="s">
        <v>16</v>
      </c>
      <c r="E4295" t="s">
        <v>29</v>
      </c>
      <c r="F4295" t="s">
        <v>18</v>
      </c>
    </row>
    <row r="4296" spans="2:13" x14ac:dyDescent="0.2">
      <c r="C4296" t="b">
        <v>0</v>
      </c>
      <c r="D4296">
        <v>1750.16</v>
      </c>
      <c r="E4296" t="s">
        <v>30</v>
      </c>
      <c r="F4296">
        <v>1E-3</v>
      </c>
    </row>
    <row r="4297" spans="2:13" x14ac:dyDescent="0.2">
      <c r="C4297" t="b">
        <v>0</v>
      </c>
      <c r="D4297">
        <v>1930.2</v>
      </c>
      <c r="E4297" t="s">
        <v>30</v>
      </c>
      <c r="F4297">
        <v>1E-3</v>
      </c>
    </row>
    <row r="4298" spans="2:13" x14ac:dyDescent="0.2">
      <c r="C4298" t="b">
        <v>0</v>
      </c>
      <c r="D4298">
        <v>2400.29</v>
      </c>
      <c r="E4298" t="s">
        <v>30</v>
      </c>
      <c r="F4298">
        <v>1E-3</v>
      </c>
    </row>
    <row r="4299" spans="2:13" x14ac:dyDescent="0.2">
      <c r="C4299" t="b">
        <v>0</v>
      </c>
      <c r="D4299">
        <v>2420.31</v>
      </c>
      <c r="E4299" t="s">
        <v>30</v>
      </c>
      <c r="F4299">
        <v>1E-3</v>
      </c>
    </row>
    <row r="4300" spans="2:13" x14ac:dyDescent="0.2">
      <c r="C4300" t="b">
        <v>0</v>
      </c>
      <c r="D4300">
        <v>2470.31</v>
      </c>
      <c r="E4300" t="s">
        <v>30</v>
      </c>
      <c r="F4300">
        <v>1E-3</v>
      </c>
    </row>
    <row r="4301" spans="2:13" x14ac:dyDescent="0.2">
      <c r="C4301" t="b">
        <v>0</v>
      </c>
      <c r="D4301">
        <v>2170.23</v>
      </c>
      <c r="E4301" t="s">
        <v>30</v>
      </c>
      <c r="F4301">
        <v>1E-3</v>
      </c>
    </row>
    <row r="4302" spans="2:13" x14ac:dyDescent="0.2">
      <c r="C4302" t="b">
        <v>0</v>
      </c>
      <c r="D4302">
        <v>2160.23</v>
      </c>
      <c r="E4302" t="s">
        <v>30</v>
      </c>
      <c r="F4302">
        <v>1E-3</v>
      </c>
    </row>
    <row r="4303" spans="2:13" x14ac:dyDescent="0.2">
      <c r="B4303" t="s">
        <v>11</v>
      </c>
    </row>
    <row r="4304" spans="2:13" x14ac:dyDescent="0.2">
      <c r="B4304" t="s">
        <v>12</v>
      </c>
      <c r="C4304" t="s">
        <v>13</v>
      </c>
      <c r="D4304" t="s">
        <v>14</v>
      </c>
      <c r="E4304" t="s">
        <v>15</v>
      </c>
      <c r="F4304" t="s">
        <v>16</v>
      </c>
      <c r="G4304" t="s">
        <v>17</v>
      </c>
      <c r="H4304" t="s">
        <v>18</v>
      </c>
      <c r="I4304" t="s">
        <v>19</v>
      </c>
      <c r="J4304" t="s">
        <v>20</v>
      </c>
      <c r="K4304" t="s">
        <v>21</v>
      </c>
      <c r="L4304" t="s">
        <v>22</v>
      </c>
      <c r="M4304" t="s">
        <v>23</v>
      </c>
    </row>
    <row r="4305" spans="2:13" x14ac:dyDescent="0.2">
      <c r="B4305" t="s">
        <v>31</v>
      </c>
      <c r="C4305">
        <v>45</v>
      </c>
      <c r="E4305" t="s">
        <v>25</v>
      </c>
      <c r="F4305">
        <v>1352.97</v>
      </c>
      <c r="G4305">
        <v>10.3</v>
      </c>
      <c r="K4305">
        <v>0.1</v>
      </c>
      <c r="L4305">
        <v>7</v>
      </c>
      <c r="M4305">
        <v>104.3</v>
      </c>
    </row>
    <row r="4306" spans="2:13" x14ac:dyDescent="0.2">
      <c r="C4306" t="s">
        <v>27</v>
      </c>
    </row>
    <row r="4307" spans="2:13" x14ac:dyDescent="0.2">
      <c r="C4307" t="s">
        <v>28</v>
      </c>
      <c r="D4307" t="s">
        <v>16</v>
      </c>
      <c r="E4307" t="s">
        <v>29</v>
      </c>
      <c r="F4307" t="s">
        <v>18</v>
      </c>
    </row>
    <row r="4308" spans="2:13" x14ac:dyDescent="0.2">
      <c r="C4308" t="b">
        <v>0</v>
      </c>
      <c r="D4308">
        <v>1200.0999999999999</v>
      </c>
      <c r="E4308" t="s">
        <v>30</v>
      </c>
    </row>
    <row r="4309" spans="2:13" x14ac:dyDescent="0.2">
      <c r="C4309" t="b">
        <v>0</v>
      </c>
      <c r="D4309">
        <v>1430.12</v>
      </c>
      <c r="E4309" t="s">
        <v>30</v>
      </c>
    </row>
    <row r="4310" spans="2:13" x14ac:dyDescent="0.2">
      <c r="C4310" t="b">
        <v>0</v>
      </c>
      <c r="D4310">
        <v>1600.16</v>
      </c>
      <c r="E4310" t="s">
        <v>30</v>
      </c>
    </row>
    <row r="4311" spans="2:13" x14ac:dyDescent="0.2">
      <c r="C4311" t="b">
        <v>0</v>
      </c>
      <c r="D4311">
        <v>1270.1099999999999</v>
      </c>
      <c r="E4311" t="s">
        <v>30</v>
      </c>
    </row>
    <row r="4312" spans="2:13" x14ac:dyDescent="0.2">
      <c r="C4312" t="b">
        <v>0</v>
      </c>
      <c r="D4312">
        <v>1370.11</v>
      </c>
      <c r="E4312" t="s">
        <v>30</v>
      </c>
    </row>
    <row r="4313" spans="2:13" x14ac:dyDescent="0.2">
      <c r="C4313" t="b">
        <v>0</v>
      </c>
      <c r="D4313">
        <v>1380.12</v>
      </c>
      <c r="E4313" t="s">
        <v>30</v>
      </c>
    </row>
    <row r="4314" spans="2:13" x14ac:dyDescent="0.2">
      <c r="C4314" t="b">
        <v>0</v>
      </c>
      <c r="D4314">
        <v>1220.0899999999999</v>
      </c>
      <c r="E4314" t="s">
        <v>30</v>
      </c>
    </row>
    <row r="4315" spans="2:13" x14ac:dyDescent="0.2">
      <c r="B4315" t="s">
        <v>11</v>
      </c>
    </row>
    <row r="4316" spans="2:13" x14ac:dyDescent="0.2">
      <c r="B4316" t="s">
        <v>12</v>
      </c>
      <c r="C4316" t="s">
        <v>13</v>
      </c>
      <c r="D4316" t="s">
        <v>14</v>
      </c>
      <c r="E4316" t="s">
        <v>15</v>
      </c>
      <c r="F4316" t="s">
        <v>16</v>
      </c>
      <c r="G4316" t="s">
        <v>17</v>
      </c>
      <c r="H4316" t="s">
        <v>18</v>
      </c>
      <c r="I4316" t="s">
        <v>19</v>
      </c>
      <c r="J4316" t="s">
        <v>20</v>
      </c>
      <c r="K4316" t="s">
        <v>21</v>
      </c>
      <c r="L4316" t="s">
        <v>22</v>
      </c>
      <c r="M4316" t="s">
        <v>23</v>
      </c>
    </row>
    <row r="4317" spans="2:13" x14ac:dyDescent="0.2">
      <c r="B4317" t="s">
        <v>32</v>
      </c>
      <c r="C4317">
        <v>72</v>
      </c>
      <c r="E4317" t="s">
        <v>25</v>
      </c>
      <c r="F4317">
        <v>1367.26</v>
      </c>
      <c r="G4317">
        <v>2.6</v>
      </c>
      <c r="K4317">
        <v>0.1</v>
      </c>
      <c r="L4317">
        <v>7</v>
      </c>
      <c r="M4317">
        <v>99.1</v>
      </c>
    </row>
    <row r="4318" spans="2:13" x14ac:dyDescent="0.2">
      <c r="C4318" t="s">
        <v>27</v>
      </c>
    </row>
    <row r="4319" spans="2:13" x14ac:dyDescent="0.2">
      <c r="C4319" t="s">
        <v>28</v>
      </c>
      <c r="D4319" t="s">
        <v>16</v>
      </c>
      <c r="E4319" t="s">
        <v>29</v>
      </c>
      <c r="F4319" t="s">
        <v>18</v>
      </c>
    </row>
    <row r="4320" spans="2:13" x14ac:dyDescent="0.2">
      <c r="C4320" t="b">
        <v>0</v>
      </c>
      <c r="D4320">
        <v>1380.12</v>
      </c>
      <c r="E4320" t="s">
        <v>30</v>
      </c>
    </row>
    <row r="4321" spans="2:13" x14ac:dyDescent="0.2">
      <c r="C4321" t="b">
        <v>0</v>
      </c>
      <c r="D4321">
        <v>1390.11</v>
      </c>
      <c r="E4321" t="s">
        <v>30</v>
      </c>
    </row>
    <row r="4322" spans="2:13" x14ac:dyDescent="0.2">
      <c r="C4322" t="b">
        <v>0</v>
      </c>
      <c r="D4322">
        <v>1330.1</v>
      </c>
      <c r="E4322" t="s">
        <v>30</v>
      </c>
    </row>
    <row r="4323" spans="2:13" x14ac:dyDescent="0.2">
      <c r="C4323" t="b">
        <v>0</v>
      </c>
      <c r="D4323">
        <v>1330.12</v>
      </c>
      <c r="E4323" t="s">
        <v>30</v>
      </c>
    </row>
    <row r="4324" spans="2:13" x14ac:dyDescent="0.2">
      <c r="C4324" t="b">
        <v>0</v>
      </c>
      <c r="D4324">
        <v>1430.12</v>
      </c>
      <c r="E4324" t="s">
        <v>30</v>
      </c>
    </row>
    <row r="4325" spans="2:13" x14ac:dyDescent="0.2">
      <c r="C4325" t="b">
        <v>0</v>
      </c>
      <c r="D4325">
        <v>1360.12</v>
      </c>
      <c r="E4325" t="s">
        <v>30</v>
      </c>
    </row>
    <row r="4326" spans="2:13" x14ac:dyDescent="0.2">
      <c r="C4326" t="b">
        <v>0</v>
      </c>
      <c r="D4326">
        <v>1350.12</v>
      </c>
      <c r="E4326" t="s">
        <v>30</v>
      </c>
    </row>
    <row r="4327" spans="2:13" x14ac:dyDescent="0.2">
      <c r="B4327" t="s">
        <v>11</v>
      </c>
    </row>
    <row r="4328" spans="2:13" x14ac:dyDescent="0.2">
      <c r="B4328" t="s">
        <v>12</v>
      </c>
      <c r="C4328" t="s">
        <v>13</v>
      </c>
      <c r="D4328" t="s">
        <v>14</v>
      </c>
      <c r="E4328" t="s">
        <v>15</v>
      </c>
      <c r="F4328" t="s">
        <v>16</v>
      </c>
      <c r="G4328" t="s">
        <v>17</v>
      </c>
      <c r="H4328" t="s">
        <v>18</v>
      </c>
      <c r="I4328" t="s">
        <v>19</v>
      </c>
      <c r="J4328" t="s">
        <v>20</v>
      </c>
      <c r="K4328" t="s">
        <v>21</v>
      </c>
      <c r="L4328" t="s">
        <v>22</v>
      </c>
      <c r="M4328" t="s">
        <v>23</v>
      </c>
    </row>
    <row r="4329" spans="2:13" x14ac:dyDescent="0.2">
      <c r="B4329" t="s">
        <v>33</v>
      </c>
      <c r="C4329">
        <v>89</v>
      </c>
      <c r="E4329" t="s">
        <v>25</v>
      </c>
      <c r="F4329">
        <v>7882.51</v>
      </c>
      <c r="G4329">
        <v>4.2</v>
      </c>
      <c r="K4329">
        <v>0.1</v>
      </c>
      <c r="L4329">
        <v>7</v>
      </c>
      <c r="M4329">
        <v>104.6</v>
      </c>
    </row>
    <row r="4330" spans="2:13" x14ac:dyDescent="0.2">
      <c r="C4330" t="s">
        <v>27</v>
      </c>
    </row>
    <row r="4331" spans="2:13" x14ac:dyDescent="0.2">
      <c r="C4331" t="s">
        <v>28</v>
      </c>
      <c r="D4331" t="s">
        <v>16</v>
      </c>
      <c r="E4331" t="s">
        <v>29</v>
      </c>
      <c r="F4331" t="s">
        <v>18</v>
      </c>
    </row>
    <row r="4332" spans="2:13" x14ac:dyDescent="0.2">
      <c r="C4332" t="b">
        <v>0</v>
      </c>
      <c r="D4332">
        <v>8012.58</v>
      </c>
      <c r="E4332" t="s">
        <v>30</v>
      </c>
    </row>
    <row r="4333" spans="2:13" x14ac:dyDescent="0.2">
      <c r="C4333" t="b">
        <v>0</v>
      </c>
      <c r="D4333">
        <v>7982.65</v>
      </c>
      <c r="E4333" t="s">
        <v>30</v>
      </c>
    </row>
    <row r="4334" spans="2:13" x14ac:dyDescent="0.2">
      <c r="C4334" t="b">
        <v>0</v>
      </c>
      <c r="D4334">
        <v>7722.42</v>
      </c>
      <c r="E4334" t="s">
        <v>30</v>
      </c>
    </row>
    <row r="4335" spans="2:13" x14ac:dyDescent="0.2">
      <c r="C4335" t="b">
        <v>0</v>
      </c>
      <c r="D4335">
        <v>7402.19</v>
      </c>
      <c r="E4335" t="s">
        <v>30</v>
      </c>
    </row>
    <row r="4336" spans="2:13" x14ac:dyDescent="0.2">
      <c r="C4336" t="b">
        <v>0</v>
      </c>
      <c r="D4336">
        <v>7962.55</v>
      </c>
      <c r="E4336" t="s">
        <v>30</v>
      </c>
    </row>
    <row r="4337" spans="1:13" x14ac:dyDescent="0.2">
      <c r="C4337" t="b">
        <v>0</v>
      </c>
      <c r="D4337">
        <v>8452.74</v>
      </c>
      <c r="E4337" t="s">
        <v>30</v>
      </c>
    </row>
    <row r="4338" spans="1:13" x14ac:dyDescent="0.2">
      <c r="C4338" t="b">
        <v>0</v>
      </c>
      <c r="D4338">
        <v>7642.41</v>
      </c>
      <c r="E4338" t="s">
        <v>30</v>
      </c>
    </row>
    <row r="4339" spans="1:13" x14ac:dyDescent="0.2">
      <c r="A4339" t="s">
        <v>0</v>
      </c>
    </row>
    <row r="4340" spans="1:13" x14ac:dyDescent="0.2">
      <c r="B4340" t="s">
        <v>1</v>
      </c>
      <c r="C4340" t="s">
        <v>2</v>
      </c>
      <c r="D4340" t="s">
        <v>3</v>
      </c>
      <c r="E4340" t="s">
        <v>4</v>
      </c>
      <c r="F4340" t="s">
        <v>5</v>
      </c>
      <c r="G4340" t="s">
        <v>6</v>
      </c>
    </row>
    <row r="4341" spans="1:13" x14ac:dyDescent="0.2">
      <c r="B4341" t="b">
        <v>0</v>
      </c>
      <c r="C4341" t="s">
        <v>100</v>
      </c>
      <c r="D4341" t="s">
        <v>324</v>
      </c>
      <c r="E4341" t="s">
        <v>0</v>
      </c>
      <c r="G4341" t="s">
        <v>325</v>
      </c>
    </row>
    <row r="4342" spans="1:13" x14ac:dyDescent="0.2">
      <c r="B4342" t="s">
        <v>11</v>
      </c>
    </row>
    <row r="4343" spans="1:13" x14ac:dyDescent="0.2">
      <c r="B4343" t="s">
        <v>12</v>
      </c>
      <c r="C4343" t="s">
        <v>13</v>
      </c>
      <c r="D4343" t="s">
        <v>14</v>
      </c>
      <c r="E4343" t="s">
        <v>15</v>
      </c>
      <c r="F4343" t="s">
        <v>16</v>
      </c>
      <c r="G4343" t="s">
        <v>17</v>
      </c>
      <c r="H4343" t="s">
        <v>18</v>
      </c>
      <c r="I4343" t="s">
        <v>19</v>
      </c>
      <c r="J4343" t="s">
        <v>20</v>
      </c>
      <c r="K4343" t="s">
        <v>21</v>
      </c>
      <c r="L4343" t="s">
        <v>22</v>
      </c>
      <c r="M4343" t="s">
        <v>23</v>
      </c>
    </row>
    <row r="4344" spans="1:13" x14ac:dyDescent="0.2">
      <c r="B4344" t="s">
        <v>24</v>
      </c>
      <c r="C4344">
        <v>59</v>
      </c>
      <c r="E4344" t="s">
        <v>25</v>
      </c>
      <c r="F4344">
        <v>26064.720000000001</v>
      </c>
      <c r="G4344">
        <v>1.4</v>
      </c>
      <c r="H4344">
        <v>8.0000000000000002E-3</v>
      </c>
      <c r="I4344" t="s">
        <v>26</v>
      </c>
      <c r="J4344">
        <v>1.4</v>
      </c>
      <c r="K4344">
        <v>0.1</v>
      </c>
      <c r="L4344">
        <v>7</v>
      </c>
    </row>
    <row r="4345" spans="1:13" x14ac:dyDescent="0.2">
      <c r="C4345" t="s">
        <v>27</v>
      </c>
    </row>
    <row r="4346" spans="1:13" x14ac:dyDescent="0.2">
      <c r="C4346" t="s">
        <v>28</v>
      </c>
      <c r="D4346" t="s">
        <v>16</v>
      </c>
      <c r="E4346" t="s">
        <v>29</v>
      </c>
      <c r="F4346" t="s">
        <v>18</v>
      </c>
    </row>
    <row r="4347" spans="1:13" x14ac:dyDescent="0.2">
      <c r="C4347" t="b">
        <v>0</v>
      </c>
      <c r="D4347">
        <v>25724.2</v>
      </c>
      <c r="E4347" t="s">
        <v>30</v>
      </c>
      <c r="F4347">
        <v>8.0000000000000002E-3</v>
      </c>
    </row>
    <row r="4348" spans="1:13" x14ac:dyDescent="0.2">
      <c r="C4348" t="b">
        <v>0</v>
      </c>
      <c r="D4348">
        <v>26455.45</v>
      </c>
      <c r="E4348" t="s">
        <v>30</v>
      </c>
      <c r="F4348">
        <v>8.0000000000000002E-3</v>
      </c>
    </row>
    <row r="4349" spans="1:13" x14ac:dyDescent="0.2">
      <c r="C4349" t="b">
        <v>0</v>
      </c>
      <c r="D4349">
        <v>25934.39</v>
      </c>
      <c r="E4349" t="s">
        <v>30</v>
      </c>
      <c r="F4349">
        <v>8.0000000000000002E-3</v>
      </c>
    </row>
    <row r="4350" spans="1:13" x14ac:dyDescent="0.2">
      <c r="C4350" t="b">
        <v>0</v>
      </c>
      <c r="D4350">
        <v>25663.919999999998</v>
      </c>
      <c r="E4350" t="s">
        <v>30</v>
      </c>
      <c r="F4350">
        <v>8.0000000000000002E-3</v>
      </c>
    </row>
    <row r="4351" spans="1:13" x14ac:dyDescent="0.2">
      <c r="C4351" t="b">
        <v>0</v>
      </c>
      <c r="D4351">
        <v>26194.78</v>
      </c>
      <c r="E4351" t="s">
        <v>30</v>
      </c>
      <c r="F4351">
        <v>8.0000000000000002E-3</v>
      </c>
    </row>
    <row r="4352" spans="1:13" x14ac:dyDescent="0.2">
      <c r="C4352" t="b">
        <v>0</v>
      </c>
      <c r="D4352">
        <v>26585.89</v>
      </c>
      <c r="E4352" t="s">
        <v>30</v>
      </c>
      <c r="F4352">
        <v>8.0000000000000002E-3</v>
      </c>
    </row>
    <row r="4353" spans="2:13" x14ac:dyDescent="0.2">
      <c r="C4353" t="b">
        <v>0</v>
      </c>
      <c r="D4353">
        <v>25894.44</v>
      </c>
      <c r="E4353" t="s">
        <v>30</v>
      </c>
      <c r="F4353">
        <v>8.0000000000000002E-3</v>
      </c>
    </row>
    <row r="4354" spans="2:13" x14ac:dyDescent="0.2">
      <c r="B4354" t="s">
        <v>11</v>
      </c>
    </row>
    <row r="4355" spans="2:13" x14ac:dyDescent="0.2">
      <c r="B4355" t="s">
        <v>12</v>
      </c>
      <c r="C4355" t="s">
        <v>13</v>
      </c>
      <c r="D4355" t="s">
        <v>14</v>
      </c>
      <c r="E4355" t="s">
        <v>15</v>
      </c>
      <c r="F4355" t="s">
        <v>16</v>
      </c>
      <c r="G4355" t="s">
        <v>17</v>
      </c>
      <c r="H4355" t="s">
        <v>18</v>
      </c>
      <c r="I4355" t="s">
        <v>19</v>
      </c>
      <c r="J4355" t="s">
        <v>20</v>
      </c>
      <c r="K4355" t="s">
        <v>21</v>
      </c>
      <c r="L4355" t="s">
        <v>22</v>
      </c>
      <c r="M4355" t="s">
        <v>23</v>
      </c>
    </row>
    <row r="4356" spans="2:13" x14ac:dyDescent="0.2">
      <c r="B4356" t="s">
        <v>31</v>
      </c>
      <c r="C4356">
        <v>45</v>
      </c>
      <c r="E4356" t="s">
        <v>25</v>
      </c>
      <c r="F4356">
        <v>1321.54</v>
      </c>
      <c r="G4356">
        <v>11</v>
      </c>
      <c r="K4356">
        <v>0.1</v>
      </c>
      <c r="L4356">
        <v>7</v>
      </c>
      <c r="M4356">
        <v>101.9</v>
      </c>
    </row>
    <row r="4357" spans="2:13" x14ac:dyDescent="0.2">
      <c r="C4357" t="s">
        <v>27</v>
      </c>
    </row>
    <row r="4358" spans="2:13" x14ac:dyDescent="0.2">
      <c r="C4358" t="s">
        <v>28</v>
      </c>
      <c r="D4358" t="s">
        <v>16</v>
      </c>
      <c r="E4358" t="s">
        <v>29</v>
      </c>
      <c r="F4358" t="s">
        <v>18</v>
      </c>
    </row>
    <row r="4359" spans="2:13" x14ac:dyDescent="0.2">
      <c r="C4359" t="b">
        <v>0</v>
      </c>
      <c r="D4359">
        <v>1190.0999999999999</v>
      </c>
      <c r="E4359" t="s">
        <v>30</v>
      </c>
    </row>
    <row r="4360" spans="2:13" x14ac:dyDescent="0.2">
      <c r="C4360" t="b">
        <v>0</v>
      </c>
      <c r="D4360">
        <v>1420.11</v>
      </c>
      <c r="E4360" t="s">
        <v>30</v>
      </c>
    </row>
    <row r="4361" spans="2:13" x14ac:dyDescent="0.2">
      <c r="C4361" t="b">
        <v>0</v>
      </c>
      <c r="D4361">
        <v>1290.1099999999999</v>
      </c>
      <c r="E4361" t="s">
        <v>30</v>
      </c>
    </row>
    <row r="4362" spans="2:13" x14ac:dyDescent="0.2">
      <c r="C4362" t="b">
        <v>0</v>
      </c>
      <c r="D4362">
        <v>1270.1099999999999</v>
      </c>
      <c r="E4362" t="s">
        <v>30</v>
      </c>
    </row>
    <row r="4363" spans="2:13" x14ac:dyDescent="0.2">
      <c r="C4363" t="b">
        <v>0</v>
      </c>
      <c r="D4363">
        <v>1400.13</v>
      </c>
      <c r="E4363" t="s">
        <v>30</v>
      </c>
    </row>
    <row r="4364" spans="2:13" x14ac:dyDescent="0.2">
      <c r="C4364" t="b">
        <v>0</v>
      </c>
      <c r="D4364">
        <v>1130.0899999999999</v>
      </c>
      <c r="E4364" t="s">
        <v>30</v>
      </c>
    </row>
    <row r="4365" spans="2:13" x14ac:dyDescent="0.2">
      <c r="C4365" t="b">
        <v>0</v>
      </c>
      <c r="D4365">
        <v>1550.14</v>
      </c>
      <c r="E4365" t="s">
        <v>30</v>
      </c>
    </row>
    <row r="4366" spans="2:13" x14ac:dyDescent="0.2">
      <c r="B4366" t="s">
        <v>11</v>
      </c>
    </row>
    <row r="4367" spans="2:13" x14ac:dyDescent="0.2">
      <c r="B4367" t="s">
        <v>12</v>
      </c>
      <c r="C4367" t="s">
        <v>13</v>
      </c>
      <c r="D4367" t="s">
        <v>14</v>
      </c>
      <c r="E4367" t="s">
        <v>15</v>
      </c>
      <c r="F4367" t="s">
        <v>16</v>
      </c>
      <c r="G4367" t="s">
        <v>17</v>
      </c>
      <c r="H4367" t="s">
        <v>18</v>
      </c>
      <c r="I4367" t="s">
        <v>19</v>
      </c>
      <c r="J4367" t="s">
        <v>20</v>
      </c>
      <c r="K4367" t="s">
        <v>21</v>
      </c>
      <c r="L4367" t="s">
        <v>22</v>
      </c>
      <c r="M4367" t="s">
        <v>23</v>
      </c>
    </row>
    <row r="4368" spans="2:13" x14ac:dyDescent="0.2">
      <c r="B4368" t="s">
        <v>32</v>
      </c>
      <c r="C4368">
        <v>72</v>
      </c>
      <c r="E4368" t="s">
        <v>25</v>
      </c>
      <c r="F4368">
        <v>1324.4</v>
      </c>
      <c r="G4368">
        <v>5.6</v>
      </c>
      <c r="K4368">
        <v>0.1</v>
      </c>
      <c r="L4368">
        <v>7</v>
      </c>
      <c r="M4368">
        <v>96</v>
      </c>
    </row>
    <row r="4369" spans="2:13" x14ac:dyDescent="0.2">
      <c r="C4369" t="s">
        <v>27</v>
      </c>
    </row>
    <row r="4370" spans="2:13" x14ac:dyDescent="0.2">
      <c r="C4370" t="s">
        <v>28</v>
      </c>
      <c r="D4370" t="s">
        <v>16</v>
      </c>
      <c r="E4370" t="s">
        <v>29</v>
      </c>
      <c r="F4370" t="s">
        <v>18</v>
      </c>
    </row>
    <row r="4371" spans="2:13" x14ac:dyDescent="0.2">
      <c r="C4371" t="b">
        <v>0</v>
      </c>
      <c r="D4371">
        <v>1300.1099999999999</v>
      </c>
      <c r="E4371" t="s">
        <v>30</v>
      </c>
    </row>
    <row r="4372" spans="2:13" x14ac:dyDescent="0.2">
      <c r="C4372" t="b">
        <v>0</v>
      </c>
      <c r="D4372">
        <v>1250.0999999999999</v>
      </c>
      <c r="E4372" t="s">
        <v>30</v>
      </c>
    </row>
    <row r="4373" spans="2:13" x14ac:dyDescent="0.2">
      <c r="C4373" t="b">
        <v>0</v>
      </c>
      <c r="D4373">
        <v>1310.0999999999999</v>
      </c>
      <c r="E4373" t="s">
        <v>30</v>
      </c>
    </row>
    <row r="4374" spans="2:13" x14ac:dyDescent="0.2">
      <c r="C4374" t="b">
        <v>0</v>
      </c>
      <c r="D4374">
        <v>1390.11</v>
      </c>
      <c r="E4374" t="s">
        <v>30</v>
      </c>
    </row>
    <row r="4375" spans="2:13" x14ac:dyDescent="0.2">
      <c r="C4375" t="b">
        <v>0</v>
      </c>
      <c r="D4375">
        <v>1400.13</v>
      </c>
      <c r="E4375" t="s">
        <v>30</v>
      </c>
    </row>
    <row r="4376" spans="2:13" x14ac:dyDescent="0.2">
      <c r="C4376" t="b">
        <v>0</v>
      </c>
      <c r="D4376">
        <v>1220.0999999999999</v>
      </c>
      <c r="E4376" t="s">
        <v>30</v>
      </c>
    </row>
    <row r="4377" spans="2:13" x14ac:dyDescent="0.2">
      <c r="C4377" t="b">
        <v>0</v>
      </c>
      <c r="D4377">
        <v>1400.13</v>
      </c>
      <c r="E4377" t="s">
        <v>30</v>
      </c>
    </row>
    <row r="4378" spans="2:13" x14ac:dyDescent="0.2">
      <c r="B4378" t="s">
        <v>11</v>
      </c>
    </row>
    <row r="4379" spans="2:13" x14ac:dyDescent="0.2">
      <c r="B4379" t="s">
        <v>12</v>
      </c>
      <c r="C4379" t="s">
        <v>13</v>
      </c>
      <c r="D4379" t="s">
        <v>14</v>
      </c>
      <c r="E4379" t="s">
        <v>15</v>
      </c>
      <c r="F4379" t="s">
        <v>16</v>
      </c>
      <c r="G4379" t="s">
        <v>17</v>
      </c>
      <c r="H4379" t="s">
        <v>18</v>
      </c>
      <c r="I4379" t="s">
        <v>19</v>
      </c>
      <c r="J4379" t="s">
        <v>20</v>
      </c>
      <c r="K4379" t="s">
        <v>21</v>
      </c>
      <c r="L4379" t="s">
        <v>22</v>
      </c>
      <c r="M4379" t="s">
        <v>23</v>
      </c>
    </row>
    <row r="4380" spans="2:13" x14ac:dyDescent="0.2">
      <c r="B4380" t="s">
        <v>33</v>
      </c>
      <c r="C4380">
        <v>89</v>
      </c>
      <c r="E4380" t="s">
        <v>25</v>
      </c>
      <c r="F4380">
        <v>7683.83</v>
      </c>
      <c r="G4380">
        <v>3.6</v>
      </c>
      <c r="K4380">
        <v>0.1</v>
      </c>
      <c r="L4380">
        <v>7</v>
      </c>
      <c r="M4380">
        <v>102</v>
      </c>
    </row>
    <row r="4381" spans="2:13" x14ac:dyDescent="0.2">
      <c r="C4381" t="s">
        <v>27</v>
      </c>
    </row>
    <row r="4382" spans="2:13" x14ac:dyDescent="0.2">
      <c r="C4382" t="s">
        <v>28</v>
      </c>
      <c r="D4382" t="s">
        <v>16</v>
      </c>
      <c r="E4382" t="s">
        <v>29</v>
      </c>
      <c r="F4382" t="s">
        <v>18</v>
      </c>
    </row>
    <row r="4383" spans="2:13" x14ac:dyDescent="0.2">
      <c r="C4383" t="b">
        <v>0</v>
      </c>
      <c r="D4383">
        <v>7312.17</v>
      </c>
      <c r="E4383" t="s">
        <v>30</v>
      </c>
    </row>
    <row r="4384" spans="2:13" x14ac:dyDescent="0.2">
      <c r="C4384" t="b">
        <v>0</v>
      </c>
      <c r="D4384">
        <v>7542.34</v>
      </c>
      <c r="E4384" t="s">
        <v>30</v>
      </c>
    </row>
    <row r="4385" spans="1:13" x14ac:dyDescent="0.2">
      <c r="C4385" t="b">
        <v>0</v>
      </c>
      <c r="D4385">
        <v>7382.24</v>
      </c>
      <c r="E4385" t="s">
        <v>30</v>
      </c>
    </row>
    <row r="4386" spans="1:13" x14ac:dyDescent="0.2">
      <c r="C4386" t="b">
        <v>0</v>
      </c>
      <c r="D4386">
        <v>7742.42</v>
      </c>
      <c r="E4386" t="s">
        <v>30</v>
      </c>
    </row>
    <row r="4387" spans="1:13" x14ac:dyDescent="0.2">
      <c r="C4387" t="b">
        <v>0</v>
      </c>
      <c r="D4387">
        <v>7852.52</v>
      </c>
      <c r="E4387" t="s">
        <v>30</v>
      </c>
    </row>
    <row r="4388" spans="1:13" x14ac:dyDescent="0.2">
      <c r="C4388" t="b">
        <v>0</v>
      </c>
      <c r="D4388">
        <v>7942.58</v>
      </c>
      <c r="E4388" t="s">
        <v>30</v>
      </c>
    </row>
    <row r="4389" spans="1:13" x14ac:dyDescent="0.2">
      <c r="C4389" t="b">
        <v>0</v>
      </c>
      <c r="D4389">
        <v>8012.54</v>
      </c>
      <c r="E4389" t="s">
        <v>30</v>
      </c>
    </row>
    <row r="4390" spans="1:13" x14ac:dyDescent="0.2">
      <c r="A4390" t="s">
        <v>0</v>
      </c>
    </row>
    <row r="4391" spans="1:13" x14ac:dyDescent="0.2">
      <c r="B4391" t="s">
        <v>1</v>
      </c>
      <c r="C4391" t="s">
        <v>2</v>
      </c>
      <c r="D4391" t="s">
        <v>3</v>
      </c>
      <c r="E4391" t="s">
        <v>4</v>
      </c>
      <c r="F4391" t="s">
        <v>5</v>
      </c>
      <c r="G4391" t="s">
        <v>6</v>
      </c>
    </row>
    <row r="4392" spans="1:13" x14ac:dyDescent="0.2">
      <c r="B4392" t="b">
        <v>0</v>
      </c>
      <c r="C4392" t="s">
        <v>103</v>
      </c>
      <c r="D4392" t="s">
        <v>326</v>
      </c>
      <c r="E4392" t="s">
        <v>0</v>
      </c>
      <c r="G4392" t="s">
        <v>327</v>
      </c>
    </row>
    <row r="4393" spans="1:13" x14ac:dyDescent="0.2">
      <c r="B4393" t="s">
        <v>11</v>
      </c>
    </row>
    <row r="4394" spans="1:13" x14ac:dyDescent="0.2">
      <c r="B4394" t="s">
        <v>12</v>
      </c>
      <c r="C4394" t="s">
        <v>13</v>
      </c>
      <c r="D4394" t="s">
        <v>14</v>
      </c>
      <c r="E4394" t="s">
        <v>15</v>
      </c>
      <c r="F4394" t="s">
        <v>16</v>
      </c>
      <c r="G4394" t="s">
        <v>17</v>
      </c>
      <c r="H4394" t="s">
        <v>18</v>
      </c>
      <c r="I4394" t="s">
        <v>19</v>
      </c>
      <c r="J4394" t="s">
        <v>20</v>
      </c>
      <c r="K4394" t="s">
        <v>21</v>
      </c>
      <c r="L4394" t="s">
        <v>22</v>
      </c>
      <c r="M4394" t="s">
        <v>23</v>
      </c>
    </row>
    <row r="4395" spans="1:13" x14ac:dyDescent="0.2">
      <c r="B4395" t="s">
        <v>24</v>
      </c>
      <c r="C4395">
        <v>59</v>
      </c>
      <c r="E4395" t="s">
        <v>25</v>
      </c>
      <c r="F4395">
        <v>25706.959999999999</v>
      </c>
      <c r="G4395">
        <v>2.4</v>
      </c>
      <c r="H4395">
        <v>8.0000000000000002E-3</v>
      </c>
      <c r="I4395" t="s">
        <v>26</v>
      </c>
      <c r="J4395">
        <v>2.4</v>
      </c>
      <c r="K4395">
        <v>0.1</v>
      </c>
      <c r="L4395">
        <v>7</v>
      </c>
    </row>
    <row r="4396" spans="1:13" x14ac:dyDescent="0.2">
      <c r="C4396" t="s">
        <v>27</v>
      </c>
    </row>
    <row r="4397" spans="1:13" x14ac:dyDescent="0.2">
      <c r="C4397" t="s">
        <v>28</v>
      </c>
      <c r="D4397" t="s">
        <v>16</v>
      </c>
      <c r="E4397" t="s">
        <v>29</v>
      </c>
      <c r="F4397" t="s">
        <v>18</v>
      </c>
    </row>
    <row r="4398" spans="1:13" x14ac:dyDescent="0.2">
      <c r="C4398" t="b">
        <v>0</v>
      </c>
      <c r="D4398">
        <v>25664.32</v>
      </c>
      <c r="E4398" t="s">
        <v>30</v>
      </c>
      <c r="F4398">
        <v>8.0000000000000002E-3</v>
      </c>
    </row>
    <row r="4399" spans="1:13" x14ac:dyDescent="0.2">
      <c r="C4399" t="b">
        <v>0</v>
      </c>
      <c r="D4399">
        <v>25183.24</v>
      </c>
      <c r="E4399" t="s">
        <v>30</v>
      </c>
      <c r="F4399">
        <v>8.0000000000000002E-3</v>
      </c>
    </row>
    <row r="4400" spans="1:13" x14ac:dyDescent="0.2">
      <c r="C4400" t="b">
        <v>0</v>
      </c>
      <c r="D4400">
        <v>26415.23</v>
      </c>
      <c r="E4400" t="s">
        <v>30</v>
      </c>
      <c r="F4400">
        <v>8.0000000000000002E-3</v>
      </c>
    </row>
    <row r="4401" spans="2:13" x14ac:dyDescent="0.2">
      <c r="C4401" t="b">
        <v>0</v>
      </c>
      <c r="D4401">
        <v>25032.81</v>
      </c>
      <c r="E4401" t="s">
        <v>30</v>
      </c>
      <c r="F4401">
        <v>8.0000000000000002E-3</v>
      </c>
    </row>
    <row r="4402" spans="2:13" x14ac:dyDescent="0.2">
      <c r="C4402" t="b">
        <v>0</v>
      </c>
      <c r="D4402">
        <v>25553.78</v>
      </c>
      <c r="E4402" t="s">
        <v>30</v>
      </c>
      <c r="F4402">
        <v>8.0000000000000002E-3</v>
      </c>
    </row>
    <row r="4403" spans="2:13" x14ac:dyDescent="0.2">
      <c r="C4403" t="b">
        <v>0</v>
      </c>
      <c r="D4403">
        <v>25453.5</v>
      </c>
      <c r="E4403" t="s">
        <v>30</v>
      </c>
      <c r="F4403">
        <v>8.0000000000000002E-3</v>
      </c>
    </row>
    <row r="4404" spans="2:13" x14ac:dyDescent="0.2">
      <c r="C4404" t="b">
        <v>0</v>
      </c>
      <c r="D4404">
        <v>26645.86</v>
      </c>
      <c r="E4404" t="s">
        <v>30</v>
      </c>
      <c r="F4404">
        <v>8.0000000000000002E-3</v>
      </c>
    </row>
    <row r="4405" spans="2:13" x14ac:dyDescent="0.2">
      <c r="B4405" t="s">
        <v>11</v>
      </c>
    </row>
    <row r="4406" spans="2:13" x14ac:dyDescent="0.2">
      <c r="B4406" t="s">
        <v>12</v>
      </c>
      <c r="C4406" t="s">
        <v>13</v>
      </c>
      <c r="D4406" t="s">
        <v>14</v>
      </c>
      <c r="E4406" t="s">
        <v>15</v>
      </c>
      <c r="F4406" t="s">
        <v>16</v>
      </c>
      <c r="G4406" t="s">
        <v>17</v>
      </c>
      <c r="H4406" t="s">
        <v>18</v>
      </c>
      <c r="I4406" t="s">
        <v>19</v>
      </c>
      <c r="J4406" t="s">
        <v>20</v>
      </c>
      <c r="K4406" t="s">
        <v>21</v>
      </c>
      <c r="L4406" t="s">
        <v>22</v>
      </c>
      <c r="M4406" t="s">
        <v>23</v>
      </c>
    </row>
    <row r="4407" spans="2:13" x14ac:dyDescent="0.2">
      <c r="B4407" t="s">
        <v>31</v>
      </c>
      <c r="C4407">
        <v>45</v>
      </c>
      <c r="E4407" t="s">
        <v>25</v>
      </c>
      <c r="F4407">
        <v>1284.3900000000001</v>
      </c>
      <c r="G4407">
        <v>8.8000000000000007</v>
      </c>
      <c r="K4407">
        <v>0.1</v>
      </c>
      <c r="L4407">
        <v>7</v>
      </c>
      <c r="M4407">
        <v>99</v>
      </c>
    </row>
    <row r="4408" spans="2:13" x14ac:dyDescent="0.2">
      <c r="C4408" t="s">
        <v>27</v>
      </c>
    </row>
    <row r="4409" spans="2:13" x14ac:dyDescent="0.2">
      <c r="C4409" t="s">
        <v>28</v>
      </c>
      <c r="D4409" t="s">
        <v>16</v>
      </c>
      <c r="E4409" t="s">
        <v>29</v>
      </c>
      <c r="F4409" t="s">
        <v>18</v>
      </c>
    </row>
    <row r="4410" spans="2:13" x14ac:dyDescent="0.2">
      <c r="C4410" t="b">
        <v>0</v>
      </c>
      <c r="D4410">
        <v>1180.0899999999999</v>
      </c>
      <c r="E4410" t="s">
        <v>30</v>
      </c>
    </row>
    <row r="4411" spans="2:13" x14ac:dyDescent="0.2">
      <c r="C4411" t="b">
        <v>0</v>
      </c>
      <c r="D4411">
        <v>1170.0899999999999</v>
      </c>
      <c r="E4411" t="s">
        <v>30</v>
      </c>
    </row>
    <row r="4412" spans="2:13" x14ac:dyDescent="0.2">
      <c r="C4412" t="b">
        <v>0</v>
      </c>
      <c r="D4412">
        <v>1300.1099999999999</v>
      </c>
      <c r="E4412" t="s">
        <v>30</v>
      </c>
    </row>
    <row r="4413" spans="2:13" x14ac:dyDescent="0.2">
      <c r="C4413" t="b">
        <v>0</v>
      </c>
      <c r="D4413">
        <v>1230.0899999999999</v>
      </c>
      <c r="E4413" t="s">
        <v>30</v>
      </c>
    </row>
    <row r="4414" spans="2:13" x14ac:dyDescent="0.2">
      <c r="C4414" t="b">
        <v>0</v>
      </c>
      <c r="D4414">
        <v>1400.11</v>
      </c>
      <c r="E4414" t="s">
        <v>30</v>
      </c>
    </row>
    <row r="4415" spans="2:13" x14ac:dyDescent="0.2">
      <c r="C4415" t="b">
        <v>0</v>
      </c>
      <c r="D4415">
        <v>1240.0999999999999</v>
      </c>
      <c r="E4415" t="s">
        <v>30</v>
      </c>
    </row>
    <row r="4416" spans="2:13" x14ac:dyDescent="0.2">
      <c r="C4416" t="b">
        <v>0</v>
      </c>
      <c r="D4416">
        <v>1470.12</v>
      </c>
      <c r="E4416" t="s">
        <v>30</v>
      </c>
    </row>
    <row r="4417" spans="2:13" x14ac:dyDescent="0.2">
      <c r="B4417" t="s">
        <v>11</v>
      </c>
    </row>
    <row r="4418" spans="2:13" x14ac:dyDescent="0.2">
      <c r="B4418" t="s">
        <v>12</v>
      </c>
      <c r="C4418" t="s">
        <v>13</v>
      </c>
      <c r="D4418" t="s">
        <v>14</v>
      </c>
      <c r="E4418" t="s">
        <v>15</v>
      </c>
      <c r="F4418" t="s">
        <v>16</v>
      </c>
      <c r="G4418" t="s">
        <v>17</v>
      </c>
      <c r="H4418" t="s">
        <v>18</v>
      </c>
      <c r="I4418" t="s">
        <v>19</v>
      </c>
      <c r="J4418" t="s">
        <v>20</v>
      </c>
      <c r="K4418" t="s">
        <v>21</v>
      </c>
      <c r="L4418" t="s">
        <v>22</v>
      </c>
      <c r="M4418" t="s">
        <v>23</v>
      </c>
    </row>
    <row r="4419" spans="2:13" x14ac:dyDescent="0.2">
      <c r="B4419" t="s">
        <v>32</v>
      </c>
      <c r="C4419">
        <v>72</v>
      </c>
      <c r="E4419" t="s">
        <v>25</v>
      </c>
      <c r="F4419">
        <v>1381.55</v>
      </c>
      <c r="G4419">
        <v>11.4</v>
      </c>
      <c r="K4419">
        <v>0.1</v>
      </c>
      <c r="L4419">
        <v>7</v>
      </c>
      <c r="M4419">
        <v>100.1</v>
      </c>
    </row>
    <row r="4420" spans="2:13" x14ac:dyDescent="0.2">
      <c r="C4420" t="s">
        <v>27</v>
      </c>
    </row>
    <row r="4421" spans="2:13" x14ac:dyDescent="0.2">
      <c r="C4421" t="s">
        <v>28</v>
      </c>
      <c r="D4421" t="s">
        <v>16</v>
      </c>
      <c r="E4421" t="s">
        <v>29</v>
      </c>
      <c r="F4421" t="s">
        <v>18</v>
      </c>
    </row>
    <row r="4422" spans="2:13" x14ac:dyDescent="0.2">
      <c r="C4422" t="b">
        <v>0</v>
      </c>
      <c r="D4422">
        <v>1250.0999999999999</v>
      </c>
      <c r="E4422" t="s">
        <v>30</v>
      </c>
    </row>
    <row r="4423" spans="2:13" x14ac:dyDescent="0.2">
      <c r="C4423" t="b">
        <v>0</v>
      </c>
      <c r="D4423">
        <v>1220.0999999999999</v>
      </c>
      <c r="E4423" t="s">
        <v>30</v>
      </c>
    </row>
    <row r="4424" spans="2:13" x14ac:dyDescent="0.2">
      <c r="C4424" t="b">
        <v>0</v>
      </c>
      <c r="D4424">
        <v>1240.0999999999999</v>
      </c>
      <c r="E4424" t="s">
        <v>30</v>
      </c>
    </row>
    <row r="4425" spans="2:13" x14ac:dyDescent="0.2">
      <c r="C4425" t="b">
        <v>0</v>
      </c>
      <c r="D4425">
        <v>1540.14</v>
      </c>
      <c r="E4425" t="s">
        <v>30</v>
      </c>
    </row>
    <row r="4426" spans="2:13" x14ac:dyDescent="0.2">
      <c r="C4426" t="b">
        <v>0</v>
      </c>
      <c r="D4426">
        <v>1350.11</v>
      </c>
      <c r="E4426" t="s">
        <v>30</v>
      </c>
    </row>
    <row r="4427" spans="2:13" x14ac:dyDescent="0.2">
      <c r="C4427" t="b">
        <v>0</v>
      </c>
      <c r="D4427">
        <v>1460.13</v>
      </c>
      <c r="E4427" t="s">
        <v>30</v>
      </c>
    </row>
    <row r="4428" spans="2:13" x14ac:dyDescent="0.2">
      <c r="C4428" t="b">
        <v>0</v>
      </c>
      <c r="D4428">
        <v>1610.15</v>
      </c>
      <c r="E4428" t="s">
        <v>30</v>
      </c>
    </row>
    <row r="4429" spans="2:13" x14ac:dyDescent="0.2">
      <c r="B4429" t="s">
        <v>11</v>
      </c>
    </row>
    <row r="4430" spans="2:13" x14ac:dyDescent="0.2">
      <c r="B4430" t="s">
        <v>12</v>
      </c>
      <c r="C4430" t="s">
        <v>13</v>
      </c>
      <c r="D4430" t="s">
        <v>14</v>
      </c>
      <c r="E4430" t="s">
        <v>15</v>
      </c>
      <c r="F4430" t="s">
        <v>16</v>
      </c>
      <c r="G4430" t="s">
        <v>17</v>
      </c>
      <c r="H4430" t="s">
        <v>18</v>
      </c>
      <c r="I4430" t="s">
        <v>19</v>
      </c>
      <c r="J4430" t="s">
        <v>20</v>
      </c>
      <c r="K4430" t="s">
        <v>21</v>
      </c>
      <c r="L4430" t="s">
        <v>22</v>
      </c>
      <c r="M4430" t="s">
        <v>23</v>
      </c>
    </row>
    <row r="4431" spans="2:13" x14ac:dyDescent="0.2">
      <c r="B4431" t="s">
        <v>33</v>
      </c>
      <c r="C4431">
        <v>89</v>
      </c>
      <c r="E4431" t="s">
        <v>25</v>
      </c>
      <c r="F4431">
        <v>7769.6</v>
      </c>
      <c r="G4431">
        <v>3.9</v>
      </c>
      <c r="K4431">
        <v>0.1</v>
      </c>
      <c r="L4431">
        <v>7</v>
      </c>
      <c r="M4431">
        <v>103.2</v>
      </c>
    </row>
    <row r="4432" spans="2:13" x14ac:dyDescent="0.2">
      <c r="C4432" t="s">
        <v>27</v>
      </c>
    </row>
    <row r="4433" spans="1:13" x14ac:dyDescent="0.2">
      <c r="C4433" t="s">
        <v>28</v>
      </c>
      <c r="D4433" t="s">
        <v>16</v>
      </c>
      <c r="E4433" t="s">
        <v>29</v>
      </c>
      <c r="F4433" t="s">
        <v>18</v>
      </c>
    </row>
    <row r="4434" spans="1:13" x14ac:dyDescent="0.2">
      <c r="C4434" t="b">
        <v>0</v>
      </c>
      <c r="D4434">
        <v>7452.26</v>
      </c>
      <c r="E4434" t="s">
        <v>30</v>
      </c>
    </row>
    <row r="4435" spans="1:13" x14ac:dyDescent="0.2">
      <c r="C4435" t="b">
        <v>0</v>
      </c>
      <c r="D4435">
        <v>7322.12</v>
      </c>
      <c r="E4435" t="s">
        <v>30</v>
      </c>
    </row>
    <row r="4436" spans="1:13" x14ac:dyDescent="0.2">
      <c r="C4436" t="b">
        <v>0</v>
      </c>
      <c r="D4436">
        <v>7772.45</v>
      </c>
      <c r="E4436" t="s">
        <v>30</v>
      </c>
    </row>
    <row r="4437" spans="1:13" x14ac:dyDescent="0.2">
      <c r="C4437" t="b">
        <v>0</v>
      </c>
      <c r="D4437">
        <v>8162.58</v>
      </c>
      <c r="E4437" t="s">
        <v>30</v>
      </c>
    </row>
    <row r="4438" spans="1:13" x14ac:dyDescent="0.2">
      <c r="C4438" t="b">
        <v>0</v>
      </c>
      <c r="D4438">
        <v>7792.51</v>
      </c>
      <c r="E4438" t="s">
        <v>30</v>
      </c>
    </row>
    <row r="4439" spans="1:13" x14ac:dyDescent="0.2">
      <c r="C4439" t="b">
        <v>0</v>
      </c>
      <c r="D4439">
        <v>8072.67</v>
      </c>
      <c r="E4439" t="s">
        <v>30</v>
      </c>
    </row>
    <row r="4440" spans="1:13" x14ac:dyDescent="0.2">
      <c r="C4440" t="b">
        <v>0</v>
      </c>
      <c r="D4440">
        <v>7812.59</v>
      </c>
      <c r="E4440" t="s">
        <v>30</v>
      </c>
    </row>
    <row r="4441" spans="1:13" x14ac:dyDescent="0.2">
      <c r="A4441" t="s">
        <v>0</v>
      </c>
    </row>
    <row r="4442" spans="1:13" x14ac:dyDescent="0.2">
      <c r="B4442" t="s">
        <v>1</v>
      </c>
      <c r="C4442" t="s">
        <v>2</v>
      </c>
      <c r="D4442" t="s">
        <v>3</v>
      </c>
      <c r="E4442" t="s">
        <v>4</v>
      </c>
      <c r="F4442" t="s">
        <v>5</v>
      </c>
      <c r="G4442" t="s">
        <v>6</v>
      </c>
    </row>
    <row r="4443" spans="1:13" x14ac:dyDescent="0.2">
      <c r="A4443" t="s">
        <v>328</v>
      </c>
      <c r="B4443" t="b">
        <v>0</v>
      </c>
      <c r="C4443" t="s">
        <v>107</v>
      </c>
      <c r="D4443" t="s">
        <v>329</v>
      </c>
      <c r="E4443" t="s">
        <v>0</v>
      </c>
      <c r="G4443" t="s">
        <v>330</v>
      </c>
    </row>
    <row r="4444" spans="1:13" x14ac:dyDescent="0.2">
      <c r="B4444" t="s">
        <v>11</v>
      </c>
    </row>
    <row r="4445" spans="1:13" x14ac:dyDescent="0.2">
      <c r="B4445" t="s">
        <v>12</v>
      </c>
      <c r="C4445" t="s">
        <v>13</v>
      </c>
      <c r="D4445" t="s">
        <v>14</v>
      </c>
      <c r="E4445" t="s">
        <v>15</v>
      </c>
      <c r="F4445" t="s">
        <v>16</v>
      </c>
      <c r="G4445" t="s">
        <v>17</v>
      </c>
      <c r="H4445" t="s">
        <v>18</v>
      </c>
      <c r="I4445" t="s">
        <v>19</v>
      </c>
      <c r="J4445" t="s">
        <v>20</v>
      </c>
      <c r="K4445" t="s">
        <v>21</v>
      </c>
      <c r="L4445" t="s">
        <v>22</v>
      </c>
      <c r="M4445" t="s">
        <v>23</v>
      </c>
    </row>
    <row r="4446" spans="1:13" x14ac:dyDescent="0.2">
      <c r="B4446" t="s">
        <v>24</v>
      </c>
      <c r="C4446">
        <v>59</v>
      </c>
      <c r="E4446" t="s">
        <v>25</v>
      </c>
      <c r="F4446">
        <v>28157.58</v>
      </c>
      <c r="G4446">
        <v>5.6</v>
      </c>
      <c r="H4446">
        <v>8.9999999999999993E-3</v>
      </c>
      <c r="I4446" t="s">
        <v>26</v>
      </c>
      <c r="J4446">
        <v>5.6</v>
      </c>
      <c r="K4446">
        <v>0.1</v>
      </c>
      <c r="L4446">
        <v>7</v>
      </c>
    </row>
    <row r="4447" spans="1:13" x14ac:dyDescent="0.2">
      <c r="C4447" t="s">
        <v>27</v>
      </c>
    </row>
    <row r="4448" spans="1:13" x14ac:dyDescent="0.2">
      <c r="C4448" t="s">
        <v>28</v>
      </c>
      <c r="D4448" t="s">
        <v>16</v>
      </c>
      <c r="E4448" t="s">
        <v>29</v>
      </c>
      <c r="F4448" t="s">
        <v>18</v>
      </c>
    </row>
    <row r="4449" spans="2:13" x14ac:dyDescent="0.2">
      <c r="C4449" t="b">
        <v>0</v>
      </c>
      <c r="D4449">
        <v>30975.68</v>
      </c>
      <c r="E4449" t="s">
        <v>30</v>
      </c>
      <c r="F4449">
        <v>0.01</v>
      </c>
    </row>
    <row r="4450" spans="2:13" x14ac:dyDescent="0.2">
      <c r="C4450" t="b">
        <v>0</v>
      </c>
      <c r="D4450">
        <v>29701.98</v>
      </c>
      <c r="E4450" t="s">
        <v>30</v>
      </c>
      <c r="F4450">
        <v>8.9999999999999993E-3</v>
      </c>
    </row>
    <row r="4451" spans="2:13" x14ac:dyDescent="0.2">
      <c r="C4451" t="b">
        <v>0</v>
      </c>
      <c r="D4451">
        <v>27968.38</v>
      </c>
      <c r="E4451" t="s">
        <v>30</v>
      </c>
      <c r="F4451">
        <v>8.9999999999999993E-3</v>
      </c>
    </row>
    <row r="4452" spans="2:13" x14ac:dyDescent="0.2">
      <c r="C4452" t="b">
        <v>0</v>
      </c>
      <c r="D4452">
        <v>27096.7</v>
      </c>
      <c r="E4452" t="s">
        <v>30</v>
      </c>
      <c r="F4452">
        <v>8.0000000000000002E-3</v>
      </c>
    </row>
    <row r="4453" spans="2:13" x14ac:dyDescent="0.2">
      <c r="C4453" t="b">
        <v>0</v>
      </c>
      <c r="D4453">
        <v>27096.79</v>
      </c>
      <c r="E4453" t="s">
        <v>30</v>
      </c>
      <c r="F4453">
        <v>8.0000000000000002E-3</v>
      </c>
    </row>
    <row r="4454" spans="2:13" x14ac:dyDescent="0.2">
      <c r="C4454" t="b">
        <v>0</v>
      </c>
      <c r="D4454">
        <v>27156.87</v>
      </c>
      <c r="E4454" t="s">
        <v>30</v>
      </c>
      <c r="F4454">
        <v>8.0000000000000002E-3</v>
      </c>
    </row>
    <row r="4455" spans="2:13" x14ac:dyDescent="0.2">
      <c r="C4455" t="b">
        <v>0</v>
      </c>
      <c r="D4455">
        <v>27106.66</v>
      </c>
      <c r="E4455" t="s">
        <v>30</v>
      </c>
      <c r="F4455">
        <v>8.0000000000000002E-3</v>
      </c>
    </row>
    <row r="4456" spans="2:13" x14ac:dyDescent="0.2">
      <c r="B4456" t="s">
        <v>11</v>
      </c>
    </row>
    <row r="4457" spans="2:13" x14ac:dyDescent="0.2">
      <c r="B4457" t="s">
        <v>12</v>
      </c>
      <c r="C4457" t="s">
        <v>13</v>
      </c>
      <c r="D4457" t="s">
        <v>14</v>
      </c>
      <c r="E4457" t="s">
        <v>15</v>
      </c>
      <c r="F4457" t="s">
        <v>16</v>
      </c>
      <c r="G4457" t="s">
        <v>17</v>
      </c>
      <c r="H4457" t="s">
        <v>18</v>
      </c>
      <c r="I4457" t="s">
        <v>19</v>
      </c>
      <c r="J4457" t="s">
        <v>20</v>
      </c>
      <c r="K4457" t="s">
        <v>21</v>
      </c>
      <c r="L4457" t="s">
        <v>22</v>
      </c>
      <c r="M4457" t="s">
        <v>23</v>
      </c>
    </row>
    <row r="4458" spans="2:13" x14ac:dyDescent="0.2">
      <c r="B4458" t="s">
        <v>31</v>
      </c>
      <c r="C4458">
        <v>45</v>
      </c>
      <c r="E4458" t="s">
        <v>25</v>
      </c>
      <c r="F4458">
        <v>1355.83</v>
      </c>
      <c r="G4458">
        <v>7.2</v>
      </c>
      <c r="K4458">
        <v>0.1</v>
      </c>
      <c r="L4458">
        <v>7</v>
      </c>
      <c r="M4458">
        <v>104.5</v>
      </c>
    </row>
    <row r="4459" spans="2:13" x14ac:dyDescent="0.2">
      <c r="C4459" t="s">
        <v>27</v>
      </c>
    </row>
    <row r="4460" spans="2:13" x14ac:dyDescent="0.2">
      <c r="C4460" t="s">
        <v>28</v>
      </c>
      <c r="D4460" t="s">
        <v>16</v>
      </c>
      <c r="E4460" t="s">
        <v>29</v>
      </c>
      <c r="F4460" t="s">
        <v>18</v>
      </c>
    </row>
    <row r="4461" spans="2:13" x14ac:dyDescent="0.2">
      <c r="C4461" t="b">
        <v>0</v>
      </c>
      <c r="D4461">
        <v>1220.0999999999999</v>
      </c>
      <c r="E4461" t="s">
        <v>30</v>
      </c>
    </row>
    <row r="4462" spans="2:13" x14ac:dyDescent="0.2">
      <c r="C4462" t="b">
        <v>0</v>
      </c>
      <c r="D4462">
        <v>1310.1199999999999</v>
      </c>
      <c r="E4462" t="s">
        <v>30</v>
      </c>
    </row>
    <row r="4463" spans="2:13" x14ac:dyDescent="0.2">
      <c r="C4463" t="b">
        <v>0</v>
      </c>
      <c r="D4463">
        <v>1400.11</v>
      </c>
      <c r="E4463" t="s">
        <v>30</v>
      </c>
    </row>
    <row r="4464" spans="2:13" x14ac:dyDescent="0.2">
      <c r="C4464" t="b">
        <v>0</v>
      </c>
      <c r="D4464">
        <v>1340.12</v>
      </c>
      <c r="E4464" t="s">
        <v>30</v>
      </c>
    </row>
    <row r="4465" spans="2:13" x14ac:dyDescent="0.2">
      <c r="C4465" t="b">
        <v>0</v>
      </c>
      <c r="D4465">
        <v>1410.12</v>
      </c>
      <c r="E4465" t="s">
        <v>30</v>
      </c>
    </row>
    <row r="4466" spans="2:13" x14ac:dyDescent="0.2">
      <c r="C4466" t="b">
        <v>0</v>
      </c>
      <c r="D4466">
        <v>1520.14</v>
      </c>
      <c r="E4466" t="s">
        <v>30</v>
      </c>
    </row>
    <row r="4467" spans="2:13" x14ac:dyDescent="0.2">
      <c r="C4467" t="b">
        <v>0</v>
      </c>
      <c r="D4467">
        <v>1290.0999999999999</v>
      </c>
      <c r="E4467" t="s">
        <v>30</v>
      </c>
    </row>
    <row r="4468" spans="2:13" x14ac:dyDescent="0.2">
      <c r="B4468" t="s">
        <v>11</v>
      </c>
    </row>
    <row r="4469" spans="2:13" x14ac:dyDescent="0.2">
      <c r="B4469" t="s">
        <v>12</v>
      </c>
      <c r="C4469" t="s">
        <v>13</v>
      </c>
      <c r="D4469" t="s">
        <v>14</v>
      </c>
      <c r="E4469" t="s">
        <v>15</v>
      </c>
      <c r="F4469" t="s">
        <v>16</v>
      </c>
      <c r="G4469" t="s">
        <v>17</v>
      </c>
      <c r="H4469" t="s">
        <v>18</v>
      </c>
      <c r="I4469" t="s">
        <v>19</v>
      </c>
      <c r="J4469" t="s">
        <v>20</v>
      </c>
      <c r="K4469" t="s">
        <v>21</v>
      </c>
      <c r="L4469" t="s">
        <v>22</v>
      </c>
      <c r="M4469" t="s">
        <v>23</v>
      </c>
    </row>
    <row r="4470" spans="2:13" x14ac:dyDescent="0.2">
      <c r="B4470" t="s">
        <v>32</v>
      </c>
      <c r="C4470">
        <v>72</v>
      </c>
      <c r="E4470" t="s">
        <v>25</v>
      </c>
      <c r="F4470">
        <v>1410.12</v>
      </c>
      <c r="G4470">
        <v>5.8</v>
      </c>
      <c r="K4470">
        <v>0.1</v>
      </c>
      <c r="L4470">
        <v>7</v>
      </c>
      <c r="M4470">
        <v>102.2</v>
      </c>
    </row>
    <row r="4471" spans="2:13" x14ac:dyDescent="0.2">
      <c r="C4471" t="s">
        <v>27</v>
      </c>
    </row>
    <row r="4472" spans="2:13" x14ac:dyDescent="0.2">
      <c r="C4472" t="s">
        <v>28</v>
      </c>
      <c r="D4472" t="s">
        <v>16</v>
      </c>
      <c r="E4472" t="s">
        <v>29</v>
      </c>
      <c r="F4472" t="s">
        <v>18</v>
      </c>
    </row>
    <row r="4473" spans="2:13" x14ac:dyDescent="0.2">
      <c r="C4473" t="b">
        <v>0</v>
      </c>
      <c r="D4473">
        <v>1370.11</v>
      </c>
      <c r="E4473" t="s">
        <v>30</v>
      </c>
    </row>
    <row r="4474" spans="2:13" x14ac:dyDescent="0.2">
      <c r="C4474" t="b">
        <v>0</v>
      </c>
      <c r="D4474">
        <v>1290.0999999999999</v>
      </c>
      <c r="E4474" t="s">
        <v>30</v>
      </c>
    </row>
    <row r="4475" spans="2:13" x14ac:dyDescent="0.2">
      <c r="C4475" t="b">
        <v>0</v>
      </c>
      <c r="D4475">
        <v>1350.11</v>
      </c>
      <c r="E4475" t="s">
        <v>30</v>
      </c>
    </row>
    <row r="4476" spans="2:13" x14ac:dyDescent="0.2">
      <c r="C4476" t="b">
        <v>0</v>
      </c>
      <c r="D4476">
        <v>1530.13</v>
      </c>
      <c r="E4476" t="s">
        <v>30</v>
      </c>
    </row>
    <row r="4477" spans="2:13" x14ac:dyDescent="0.2">
      <c r="C4477" t="b">
        <v>0</v>
      </c>
      <c r="D4477">
        <v>1450.12</v>
      </c>
      <c r="E4477" t="s">
        <v>30</v>
      </c>
    </row>
    <row r="4478" spans="2:13" x14ac:dyDescent="0.2">
      <c r="C4478" t="b">
        <v>0</v>
      </c>
      <c r="D4478">
        <v>1400.13</v>
      </c>
      <c r="E4478" t="s">
        <v>30</v>
      </c>
    </row>
    <row r="4479" spans="2:13" x14ac:dyDescent="0.2">
      <c r="C4479" t="b">
        <v>0</v>
      </c>
      <c r="D4479">
        <v>1480.13</v>
      </c>
      <c r="E4479" t="s">
        <v>30</v>
      </c>
    </row>
    <row r="4480" spans="2:13" x14ac:dyDescent="0.2">
      <c r="B4480" t="s">
        <v>11</v>
      </c>
    </row>
    <row r="4481" spans="1:13" x14ac:dyDescent="0.2">
      <c r="B4481" t="s">
        <v>12</v>
      </c>
      <c r="C4481" t="s">
        <v>13</v>
      </c>
      <c r="D4481" t="s">
        <v>14</v>
      </c>
      <c r="E4481" t="s">
        <v>15</v>
      </c>
      <c r="F4481" t="s">
        <v>16</v>
      </c>
      <c r="G4481" t="s">
        <v>17</v>
      </c>
      <c r="H4481" t="s">
        <v>18</v>
      </c>
      <c r="I4481" t="s">
        <v>19</v>
      </c>
      <c r="J4481" t="s">
        <v>20</v>
      </c>
      <c r="K4481" t="s">
        <v>21</v>
      </c>
      <c r="L4481" t="s">
        <v>22</v>
      </c>
      <c r="M4481" t="s">
        <v>23</v>
      </c>
    </row>
    <row r="4482" spans="1:13" x14ac:dyDescent="0.2">
      <c r="B4482" t="s">
        <v>33</v>
      </c>
      <c r="C4482">
        <v>89</v>
      </c>
      <c r="E4482" t="s">
        <v>25</v>
      </c>
      <c r="F4482">
        <v>8430.02</v>
      </c>
      <c r="G4482">
        <v>3</v>
      </c>
      <c r="K4482">
        <v>0.1</v>
      </c>
      <c r="L4482">
        <v>7</v>
      </c>
      <c r="M4482">
        <v>111.9</v>
      </c>
    </row>
    <row r="4483" spans="1:13" x14ac:dyDescent="0.2">
      <c r="C4483" t="s">
        <v>27</v>
      </c>
    </row>
    <row r="4484" spans="1:13" x14ac:dyDescent="0.2">
      <c r="C4484" t="s">
        <v>28</v>
      </c>
      <c r="D4484" t="s">
        <v>16</v>
      </c>
      <c r="E4484" t="s">
        <v>29</v>
      </c>
      <c r="F4484" t="s">
        <v>18</v>
      </c>
    </row>
    <row r="4485" spans="1:13" x14ac:dyDescent="0.2">
      <c r="C4485" t="b">
        <v>0</v>
      </c>
      <c r="D4485">
        <v>8132.66</v>
      </c>
      <c r="E4485" t="s">
        <v>30</v>
      </c>
    </row>
    <row r="4486" spans="1:13" x14ac:dyDescent="0.2">
      <c r="C4486" t="b">
        <v>0</v>
      </c>
      <c r="D4486">
        <v>8092.67</v>
      </c>
      <c r="E4486" t="s">
        <v>30</v>
      </c>
    </row>
    <row r="4487" spans="1:13" x14ac:dyDescent="0.2">
      <c r="C4487" t="b">
        <v>0</v>
      </c>
      <c r="D4487">
        <v>8472.8799999999992</v>
      </c>
      <c r="E4487" t="s">
        <v>30</v>
      </c>
    </row>
    <row r="4488" spans="1:13" x14ac:dyDescent="0.2">
      <c r="C4488" t="b">
        <v>0</v>
      </c>
      <c r="D4488">
        <v>8442.83</v>
      </c>
      <c r="E4488" t="s">
        <v>30</v>
      </c>
    </row>
    <row r="4489" spans="1:13" x14ac:dyDescent="0.2">
      <c r="C4489" t="b">
        <v>0</v>
      </c>
      <c r="D4489">
        <v>8412.9500000000007</v>
      </c>
      <c r="E4489" t="s">
        <v>30</v>
      </c>
    </row>
    <row r="4490" spans="1:13" x14ac:dyDescent="0.2">
      <c r="C4490" t="b">
        <v>0</v>
      </c>
      <c r="D4490">
        <v>8673.09</v>
      </c>
      <c r="E4490" t="s">
        <v>30</v>
      </c>
    </row>
    <row r="4491" spans="1:13" x14ac:dyDescent="0.2">
      <c r="C4491" t="b">
        <v>0</v>
      </c>
      <c r="D4491">
        <v>8783.08</v>
      </c>
      <c r="E4491" t="s">
        <v>30</v>
      </c>
    </row>
    <row r="4492" spans="1:13" x14ac:dyDescent="0.2">
      <c r="A4492" t="s">
        <v>0</v>
      </c>
    </row>
    <row r="4493" spans="1:13" x14ac:dyDescent="0.2">
      <c r="B4493" t="s">
        <v>1</v>
      </c>
      <c r="C4493" t="s">
        <v>2</v>
      </c>
      <c r="D4493" t="s">
        <v>3</v>
      </c>
      <c r="E4493" t="s">
        <v>4</v>
      </c>
      <c r="F4493" t="s">
        <v>5</v>
      </c>
      <c r="G4493" t="s">
        <v>6</v>
      </c>
    </row>
    <row r="4494" spans="1:13" x14ac:dyDescent="0.2">
      <c r="B4494" t="b">
        <v>0</v>
      </c>
      <c r="C4494" t="s">
        <v>110</v>
      </c>
      <c r="D4494" t="s">
        <v>331</v>
      </c>
      <c r="E4494" t="s">
        <v>0</v>
      </c>
      <c r="G4494" t="s">
        <v>332</v>
      </c>
    </row>
    <row r="4495" spans="1:13" x14ac:dyDescent="0.2">
      <c r="B4495" t="s">
        <v>11</v>
      </c>
    </row>
    <row r="4496" spans="1:13" x14ac:dyDescent="0.2">
      <c r="B4496" t="s">
        <v>12</v>
      </c>
      <c r="C4496" t="s">
        <v>13</v>
      </c>
      <c r="D4496" t="s">
        <v>14</v>
      </c>
      <c r="E4496" t="s">
        <v>15</v>
      </c>
      <c r="F4496" t="s">
        <v>16</v>
      </c>
      <c r="G4496" t="s">
        <v>17</v>
      </c>
      <c r="H4496" t="s">
        <v>18</v>
      </c>
      <c r="I4496" t="s">
        <v>19</v>
      </c>
      <c r="J4496" t="s">
        <v>20</v>
      </c>
      <c r="K4496" t="s">
        <v>21</v>
      </c>
      <c r="L4496" t="s">
        <v>22</v>
      </c>
      <c r="M4496" t="s">
        <v>23</v>
      </c>
    </row>
    <row r="4497" spans="2:13" x14ac:dyDescent="0.2">
      <c r="B4497" t="s">
        <v>24</v>
      </c>
      <c r="C4497">
        <v>59</v>
      </c>
      <c r="E4497" t="s">
        <v>25</v>
      </c>
      <c r="F4497">
        <v>28687.07</v>
      </c>
      <c r="G4497">
        <v>2.1</v>
      </c>
      <c r="H4497">
        <v>8.9999999999999993E-3</v>
      </c>
      <c r="I4497" t="s">
        <v>26</v>
      </c>
      <c r="J4497">
        <v>2.1</v>
      </c>
      <c r="K4497">
        <v>0.1</v>
      </c>
      <c r="L4497">
        <v>7</v>
      </c>
    </row>
    <row r="4498" spans="2:13" x14ac:dyDescent="0.2">
      <c r="C4498" t="s">
        <v>27</v>
      </c>
    </row>
    <row r="4499" spans="2:13" x14ac:dyDescent="0.2">
      <c r="C4499" t="s">
        <v>28</v>
      </c>
      <c r="D4499" t="s">
        <v>16</v>
      </c>
      <c r="E4499" t="s">
        <v>29</v>
      </c>
      <c r="F4499" t="s">
        <v>18</v>
      </c>
    </row>
    <row r="4500" spans="2:13" x14ac:dyDescent="0.2">
      <c r="C4500" t="b">
        <v>0</v>
      </c>
      <c r="D4500">
        <v>28249.13</v>
      </c>
      <c r="E4500" t="s">
        <v>30</v>
      </c>
      <c r="F4500">
        <v>8.9999999999999993E-3</v>
      </c>
    </row>
    <row r="4501" spans="2:13" x14ac:dyDescent="0.2">
      <c r="C4501" t="b">
        <v>0</v>
      </c>
      <c r="D4501">
        <v>29491.82</v>
      </c>
      <c r="E4501" t="s">
        <v>30</v>
      </c>
      <c r="F4501">
        <v>8.9999999999999993E-3</v>
      </c>
    </row>
    <row r="4502" spans="2:13" x14ac:dyDescent="0.2">
      <c r="C4502" t="b">
        <v>0</v>
      </c>
      <c r="D4502">
        <v>29261.16</v>
      </c>
      <c r="E4502" t="s">
        <v>30</v>
      </c>
      <c r="F4502">
        <v>8.9999999999999993E-3</v>
      </c>
    </row>
    <row r="4503" spans="2:13" x14ac:dyDescent="0.2">
      <c r="C4503" t="b">
        <v>0</v>
      </c>
      <c r="D4503">
        <v>29090.53</v>
      </c>
      <c r="E4503" t="s">
        <v>30</v>
      </c>
      <c r="F4503">
        <v>8.9999999999999993E-3</v>
      </c>
    </row>
    <row r="4504" spans="2:13" x14ac:dyDescent="0.2">
      <c r="C4504" t="b">
        <v>0</v>
      </c>
      <c r="D4504">
        <v>28118.66</v>
      </c>
      <c r="E4504" t="s">
        <v>30</v>
      </c>
      <c r="F4504">
        <v>8.9999999999999993E-3</v>
      </c>
    </row>
    <row r="4505" spans="2:13" x14ac:dyDescent="0.2">
      <c r="C4505" t="b">
        <v>0</v>
      </c>
      <c r="D4505">
        <v>27968.35</v>
      </c>
      <c r="E4505" t="s">
        <v>30</v>
      </c>
      <c r="F4505">
        <v>8.9999999999999993E-3</v>
      </c>
    </row>
    <row r="4506" spans="2:13" x14ac:dyDescent="0.2">
      <c r="C4506" t="b">
        <v>0</v>
      </c>
      <c r="D4506">
        <v>28629.83</v>
      </c>
      <c r="E4506" t="s">
        <v>30</v>
      </c>
      <c r="F4506">
        <v>8.9999999999999993E-3</v>
      </c>
    </row>
    <row r="4507" spans="2:13" x14ac:dyDescent="0.2">
      <c r="B4507" t="s">
        <v>11</v>
      </c>
    </row>
    <row r="4508" spans="2:13" x14ac:dyDescent="0.2">
      <c r="B4508" t="s">
        <v>12</v>
      </c>
      <c r="C4508" t="s">
        <v>13</v>
      </c>
      <c r="D4508" t="s">
        <v>14</v>
      </c>
      <c r="E4508" t="s">
        <v>15</v>
      </c>
      <c r="F4508" t="s">
        <v>16</v>
      </c>
      <c r="G4508" t="s">
        <v>17</v>
      </c>
      <c r="H4508" t="s">
        <v>18</v>
      </c>
      <c r="I4508" t="s">
        <v>19</v>
      </c>
      <c r="J4508" t="s">
        <v>20</v>
      </c>
      <c r="K4508" t="s">
        <v>21</v>
      </c>
      <c r="L4508" t="s">
        <v>22</v>
      </c>
      <c r="M4508" t="s">
        <v>23</v>
      </c>
    </row>
    <row r="4509" spans="2:13" x14ac:dyDescent="0.2">
      <c r="B4509" t="s">
        <v>31</v>
      </c>
      <c r="C4509">
        <v>45</v>
      </c>
      <c r="E4509" t="s">
        <v>25</v>
      </c>
      <c r="F4509">
        <v>1318.68</v>
      </c>
      <c r="G4509">
        <v>5.4</v>
      </c>
      <c r="K4509">
        <v>0.1</v>
      </c>
      <c r="L4509">
        <v>7</v>
      </c>
      <c r="M4509">
        <v>101.7</v>
      </c>
    </row>
    <row r="4510" spans="2:13" x14ac:dyDescent="0.2">
      <c r="C4510" t="s">
        <v>27</v>
      </c>
    </row>
    <row r="4511" spans="2:13" x14ac:dyDescent="0.2">
      <c r="C4511" t="s">
        <v>28</v>
      </c>
      <c r="D4511" t="s">
        <v>16</v>
      </c>
      <c r="E4511" t="s">
        <v>29</v>
      </c>
      <c r="F4511" t="s">
        <v>18</v>
      </c>
    </row>
    <row r="4512" spans="2:13" x14ac:dyDescent="0.2">
      <c r="C4512" t="b">
        <v>0</v>
      </c>
      <c r="D4512">
        <v>1300.1099999999999</v>
      </c>
      <c r="E4512" t="s">
        <v>30</v>
      </c>
    </row>
    <row r="4513" spans="2:13" x14ac:dyDescent="0.2">
      <c r="C4513" t="b">
        <v>0</v>
      </c>
      <c r="D4513">
        <v>1280.0999999999999</v>
      </c>
      <c r="E4513" t="s">
        <v>30</v>
      </c>
    </row>
    <row r="4514" spans="2:13" x14ac:dyDescent="0.2">
      <c r="C4514" t="b">
        <v>0</v>
      </c>
      <c r="D4514">
        <v>1290.1099999999999</v>
      </c>
      <c r="E4514" t="s">
        <v>30</v>
      </c>
    </row>
    <row r="4515" spans="2:13" x14ac:dyDescent="0.2">
      <c r="C4515" t="b">
        <v>0</v>
      </c>
      <c r="D4515">
        <v>1290.0999999999999</v>
      </c>
      <c r="E4515" t="s">
        <v>30</v>
      </c>
    </row>
    <row r="4516" spans="2:13" x14ac:dyDescent="0.2">
      <c r="C4516" t="b">
        <v>0</v>
      </c>
      <c r="D4516">
        <v>1450.12</v>
      </c>
      <c r="E4516" t="s">
        <v>30</v>
      </c>
    </row>
    <row r="4517" spans="2:13" x14ac:dyDescent="0.2">
      <c r="C4517" t="b">
        <v>0</v>
      </c>
      <c r="D4517">
        <v>1380.11</v>
      </c>
      <c r="E4517" t="s">
        <v>30</v>
      </c>
    </row>
    <row r="4518" spans="2:13" x14ac:dyDescent="0.2">
      <c r="C4518" t="b">
        <v>0</v>
      </c>
      <c r="D4518">
        <v>1240.0899999999999</v>
      </c>
      <c r="E4518" t="s">
        <v>30</v>
      </c>
    </row>
    <row r="4519" spans="2:13" x14ac:dyDescent="0.2">
      <c r="B4519" t="s">
        <v>11</v>
      </c>
    </row>
    <row r="4520" spans="2:13" x14ac:dyDescent="0.2">
      <c r="B4520" t="s">
        <v>12</v>
      </c>
      <c r="C4520" t="s">
        <v>13</v>
      </c>
      <c r="D4520" t="s">
        <v>14</v>
      </c>
      <c r="E4520" t="s">
        <v>15</v>
      </c>
      <c r="F4520" t="s">
        <v>16</v>
      </c>
      <c r="G4520" t="s">
        <v>17</v>
      </c>
      <c r="H4520" t="s">
        <v>18</v>
      </c>
      <c r="I4520" t="s">
        <v>19</v>
      </c>
      <c r="J4520" t="s">
        <v>20</v>
      </c>
      <c r="K4520" t="s">
        <v>21</v>
      </c>
      <c r="L4520" t="s">
        <v>22</v>
      </c>
      <c r="M4520" t="s">
        <v>23</v>
      </c>
    </row>
    <row r="4521" spans="2:13" x14ac:dyDescent="0.2">
      <c r="B4521" t="s">
        <v>32</v>
      </c>
      <c r="C4521">
        <v>72</v>
      </c>
      <c r="E4521" t="s">
        <v>25</v>
      </c>
      <c r="F4521">
        <v>1384.4</v>
      </c>
      <c r="G4521">
        <v>6.7</v>
      </c>
      <c r="K4521">
        <v>0.1</v>
      </c>
      <c r="L4521">
        <v>7</v>
      </c>
      <c r="M4521">
        <v>100.3</v>
      </c>
    </row>
    <row r="4522" spans="2:13" x14ac:dyDescent="0.2">
      <c r="C4522" t="s">
        <v>27</v>
      </c>
    </row>
    <row r="4523" spans="2:13" x14ac:dyDescent="0.2">
      <c r="C4523" t="s">
        <v>28</v>
      </c>
      <c r="D4523" t="s">
        <v>16</v>
      </c>
      <c r="E4523" t="s">
        <v>29</v>
      </c>
      <c r="F4523" t="s">
        <v>18</v>
      </c>
    </row>
    <row r="4524" spans="2:13" x14ac:dyDescent="0.2">
      <c r="C4524" t="b">
        <v>0</v>
      </c>
      <c r="D4524">
        <v>1290.1099999999999</v>
      </c>
      <c r="E4524" t="s">
        <v>30</v>
      </c>
    </row>
    <row r="4525" spans="2:13" x14ac:dyDescent="0.2">
      <c r="C4525" t="b">
        <v>0</v>
      </c>
      <c r="D4525">
        <v>1370.13</v>
      </c>
      <c r="E4525" t="s">
        <v>30</v>
      </c>
    </row>
    <row r="4526" spans="2:13" x14ac:dyDescent="0.2">
      <c r="C4526" t="b">
        <v>0</v>
      </c>
      <c r="D4526">
        <v>1260.0999999999999</v>
      </c>
      <c r="E4526" t="s">
        <v>30</v>
      </c>
    </row>
    <row r="4527" spans="2:13" x14ac:dyDescent="0.2">
      <c r="C4527" t="b">
        <v>0</v>
      </c>
      <c r="D4527">
        <v>1410.11</v>
      </c>
      <c r="E4527" t="s">
        <v>30</v>
      </c>
    </row>
    <row r="4528" spans="2:13" x14ac:dyDescent="0.2">
      <c r="C4528" t="b">
        <v>0</v>
      </c>
      <c r="D4528">
        <v>1520.13</v>
      </c>
      <c r="E4528" t="s">
        <v>30</v>
      </c>
    </row>
    <row r="4529" spans="1:13" x14ac:dyDescent="0.2">
      <c r="C4529" t="b">
        <v>0</v>
      </c>
      <c r="D4529">
        <v>1470.13</v>
      </c>
      <c r="E4529" t="s">
        <v>30</v>
      </c>
    </row>
    <row r="4530" spans="1:13" x14ac:dyDescent="0.2">
      <c r="C4530" t="b">
        <v>0</v>
      </c>
      <c r="D4530">
        <v>1370.12</v>
      </c>
      <c r="E4530" t="s">
        <v>30</v>
      </c>
    </row>
    <row r="4531" spans="1:13" x14ac:dyDescent="0.2">
      <c r="B4531" t="s">
        <v>11</v>
      </c>
    </row>
    <row r="4532" spans="1:13" x14ac:dyDescent="0.2">
      <c r="B4532" t="s">
        <v>12</v>
      </c>
      <c r="C4532" t="s">
        <v>13</v>
      </c>
      <c r="D4532" t="s">
        <v>14</v>
      </c>
      <c r="E4532" t="s">
        <v>15</v>
      </c>
      <c r="F4532" t="s">
        <v>16</v>
      </c>
      <c r="G4532" t="s">
        <v>17</v>
      </c>
      <c r="H4532" t="s">
        <v>18</v>
      </c>
      <c r="I4532" t="s">
        <v>19</v>
      </c>
      <c r="J4532" t="s">
        <v>20</v>
      </c>
      <c r="K4532" t="s">
        <v>21</v>
      </c>
      <c r="L4532" t="s">
        <v>22</v>
      </c>
      <c r="M4532" t="s">
        <v>23</v>
      </c>
    </row>
    <row r="4533" spans="1:13" x14ac:dyDescent="0.2">
      <c r="B4533" t="s">
        <v>33</v>
      </c>
      <c r="C4533">
        <v>89</v>
      </c>
      <c r="E4533" t="s">
        <v>25</v>
      </c>
      <c r="F4533">
        <v>7712.41</v>
      </c>
      <c r="G4533">
        <v>5.2</v>
      </c>
      <c r="K4533">
        <v>0.1</v>
      </c>
      <c r="L4533">
        <v>7</v>
      </c>
      <c r="M4533">
        <v>102.4</v>
      </c>
    </row>
    <row r="4534" spans="1:13" x14ac:dyDescent="0.2">
      <c r="C4534" t="s">
        <v>27</v>
      </c>
    </row>
    <row r="4535" spans="1:13" x14ac:dyDescent="0.2">
      <c r="C4535" t="s">
        <v>28</v>
      </c>
      <c r="D4535" t="s">
        <v>16</v>
      </c>
      <c r="E4535" t="s">
        <v>29</v>
      </c>
      <c r="F4535" t="s">
        <v>18</v>
      </c>
    </row>
    <row r="4536" spans="1:13" x14ac:dyDescent="0.2">
      <c r="C4536" t="b">
        <v>0</v>
      </c>
      <c r="D4536">
        <v>7812.45</v>
      </c>
      <c r="E4536" t="s">
        <v>30</v>
      </c>
    </row>
    <row r="4537" spans="1:13" x14ac:dyDescent="0.2">
      <c r="C4537" t="b">
        <v>0</v>
      </c>
      <c r="D4537">
        <v>7122.08</v>
      </c>
      <c r="E4537" t="s">
        <v>30</v>
      </c>
    </row>
    <row r="4538" spans="1:13" x14ac:dyDescent="0.2">
      <c r="C4538" t="b">
        <v>0</v>
      </c>
      <c r="D4538">
        <v>7582.3</v>
      </c>
      <c r="E4538" t="s">
        <v>30</v>
      </c>
    </row>
    <row r="4539" spans="1:13" x14ac:dyDescent="0.2">
      <c r="C4539" t="b">
        <v>0</v>
      </c>
      <c r="D4539">
        <v>7512.31</v>
      </c>
      <c r="E4539" t="s">
        <v>30</v>
      </c>
    </row>
    <row r="4540" spans="1:13" x14ac:dyDescent="0.2">
      <c r="C4540" t="b">
        <v>0</v>
      </c>
      <c r="D4540">
        <v>8202.65</v>
      </c>
      <c r="E4540" t="s">
        <v>30</v>
      </c>
    </row>
    <row r="4541" spans="1:13" x14ac:dyDescent="0.2">
      <c r="C4541" t="b">
        <v>0</v>
      </c>
      <c r="D4541">
        <v>8222.7199999999993</v>
      </c>
      <c r="E4541" t="s">
        <v>30</v>
      </c>
    </row>
    <row r="4542" spans="1:13" x14ac:dyDescent="0.2">
      <c r="C4542" t="b">
        <v>0</v>
      </c>
      <c r="D4542">
        <v>7532.34</v>
      </c>
      <c r="E4542" t="s">
        <v>30</v>
      </c>
    </row>
    <row r="4543" spans="1:13" x14ac:dyDescent="0.2">
      <c r="A4543" t="s">
        <v>0</v>
      </c>
    </row>
    <row r="4544" spans="1:13" x14ac:dyDescent="0.2">
      <c r="B4544" t="s">
        <v>1</v>
      </c>
      <c r="C4544" t="s">
        <v>2</v>
      </c>
      <c r="D4544" t="s">
        <v>3</v>
      </c>
      <c r="E4544" t="s">
        <v>4</v>
      </c>
      <c r="F4544" t="s">
        <v>5</v>
      </c>
      <c r="G4544" t="s">
        <v>6</v>
      </c>
    </row>
    <row r="4545" spans="2:13" x14ac:dyDescent="0.2">
      <c r="B4545" t="b">
        <v>0</v>
      </c>
      <c r="C4545" t="s">
        <v>113</v>
      </c>
      <c r="D4545" t="s">
        <v>333</v>
      </c>
      <c r="E4545" t="s">
        <v>0</v>
      </c>
      <c r="G4545" t="s">
        <v>334</v>
      </c>
    </row>
    <row r="4546" spans="2:13" x14ac:dyDescent="0.2">
      <c r="B4546" t="s">
        <v>11</v>
      </c>
    </row>
    <row r="4547" spans="2:13" x14ac:dyDescent="0.2">
      <c r="B4547" t="s">
        <v>12</v>
      </c>
      <c r="C4547" t="s">
        <v>13</v>
      </c>
      <c r="D4547" t="s">
        <v>14</v>
      </c>
      <c r="E4547" t="s">
        <v>15</v>
      </c>
      <c r="F4547" t="s">
        <v>16</v>
      </c>
      <c r="G4547" t="s">
        <v>17</v>
      </c>
      <c r="H4547" t="s">
        <v>18</v>
      </c>
      <c r="I4547" t="s">
        <v>19</v>
      </c>
      <c r="J4547" t="s">
        <v>20</v>
      </c>
      <c r="K4547" t="s">
        <v>21</v>
      </c>
      <c r="L4547" t="s">
        <v>22</v>
      </c>
      <c r="M4547" t="s">
        <v>23</v>
      </c>
    </row>
    <row r="4548" spans="2:13" x14ac:dyDescent="0.2">
      <c r="B4548" t="s">
        <v>24</v>
      </c>
      <c r="C4548">
        <v>59</v>
      </c>
      <c r="E4548" t="s">
        <v>25</v>
      </c>
      <c r="F4548">
        <v>53394.85</v>
      </c>
      <c r="G4548">
        <v>1.5</v>
      </c>
      <c r="H4548">
        <v>1.6E-2</v>
      </c>
      <c r="I4548" t="s">
        <v>26</v>
      </c>
      <c r="J4548">
        <v>1.5</v>
      </c>
      <c r="K4548">
        <v>0.1</v>
      </c>
      <c r="L4548">
        <v>7</v>
      </c>
    </row>
    <row r="4549" spans="2:13" x14ac:dyDescent="0.2">
      <c r="C4549" t="s">
        <v>27</v>
      </c>
    </row>
    <row r="4550" spans="2:13" x14ac:dyDescent="0.2">
      <c r="C4550" t="s">
        <v>28</v>
      </c>
      <c r="D4550" t="s">
        <v>16</v>
      </c>
      <c r="E4550" t="s">
        <v>29</v>
      </c>
      <c r="F4550" t="s">
        <v>18</v>
      </c>
    </row>
    <row r="4551" spans="2:13" x14ac:dyDescent="0.2">
      <c r="C4551" t="b">
        <v>0</v>
      </c>
      <c r="D4551">
        <v>53943.97</v>
      </c>
      <c r="E4551" t="s">
        <v>30</v>
      </c>
      <c r="F4551">
        <v>1.7000000000000001E-2</v>
      </c>
    </row>
    <row r="4552" spans="2:13" x14ac:dyDescent="0.2">
      <c r="C4552" t="b">
        <v>0</v>
      </c>
      <c r="D4552">
        <v>54737.53</v>
      </c>
      <c r="E4552" t="s">
        <v>30</v>
      </c>
      <c r="F4552">
        <v>1.7000000000000001E-2</v>
      </c>
    </row>
    <row r="4553" spans="2:13" x14ac:dyDescent="0.2">
      <c r="C4553" t="b">
        <v>0</v>
      </c>
      <c r="D4553">
        <v>53081.42</v>
      </c>
      <c r="E4553" t="s">
        <v>30</v>
      </c>
      <c r="F4553">
        <v>1.6E-2</v>
      </c>
    </row>
    <row r="4554" spans="2:13" x14ac:dyDescent="0.2">
      <c r="C4554" t="b">
        <v>0</v>
      </c>
      <c r="D4554">
        <v>52227.23</v>
      </c>
      <c r="E4554" t="s">
        <v>30</v>
      </c>
      <c r="F4554">
        <v>1.6E-2</v>
      </c>
    </row>
    <row r="4555" spans="2:13" x14ac:dyDescent="0.2">
      <c r="C4555" t="b">
        <v>0</v>
      </c>
      <c r="D4555">
        <v>52819.519999999997</v>
      </c>
      <c r="E4555" t="s">
        <v>30</v>
      </c>
      <c r="F4555">
        <v>1.6E-2</v>
      </c>
    </row>
    <row r="4556" spans="2:13" x14ac:dyDescent="0.2">
      <c r="C4556" t="b">
        <v>0</v>
      </c>
      <c r="D4556">
        <v>53452.15</v>
      </c>
      <c r="E4556" t="s">
        <v>30</v>
      </c>
      <c r="F4556">
        <v>1.6E-2</v>
      </c>
    </row>
    <row r="4557" spans="2:13" x14ac:dyDescent="0.2">
      <c r="C4557" t="b">
        <v>0</v>
      </c>
      <c r="D4557">
        <v>53502.13</v>
      </c>
      <c r="E4557" t="s">
        <v>30</v>
      </c>
      <c r="F4557">
        <v>1.6E-2</v>
      </c>
    </row>
    <row r="4558" spans="2:13" x14ac:dyDescent="0.2">
      <c r="B4558" t="s">
        <v>11</v>
      </c>
    </row>
    <row r="4559" spans="2:13" x14ac:dyDescent="0.2">
      <c r="B4559" t="s">
        <v>12</v>
      </c>
      <c r="C4559" t="s">
        <v>13</v>
      </c>
      <c r="D4559" t="s">
        <v>14</v>
      </c>
      <c r="E4559" t="s">
        <v>15</v>
      </c>
      <c r="F4559" t="s">
        <v>16</v>
      </c>
      <c r="G4559" t="s">
        <v>17</v>
      </c>
      <c r="H4559" t="s">
        <v>18</v>
      </c>
      <c r="I4559" t="s">
        <v>19</v>
      </c>
      <c r="J4559" t="s">
        <v>20</v>
      </c>
      <c r="K4559" t="s">
        <v>21</v>
      </c>
      <c r="L4559" t="s">
        <v>22</v>
      </c>
      <c r="M4559" t="s">
        <v>23</v>
      </c>
    </row>
    <row r="4560" spans="2:13" x14ac:dyDescent="0.2">
      <c r="B4560" t="s">
        <v>31</v>
      </c>
      <c r="C4560">
        <v>45</v>
      </c>
      <c r="E4560" t="s">
        <v>25</v>
      </c>
      <c r="F4560">
        <v>1268.67</v>
      </c>
      <c r="G4560">
        <v>16</v>
      </c>
      <c r="K4560">
        <v>0.1</v>
      </c>
      <c r="L4560">
        <v>7</v>
      </c>
      <c r="M4560">
        <v>97.8</v>
      </c>
    </row>
    <row r="4561" spans="2:13" x14ac:dyDescent="0.2">
      <c r="C4561" t="s">
        <v>27</v>
      </c>
    </row>
    <row r="4562" spans="2:13" x14ac:dyDescent="0.2">
      <c r="C4562" t="s">
        <v>28</v>
      </c>
      <c r="D4562" t="s">
        <v>16</v>
      </c>
      <c r="E4562" t="s">
        <v>29</v>
      </c>
      <c r="F4562" t="s">
        <v>18</v>
      </c>
    </row>
    <row r="4563" spans="2:13" x14ac:dyDescent="0.2">
      <c r="C4563" t="b">
        <v>0</v>
      </c>
      <c r="D4563">
        <v>1200.0899999999999</v>
      </c>
      <c r="E4563" t="s">
        <v>30</v>
      </c>
    </row>
    <row r="4564" spans="2:13" x14ac:dyDescent="0.2">
      <c r="C4564" t="b">
        <v>0</v>
      </c>
      <c r="D4564">
        <v>1040.06</v>
      </c>
      <c r="E4564" t="s">
        <v>30</v>
      </c>
    </row>
    <row r="4565" spans="2:13" x14ac:dyDescent="0.2">
      <c r="C4565" t="b">
        <v>0</v>
      </c>
      <c r="D4565">
        <v>1010.08</v>
      </c>
      <c r="E4565" t="s">
        <v>30</v>
      </c>
    </row>
    <row r="4566" spans="2:13" x14ac:dyDescent="0.2">
      <c r="C4566" t="b">
        <v>0</v>
      </c>
      <c r="D4566">
        <v>1390.11</v>
      </c>
      <c r="E4566" t="s">
        <v>30</v>
      </c>
    </row>
    <row r="4567" spans="2:13" x14ac:dyDescent="0.2">
      <c r="C4567" t="b">
        <v>0</v>
      </c>
      <c r="D4567">
        <v>1330.1</v>
      </c>
      <c r="E4567" t="s">
        <v>30</v>
      </c>
    </row>
    <row r="4568" spans="2:13" x14ac:dyDescent="0.2">
      <c r="C4568" t="b">
        <v>0</v>
      </c>
      <c r="D4568">
        <v>1320.12</v>
      </c>
      <c r="E4568" t="s">
        <v>30</v>
      </c>
    </row>
    <row r="4569" spans="2:13" x14ac:dyDescent="0.2">
      <c r="C4569" t="b">
        <v>0</v>
      </c>
      <c r="D4569">
        <v>1590.15</v>
      </c>
      <c r="E4569" t="s">
        <v>30</v>
      </c>
    </row>
    <row r="4570" spans="2:13" x14ac:dyDescent="0.2">
      <c r="B4570" t="s">
        <v>11</v>
      </c>
    </row>
    <row r="4571" spans="2:13" x14ac:dyDescent="0.2">
      <c r="B4571" t="s">
        <v>12</v>
      </c>
      <c r="C4571" t="s">
        <v>13</v>
      </c>
      <c r="D4571" t="s">
        <v>14</v>
      </c>
      <c r="E4571" t="s">
        <v>15</v>
      </c>
      <c r="F4571" t="s">
        <v>16</v>
      </c>
      <c r="G4571" t="s">
        <v>17</v>
      </c>
      <c r="H4571" t="s">
        <v>18</v>
      </c>
      <c r="I4571" t="s">
        <v>19</v>
      </c>
      <c r="J4571" t="s">
        <v>20</v>
      </c>
      <c r="K4571" t="s">
        <v>21</v>
      </c>
      <c r="L4571" t="s">
        <v>22</v>
      </c>
      <c r="M4571" t="s">
        <v>23</v>
      </c>
    </row>
    <row r="4572" spans="2:13" x14ac:dyDescent="0.2">
      <c r="B4572" t="s">
        <v>32</v>
      </c>
      <c r="C4572">
        <v>72</v>
      </c>
      <c r="E4572" t="s">
        <v>25</v>
      </c>
      <c r="F4572">
        <v>1318.68</v>
      </c>
      <c r="G4572">
        <v>11.9</v>
      </c>
      <c r="K4572">
        <v>0.1</v>
      </c>
      <c r="L4572">
        <v>7</v>
      </c>
      <c r="M4572">
        <v>95.5</v>
      </c>
    </row>
    <row r="4573" spans="2:13" x14ac:dyDescent="0.2">
      <c r="C4573" t="s">
        <v>27</v>
      </c>
    </row>
    <row r="4574" spans="2:13" x14ac:dyDescent="0.2">
      <c r="C4574" t="s">
        <v>28</v>
      </c>
      <c r="D4574" t="s">
        <v>16</v>
      </c>
      <c r="E4574" t="s">
        <v>29</v>
      </c>
      <c r="F4574" t="s">
        <v>18</v>
      </c>
    </row>
    <row r="4575" spans="2:13" x14ac:dyDescent="0.2">
      <c r="C4575" t="b">
        <v>0</v>
      </c>
      <c r="D4575">
        <v>1410.13</v>
      </c>
      <c r="E4575" t="s">
        <v>30</v>
      </c>
    </row>
    <row r="4576" spans="2:13" x14ac:dyDescent="0.2">
      <c r="C4576" t="b">
        <v>0</v>
      </c>
      <c r="D4576">
        <v>1080.0899999999999</v>
      </c>
      <c r="E4576" t="s">
        <v>30</v>
      </c>
    </row>
    <row r="4577" spans="2:13" x14ac:dyDescent="0.2">
      <c r="C4577" t="b">
        <v>0</v>
      </c>
      <c r="D4577">
        <v>1500.13</v>
      </c>
      <c r="E4577" t="s">
        <v>30</v>
      </c>
    </row>
    <row r="4578" spans="2:13" x14ac:dyDescent="0.2">
      <c r="C4578" t="b">
        <v>0</v>
      </c>
      <c r="D4578">
        <v>1270.0999999999999</v>
      </c>
      <c r="E4578" t="s">
        <v>30</v>
      </c>
    </row>
    <row r="4579" spans="2:13" x14ac:dyDescent="0.2">
      <c r="C4579" t="b">
        <v>0</v>
      </c>
      <c r="D4579">
        <v>1430.11</v>
      </c>
      <c r="E4579" t="s">
        <v>30</v>
      </c>
    </row>
    <row r="4580" spans="2:13" x14ac:dyDescent="0.2">
      <c r="C4580" t="b">
        <v>0</v>
      </c>
      <c r="D4580">
        <v>1150.0899999999999</v>
      </c>
      <c r="E4580" t="s">
        <v>30</v>
      </c>
    </row>
    <row r="4581" spans="2:13" x14ac:dyDescent="0.2">
      <c r="C4581" t="b">
        <v>0</v>
      </c>
      <c r="D4581">
        <v>1390.12</v>
      </c>
      <c r="E4581" t="s">
        <v>30</v>
      </c>
    </row>
    <row r="4582" spans="2:13" x14ac:dyDescent="0.2">
      <c r="B4582" t="s">
        <v>11</v>
      </c>
    </row>
    <row r="4583" spans="2:13" x14ac:dyDescent="0.2">
      <c r="B4583" t="s">
        <v>12</v>
      </c>
      <c r="C4583" t="s">
        <v>13</v>
      </c>
      <c r="D4583" t="s">
        <v>14</v>
      </c>
      <c r="E4583" t="s">
        <v>15</v>
      </c>
      <c r="F4583" t="s">
        <v>16</v>
      </c>
      <c r="G4583" t="s">
        <v>17</v>
      </c>
      <c r="H4583" t="s">
        <v>18</v>
      </c>
      <c r="I4583" t="s">
        <v>19</v>
      </c>
      <c r="J4583" t="s">
        <v>20</v>
      </c>
      <c r="K4583" t="s">
        <v>21</v>
      </c>
      <c r="L4583" t="s">
        <v>22</v>
      </c>
      <c r="M4583" t="s">
        <v>23</v>
      </c>
    </row>
    <row r="4584" spans="2:13" x14ac:dyDescent="0.2">
      <c r="B4584" t="s">
        <v>33</v>
      </c>
      <c r="C4584">
        <v>89</v>
      </c>
      <c r="E4584" t="s">
        <v>25</v>
      </c>
      <c r="F4584">
        <v>7263.64</v>
      </c>
      <c r="G4584">
        <v>10.6</v>
      </c>
      <c r="K4584">
        <v>0.1</v>
      </c>
      <c r="L4584">
        <v>7</v>
      </c>
      <c r="M4584">
        <v>96.4</v>
      </c>
    </row>
    <row r="4585" spans="2:13" x14ac:dyDescent="0.2">
      <c r="C4585" t="s">
        <v>27</v>
      </c>
    </row>
    <row r="4586" spans="2:13" x14ac:dyDescent="0.2">
      <c r="C4586" t="s">
        <v>28</v>
      </c>
      <c r="D4586" t="s">
        <v>16</v>
      </c>
      <c r="E4586" t="s">
        <v>29</v>
      </c>
      <c r="F4586" t="s">
        <v>18</v>
      </c>
    </row>
    <row r="4587" spans="2:13" x14ac:dyDescent="0.2">
      <c r="C4587" t="b">
        <v>0</v>
      </c>
      <c r="D4587">
        <v>6641.86</v>
      </c>
      <c r="E4587" t="s">
        <v>30</v>
      </c>
    </row>
    <row r="4588" spans="2:13" x14ac:dyDescent="0.2">
      <c r="C4588" t="b">
        <v>0</v>
      </c>
      <c r="D4588">
        <v>7022.01</v>
      </c>
      <c r="E4588" t="s">
        <v>30</v>
      </c>
    </row>
    <row r="4589" spans="2:13" x14ac:dyDescent="0.2">
      <c r="C4589" t="b">
        <v>0</v>
      </c>
      <c r="D4589">
        <v>7402.28</v>
      </c>
      <c r="E4589" t="s">
        <v>30</v>
      </c>
    </row>
    <row r="4590" spans="2:13" x14ac:dyDescent="0.2">
      <c r="C4590" t="b">
        <v>0</v>
      </c>
      <c r="D4590">
        <v>8222.77</v>
      </c>
      <c r="E4590" t="s">
        <v>30</v>
      </c>
    </row>
    <row r="4591" spans="2:13" x14ac:dyDescent="0.2">
      <c r="C4591" t="b">
        <v>0</v>
      </c>
      <c r="D4591">
        <v>6451.77</v>
      </c>
      <c r="E4591" t="s">
        <v>30</v>
      </c>
    </row>
    <row r="4592" spans="2:13" x14ac:dyDescent="0.2">
      <c r="C4592" t="b">
        <v>0</v>
      </c>
      <c r="D4592">
        <v>6721.87</v>
      </c>
      <c r="E4592" t="s">
        <v>30</v>
      </c>
    </row>
    <row r="4593" spans="1:13" x14ac:dyDescent="0.2">
      <c r="C4593" t="b">
        <v>0</v>
      </c>
      <c r="D4593">
        <v>8382.9500000000007</v>
      </c>
      <c r="E4593" t="s">
        <v>30</v>
      </c>
    </row>
    <row r="4594" spans="1:13" x14ac:dyDescent="0.2">
      <c r="A4594" t="s">
        <v>0</v>
      </c>
    </row>
    <row r="4595" spans="1:13" x14ac:dyDescent="0.2">
      <c r="B4595" t="s">
        <v>1</v>
      </c>
      <c r="C4595" t="s">
        <v>2</v>
      </c>
      <c r="D4595" t="s">
        <v>3</v>
      </c>
      <c r="E4595" t="s">
        <v>4</v>
      </c>
      <c r="F4595" t="s">
        <v>5</v>
      </c>
      <c r="G4595" t="s">
        <v>6</v>
      </c>
    </row>
    <row r="4596" spans="1:13" x14ac:dyDescent="0.2">
      <c r="B4596" t="b">
        <v>0</v>
      </c>
      <c r="C4596" t="s">
        <v>116</v>
      </c>
      <c r="D4596" t="s">
        <v>335</v>
      </c>
      <c r="E4596" t="s">
        <v>0</v>
      </c>
      <c r="G4596" t="s">
        <v>336</v>
      </c>
    </row>
    <row r="4597" spans="1:13" x14ac:dyDescent="0.2">
      <c r="B4597" t="s">
        <v>11</v>
      </c>
    </row>
    <row r="4598" spans="1:13" x14ac:dyDescent="0.2">
      <c r="B4598" t="s">
        <v>12</v>
      </c>
      <c r="C4598" t="s">
        <v>13</v>
      </c>
      <c r="D4598" t="s">
        <v>14</v>
      </c>
      <c r="E4598" t="s">
        <v>15</v>
      </c>
      <c r="F4598" t="s">
        <v>16</v>
      </c>
      <c r="G4598" t="s">
        <v>17</v>
      </c>
      <c r="H4598" t="s">
        <v>18</v>
      </c>
      <c r="I4598" t="s">
        <v>19</v>
      </c>
      <c r="J4598" t="s">
        <v>20</v>
      </c>
      <c r="K4598" t="s">
        <v>21</v>
      </c>
      <c r="L4598" t="s">
        <v>22</v>
      </c>
      <c r="M4598" t="s">
        <v>23</v>
      </c>
    </row>
    <row r="4599" spans="1:13" x14ac:dyDescent="0.2">
      <c r="B4599" t="s">
        <v>24</v>
      </c>
      <c r="C4599">
        <v>59</v>
      </c>
      <c r="E4599" t="s">
        <v>25</v>
      </c>
      <c r="F4599">
        <v>53663.02</v>
      </c>
      <c r="G4599">
        <v>1.2</v>
      </c>
      <c r="H4599">
        <v>1.7000000000000001E-2</v>
      </c>
      <c r="I4599" t="s">
        <v>26</v>
      </c>
      <c r="J4599">
        <v>1.2</v>
      </c>
      <c r="K4599">
        <v>0.1</v>
      </c>
      <c r="L4599">
        <v>7</v>
      </c>
    </row>
    <row r="4600" spans="1:13" x14ac:dyDescent="0.2">
      <c r="C4600" t="s">
        <v>27</v>
      </c>
    </row>
    <row r="4601" spans="1:13" x14ac:dyDescent="0.2">
      <c r="C4601" t="s">
        <v>28</v>
      </c>
      <c r="D4601" t="s">
        <v>16</v>
      </c>
      <c r="E4601" t="s">
        <v>29</v>
      </c>
      <c r="F4601" t="s">
        <v>18</v>
      </c>
    </row>
    <row r="4602" spans="1:13" x14ac:dyDescent="0.2">
      <c r="C4602" t="b">
        <v>0</v>
      </c>
      <c r="D4602">
        <v>53262.12</v>
      </c>
      <c r="E4602" t="s">
        <v>30</v>
      </c>
      <c r="F4602">
        <v>1.6E-2</v>
      </c>
    </row>
    <row r="4603" spans="1:13" x14ac:dyDescent="0.2">
      <c r="C4603" t="b">
        <v>0</v>
      </c>
      <c r="D4603">
        <v>53471.98</v>
      </c>
      <c r="E4603" t="s">
        <v>30</v>
      </c>
      <c r="F4603">
        <v>1.6E-2</v>
      </c>
    </row>
    <row r="4604" spans="1:13" x14ac:dyDescent="0.2">
      <c r="C4604" t="b">
        <v>0</v>
      </c>
      <c r="D4604">
        <v>52679.88</v>
      </c>
      <c r="E4604" t="s">
        <v>30</v>
      </c>
      <c r="F4604">
        <v>1.6E-2</v>
      </c>
    </row>
    <row r="4605" spans="1:13" x14ac:dyDescent="0.2">
      <c r="C4605" t="b">
        <v>0</v>
      </c>
      <c r="D4605">
        <v>53792.74</v>
      </c>
      <c r="E4605" t="s">
        <v>30</v>
      </c>
      <c r="F4605">
        <v>1.7000000000000001E-2</v>
      </c>
    </row>
    <row r="4606" spans="1:13" x14ac:dyDescent="0.2">
      <c r="C4606" t="b">
        <v>0</v>
      </c>
      <c r="D4606">
        <v>53673.3</v>
      </c>
      <c r="E4606" t="s">
        <v>30</v>
      </c>
      <c r="F4606">
        <v>1.7000000000000001E-2</v>
      </c>
    </row>
    <row r="4607" spans="1:13" x14ac:dyDescent="0.2">
      <c r="C4607" t="b">
        <v>0</v>
      </c>
      <c r="D4607">
        <v>54727.28</v>
      </c>
      <c r="E4607" t="s">
        <v>30</v>
      </c>
      <c r="F4607">
        <v>1.7000000000000001E-2</v>
      </c>
    </row>
    <row r="4608" spans="1:13" x14ac:dyDescent="0.2">
      <c r="C4608" t="b">
        <v>0</v>
      </c>
      <c r="D4608">
        <v>54033.81</v>
      </c>
      <c r="E4608" t="s">
        <v>30</v>
      </c>
      <c r="F4608">
        <v>1.7000000000000001E-2</v>
      </c>
    </row>
    <row r="4609" spans="2:13" x14ac:dyDescent="0.2">
      <c r="B4609" t="s">
        <v>11</v>
      </c>
    </row>
    <row r="4610" spans="2:13" x14ac:dyDescent="0.2">
      <c r="B4610" t="s">
        <v>12</v>
      </c>
      <c r="C4610" t="s">
        <v>13</v>
      </c>
      <c r="D4610" t="s">
        <v>14</v>
      </c>
      <c r="E4610" t="s">
        <v>15</v>
      </c>
      <c r="F4610" t="s">
        <v>16</v>
      </c>
      <c r="G4610" t="s">
        <v>17</v>
      </c>
      <c r="H4610" t="s">
        <v>18</v>
      </c>
      <c r="I4610" t="s">
        <v>19</v>
      </c>
      <c r="J4610" t="s">
        <v>20</v>
      </c>
      <c r="K4610" t="s">
        <v>21</v>
      </c>
      <c r="L4610" t="s">
        <v>22</v>
      </c>
      <c r="M4610" t="s">
        <v>23</v>
      </c>
    </row>
    <row r="4611" spans="2:13" x14ac:dyDescent="0.2">
      <c r="B4611" t="s">
        <v>31</v>
      </c>
      <c r="C4611">
        <v>45</v>
      </c>
      <c r="E4611" t="s">
        <v>25</v>
      </c>
      <c r="F4611">
        <v>1388.69</v>
      </c>
      <c r="G4611">
        <v>9.5</v>
      </c>
      <c r="K4611">
        <v>0.1</v>
      </c>
      <c r="L4611">
        <v>7</v>
      </c>
      <c r="M4611">
        <v>107</v>
      </c>
    </row>
    <row r="4612" spans="2:13" x14ac:dyDescent="0.2">
      <c r="C4612" t="s">
        <v>27</v>
      </c>
    </row>
    <row r="4613" spans="2:13" x14ac:dyDescent="0.2">
      <c r="C4613" t="s">
        <v>28</v>
      </c>
      <c r="D4613" t="s">
        <v>16</v>
      </c>
      <c r="E4613" t="s">
        <v>29</v>
      </c>
      <c r="F4613" t="s">
        <v>18</v>
      </c>
    </row>
    <row r="4614" spans="2:13" x14ac:dyDescent="0.2">
      <c r="C4614" t="b">
        <v>0</v>
      </c>
      <c r="D4614">
        <v>1640.14</v>
      </c>
      <c r="E4614" t="s">
        <v>30</v>
      </c>
    </row>
    <row r="4615" spans="2:13" x14ac:dyDescent="0.2">
      <c r="C4615" t="b">
        <v>0</v>
      </c>
      <c r="D4615">
        <v>1380.12</v>
      </c>
      <c r="E4615" t="s">
        <v>30</v>
      </c>
    </row>
    <row r="4616" spans="2:13" x14ac:dyDescent="0.2">
      <c r="C4616" t="b">
        <v>0</v>
      </c>
      <c r="D4616">
        <v>1270.0899999999999</v>
      </c>
      <c r="E4616" t="s">
        <v>30</v>
      </c>
    </row>
    <row r="4617" spans="2:13" x14ac:dyDescent="0.2">
      <c r="C4617" t="b">
        <v>0</v>
      </c>
      <c r="D4617">
        <v>1260.0999999999999</v>
      </c>
      <c r="E4617" t="s">
        <v>30</v>
      </c>
    </row>
    <row r="4618" spans="2:13" x14ac:dyDescent="0.2">
      <c r="C4618" t="b">
        <v>0</v>
      </c>
      <c r="D4618">
        <v>1360.11</v>
      </c>
      <c r="E4618" t="s">
        <v>30</v>
      </c>
    </row>
    <row r="4619" spans="2:13" x14ac:dyDescent="0.2">
      <c r="C4619" t="b">
        <v>0</v>
      </c>
      <c r="D4619">
        <v>1340.11</v>
      </c>
      <c r="E4619" t="s">
        <v>30</v>
      </c>
    </row>
    <row r="4620" spans="2:13" x14ac:dyDescent="0.2">
      <c r="C4620" t="b">
        <v>0</v>
      </c>
      <c r="D4620">
        <v>1470.13</v>
      </c>
      <c r="E4620" t="s">
        <v>30</v>
      </c>
    </row>
    <row r="4621" spans="2:13" x14ac:dyDescent="0.2">
      <c r="B4621" t="s">
        <v>11</v>
      </c>
    </row>
    <row r="4622" spans="2:13" x14ac:dyDescent="0.2">
      <c r="B4622" t="s">
        <v>12</v>
      </c>
      <c r="C4622" t="s">
        <v>13</v>
      </c>
      <c r="D4622" t="s">
        <v>14</v>
      </c>
      <c r="E4622" t="s">
        <v>15</v>
      </c>
      <c r="F4622" t="s">
        <v>16</v>
      </c>
      <c r="G4622" t="s">
        <v>17</v>
      </c>
      <c r="H4622" t="s">
        <v>18</v>
      </c>
      <c r="I4622" t="s">
        <v>19</v>
      </c>
      <c r="J4622" t="s">
        <v>20</v>
      </c>
      <c r="K4622" t="s">
        <v>21</v>
      </c>
      <c r="L4622" t="s">
        <v>22</v>
      </c>
      <c r="M4622" t="s">
        <v>23</v>
      </c>
    </row>
    <row r="4623" spans="2:13" x14ac:dyDescent="0.2">
      <c r="B4623" t="s">
        <v>32</v>
      </c>
      <c r="C4623">
        <v>72</v>
      </c>
      <c r="E4623" t="s">
        <v>25</v>
      </c>
      <c r="F4623">
        <v>1287.25</v>
      </c>
      <c r="G4623">
        <v>10.9</v>
      </c>
      <c r="K4623">
        <v>0.1</v>
      </c>
      <c r="L4623">
        <v>7</v>
      </c>
      <c r="M4623">
        <v>93.3</v>
      </c>
    </row>
    <row r="4624" spans="2:13" x14ac:dyDescent="0.2">
      <c r="C4624" t="s">
        <v>27</v>
      </c>
    </row>
    <row r="4625" spans="2:13" x14ac:dyDescent="0.2">
      <c r="C4625" t="s">
        <v>28</v>
      </c>
      <c r="D4625" t="s">
        <v>16</v>
      </c>
      <c r="E4625" t="s">
        <v>29</v>
      </c>
      <c r="F4625" t="s">
        <v>18</v>
      </c>
    </row>
    <row r="4626" spans="2:13" x14ac:dyDescent="0.2">
      <c r="C4626" t="b">
        <v>0</v>
      </c>
      <c r="D4626">
        <v>1290.0999999999999</v>
      </c>
      <c r="E4626" t="s">
        <v>30</v>
      </c>
    </row>
    <row r="4627" spans="2:13" x14ac:dyDescent="0.2">
      <c r="C4627" t="b">
        <v>0</v>
      </c>
      <c r="D4627">
        <v>1150.0999999999999</v>
      </c>
      <c r="E4627" t="s">
        <v>30</v>
      </c>
    </row>
    <row r="4628" spans="2:13" x14ac:dyDescent="0.2">
      <c r="C4628" t="b">
        <v>0</v>
      </c>
      <c r="D4628">
        <v>1180.08</v>
      </c>
      <c r="E4628" t="s">
        <v>30</v>
      </c>
    </row>
    <row r="4629" spans="2:13" x14ac:dyDescent="0.2">
      <c r="C4629" t="b">
        <v>0</v>
      </c>
      <c r="D4629">
        <v>1200.0899999999999</v>
      </c>
      <c r="E4629" t="s">
        <v>30</v>
      </c>
    </row>
    <row r="4630" spans="2:13" x14ac:dyDescent="0.2">
      <c r="C4630" t="b">
        <v>0</v>
      </c>
      <c r="D4630">
        <v>1320.11</v>
      </c>
      <c r="E4630" t="s">
        <v>30</v>
      </c>
    </row>
    <row r="4631" spans="2:13" x14ac:dyDescent="0.2">
      <c r="C4631" t="b">
        <v>0</v>
      </c>
      <c r="D4631">
        <v>1570.14</v>
      </c>
      <c r="E4631" t="s">
        <v>30</v>
      </c>
    </row>
    <row r="4632" spans="2:13" x14ac:dyDescent="0.2">
      <c r="C4632" t="b">
        <v>0</v>
      </c>
      <c r="D4632">
        <v>1300.1099999999999</v>
      </c>
      <c r="E4632" t="s">
        <v>30</v>
      </c>
    </row>
    <row r="4633" spans="2:13" x14ac:dyDescent="0.2">
      <c r="B4633" t="s">
        <v>11</v>
      </c>
    </row>
    <row r="4634" spans="2:13" x14ac:dyDescent="0.2">
      <c r="B4634" t="s">
        <v>12</v>
      </c>
      <c r="C4634" t="s">
        <v>13</v>
      </c>
      <c r="D4634" t="s">
        <v>14</v>
      </c>
      <c r="E4634" t="s">
        <v>15</v>
      </c>
      <c r="F4634" t="s">
        <v>16</v>
      </c>
      <c r="G4634" t="s">
        <v>17</v>
      </c>
      <c r="H4634" t="s">
        <v>18</v>
      </c>
      <c r="I4634" t="s">
        <v>19</v>
      </c>
      <c r="J4634" t="s">
        <v>20</v>
      </c>
      <c r="K4634" t="s">
        <v>21</v>
      </c>
      <c r="L4634" t="s">
        <v>22</v>
      </c>
      <c r="M4634" t="s">
        <v>23</v>
      </c>
    </row>
    <row r="4635" spans="2:13" x14ac:dyDescent="0.2">
      <c r="B4635" t="s">
        <v>33</v>
      </c>
      <c r="C4635">
        <v>89</v>
      </c>
      <c r="E4635" t="s">
        <v>25</v>
      </c>
      <c r="F4635">
        <v>7738.19</v>
      </c>
      <c r="G4635">
        <v>10.9</v>
      </c>
      <c r="K4635">
        <v>0.1</v>
      </c>
      <c r="L4635">
        <v>7</v>
      </c>
      <c r="M4635">
        <v>102.7</v>
      </c>
    </row>
    <row r="4636" spans="2:13" x14ac:dyDescent="0.2">
      <c r="C4636" t="s">
        <v>27</v>
      </c>
    </row>
    <row r="4637" spans="2:13" x14ac:dyDescent="0.2">
      <c r="C4637" t="s">
        <v>28</v>
      </c>
      <c r="D4637" t="s">
        <v>16</v>
      </c>
      <c r="E4637" t="s">
        <v>29</v>
      </c>
      <c r="F4637" t="s">
        <v>18</v>
      </c>
    </row>
    <row r="4638" spans="2:13" x14ac:dyDescent="0.2">
      <c r="C4638" t="b">
        <v>0</v>
      </c>
      <c r="D4638">
        <v>9133.2999999999993</v>
      </c>
      <c r="E4638" t="s">
        <v>30</v>
      </c>
    </row>
    <row r="4639" spans="2:13" x14ac:dyDescent="0.2">
      <c r="C4639" t="b">
        <v>0</v>
      </c>
      <c r="D4639">
        <v>7682.39</v>
      </c>
      <c r="E4639" t="s">
        <v>30</v>
      </c>
    </row>
    <row r="4640" spans="2:13" x14ac:dyDescent="0.2">
      <c r="C4640" t="b">
        <v>0</v>
      </c>
      <c r="D4640">
        <v>6691.84</v>
      </c>
      <c r="E4640" t="s">
        <v>30</v>
      </c>
    </row>
    <row r="4641" spans="1:13" x14ac:dyDescent="0.2">
      <c r="C4641" t="b">
        <v>0</v>
      </c>
      <c r="D4641">
        <v>6761.92</v>
      </c>
      <c r="E4641" t="s">
        <v>30</v>
      </c>
    </row>
    <row r="4642" spans="1:13" x14ac:dyDescent="0.2">
      <c r="C4642" t="b">
        <v>0</v>
      </c>
      <c r="D4642">
        <v>7722.41</v>
      </c>
      <c r="E4642" t="s">
        <v>30</v>
      </c>
    </row>
    <row r="4643" spans="1:13" x14ac:dyDescent="0.2">
      <c r="C4643" t="b">
        <v>0</v>
      </c>
      <c r="D4643">
        <v>8242.89</v>
      </c>
      <c r="E4643" t="s">
        <v>30</v>
      </c>
    </row>
    <row r="4644" spans="1:13" x14ac:dyDescent="0.2">
      <c r="C4644" t="b">
        <v>0</v>
      </c>
      <c r="D4644">
        <v>7932.56</v>
      </c>
      <c r="E4644" t="s">
        <v>30</v>
      </c>
    </row>
    <row r="4645" spans="1:13" x14ac:dyDescent="0.2">
      <c r="A4645" t="s">
        <v>0</v>
      </c>
    </row>
    <row r="4646" spans="1:13" x14ac:dyDescent="0.2">
      <c r="B4646" t="s">
        <v>1</v>
      </c>
      <c r="C4646" t="s">
        <v>2</v>
      </c>
      <c r="D4646" t="s">
        <v>3</v>
      </c>
      <c r="E4646" t="s">
        <v>4</v>
      </c>
      <c r="F4646" t="s">
        <v>5</v>
      </c>
      <c r="G4646" t="s">
        <v>6</v>
      </c>
    </row>
    <row r="4647" spans="1:13" x14ac:dyDescent="0.2">
      <c r="B4647" t="b">
        <v>0</v>
      </c>
      <c r="C4647" t="s">
        <v>120</v>
      </c>
      <c r="D4647" t="s">
        <v>337</v>
      </c>
      <c r="E4647" t="s">
        <v>0</v>
      </c>
      <c r="G4647" t="s">
        <v>338</v>
      </c>
    </row>
    <row r="4648" spans="1:13" x14ac:dyDescent="0.2">
      <c r="B4648" t="s">
        <v>11</v>
      </c>
    </row>
    <row r="4649" spans="1:13" x14ac:dyDescent="0.2">
      <c r="B4649" t="s">
        <v>12</v>
      </c>
      <c r="C4649" t="s">
        <v>13</v>
      </c>
      <c r="D4649" t="s">
        <v>14</v>
      </c>
      <c r="E4649" t="s">
        <v>15</v>
      </c>
      <c r="F4649" t="s">
        <v>16</v>
      </c>
      <c r="G4649" t="s">
        <v>17</v>
      </c>
      <c r="H4649" t="s">
        <v>18</v>
      </c>
      <c r="I4649" t="s">
        <v>19</v>
      </c>
      <c r="J4649" t="s">
        <v>20</v>
      </c>
      <c r="K4649" t="s">
        <v>21</v>
      </c>
      <c r="L4649" t="s">
        <v>22</v>
      </c>
      <c r="M4649" t="s">
        <v>23</v>
      </c>
    </row>
    <row r="4650" spans="1:13" x14ac:dyDescent="0.2">
      <c r="B4650" t="s">
        <v>24</v>
      </c>
      <c r="C4650">
        <v>59</v>
      </c>
      <c r="E4650" t="s">
        <v>25</v>
      </c>
      <c r="F4650">
        <v>55581.78</v>
      </c>
      <c r="G4650">
        <v>1.3</v>
      </c>
      <c r="H4650">
        <v>1.7000000000000001E-2</v>
      </c>
      <c r="I4650" t="s">
        <v>26</v>
      </c>
      <c r="J4650">
        <v>1.3</v>
      </c>
      <c r="K4650">
        <v>0.1</v>
      </c>
      <c r="L4650">
        <v>7</v>
      </c>
    </row>
    <row r="4651" spans="1:13" x14ac:dyDescent="0.2">
      <c r="C4651" t="s">
        <v>27</v>
      </c>
    </row>
    <row r="4652" spans="1:13" x14ac:dyDescent="0.2">
      <c r="C4652" t="s">
        <v>28</v>
      </c>
      <c r="D4652" t="s">
        <v>16</v>
      </c>
      <c r="E4652" t="s">
        <v>29</v>
      </c>
      <c r="F4652" t="s">
        <v>18</v>
      </c>
    </row>
    <row r="4653" spans="1:13" x14ac:dyDescent="0.2">
      <c r="C4653" t="b">
        <v>0</v>
      </c>
      <c r="D4653">
        <v>55248.88</v>
      </c>
      <c r="E4653" t="s">
        <v>30</v>
      </c>
      <c r="F4653">
        <v>1.7000000000000001E-2</v>
      </c>
    </row>
    <row r="4654" spans="1:13" x14ac:dyDescent="0.2">
      <c r="C4654" t="b">
        <v>0</v>
      </c>
      <c r="D4654">
        <v>55641.09</v>
      </c>
      <c r="E4654" t="s">
        <v>30</v>
      </c>
      <c r="F4654">
        <v>1.7000000000000001E-2</v>
      </c>
    </row>
    <row r="4655" spans="1:13" x14ac:dyDescent="0.2">
      <c r="C4655" t="b">
        <v>0</v>
      </c>
      <c r="D4655">
        <v>55770.91</v>
      </c>
      <c r="E4655" t="s">
        <v>30</v>
      </c>
      <c r="F4655">
        <v>1.7000000000000001E-2</v>
      </c>
    </row>
    <row r="4656" spans="1:13" x14ac:dyDescent="0.2">
      <c r="C4656" t="b">
        <v>0</v>
      </c>
      <c r="D4656">
        <v>54435.6</v>
      </c>
      <c r="E4656" t="s">
        <v>30</v>
      </c>
      <c r="F4656">
        <v>1.7000000000000001E-2</v>
      </c>
    </row>
    <row r="4657" spans="2:13" x14ac:dyDescent="0.2">
      <c r="C4657" t="b">
        <v>0</v>
      </c>
      <c r="D4657">
        <v>55731.199999999997</v>
      </c>
      <c r="E4657" t="s">
        <v>30</v>
      </c>
      <c r="F4657">
        <v>1.7000000000000001E-2</v>
      </c>
    </row>
    <row r="4658" spans="2:13" x14ac:dyDescent="0.2">
      <c r="C4658" t="b">
        <v>0</v>
      </c>
      <c r="D4658">
        <v>55349.09</v>
      </c>
      <c r="E4658" t="s">
        <v>30</v>
      </c>
      <c r="F4658">
        <v>1.7000000000000001E-2</v>
      </c>
    </row>
    <row r="4659" spans="2:13" x14ac:dyDescent="0.2">
      <c r="C4659" t="b">
        <v>0</v>
      </c>
      <c r="D4659">
        <v>56895.7</v>
      </c>
      <c r="E4659" t="s">
        <v>30</v>
      </c>
      <c r="F4659">
        <v>1.7999999999999999E-2</v>
      </c>
    </row>
    <row r="4660" spans="2:13" x14ac:dyDescent="0.2">
      <c r="B4660" t="s">
        <v>11</v>
      </c>
    </row>
    <row r="4661" spans="2:13" x14ac:dyDescent="0.2">
      <c r="B4661" t="s">
        <v>12</v>
      </c>
      <c r="C4661" t="s">
        <v>13</v>
      </c>
      <c r="D4661" t="s">
        <v>14</v>
      </c>
      <c r="E4661" t="s">
        <v>15</v>
      </c>
      <c r="F4661" t="s">
        <v>16</v>
      </c>
      <c r="G4661" t="s">
        <v>17</v>
      </c>
      <c r="H4661" t="s">
        <v>18</v>
      </c>
      <c r="I4661" t="s">
        <v>19</v>
      </c>
      <c r="J4661" t="s">
        <v>20</v>
      </c>
      <c r="K4661" t="s">
        <v>21</v>
      </c>
      <c r="L4661" t="s">
        <v>22</v>
      </c>
      <c r="M4661" t="s">
        <v>23</v>
      </c>
    </row>
    <row r="4662" spans="2:13" x14ac:dyDescent="0.2">
      <c r="B4662" t="s">
        <v>31</v>
      </c>
      <c r="C4662">
        <v>45</v>
      </c>
      <c r="E4662" t="s">
        <v>25</v>
      </c>
      <c r="F4662">
        <v>1514.42</v>
      </c>
      <c r="G4662">
        <v>5.5</v>
      </c>
      <c r="K4662">
        <v>0.1</v>
      </c>
      <c r="L4662">
        <v>7</v>
      </c>
      <c r="M4662">
        <v>116.7</v>
      </c>
    </row>
    <row r="4663" spans="2:13" x14ac:dyDescent="0.2">
      <c r="C4663" t="s">
        <v>27</v>
      </c>
    </row>
    <row r="4664" spans="2:13" x14ac:dyDescent="0.2">
      <c r="C4664" t="s">
        <v>28</v>
      </c>
      <c r="D4664" t="s">
        <v>16</v>
      </c>
      <c r="E4664" t="s">
        <v>29</v>
      </c>
      <c r="F4664" t="s">
        <v>18</v>
      </c>
    </row>
    <row r="4665" spans="2:13" x14ac:dyDescent="0.2">
      <c r="C4665" t="b">
        <v>0</v>
      </c>
      <c r="D4665">
        <v>1600.14</v>
      </c>
      <c r="E4665" t="s">
        <v>30</v>
      </c>
    </row>
    <row r="4666" spans="2:13" x14ac:dyDescent="0.2">
      <c r="C4666" t="b">
        <v>0</v>
      </c>
      <c r="D4666">
        <v>1620.14</v>
      </c>
      <c r="E4666" t="s">
        <v>30</v>
      </c>
    </row>
    <row r="4667" spans="2:13" x14ac:dyDescent="0.2">
      <c r="C4667" t="b">
        <v>0</v>
      </c>
      <c r="D4667">
        <v>1480.14</v>
      </c>
      <c r="E4667" t="s">
        <v>30</v>
      </c>
    </row>
    <row r="4668" spans="2:13" x14ac:dyDescent="0.2">
      <c r="C4668" t="b">
        <v>0</v>
      </c>
      <c r="D4668">
        <v>1530.14</v>
      </c>
      <c r="E4668" t="s">
        <v>30</v>
      </c>
    </row>
    <row r="4669" spans="2:13" x14ac:dyDescent="0.2">
      <c r="C4669" t="b">
        <v>0</v>
      </c>
      <c r="D4669">
        <v>1490.13</v>
      </c>
      <c r="E4669" t="s">
        <v>30</v>
      </c>
    </row>
    <row r="4670" spans="2:13" x14ac:dyDescent="0.2">
      <c r="C4670" t="b">
        <v>0</v>
      </c>
      <c r="D4670">
        <v>1510.15</v>
      </c>
      <c r="E4670" t="s">
        <v>30</v>
      </c>
    </row>
    <row r="4671" spans="2:13" x14ac:dyDescent="0.2">
      <c r="C4671" t="b">
        <v>0</v>
      </c>
      <c r="D4671">
        <v>1370.13</v>
      </c>
      <c r="E4671" t="s">
        <v>30</v>
      </c>
    </row>
    <row r="4672" spans="2:13" x14ac:dyDescent="0.2">
      <c r="B4672" t="s">
        <v>11</v>
      </c>
    </row>
    <row r="4673" spans="2:13" x14ac:dyDescent="0.2">
      <c r="B4673" t="s">
        <v>12</v>
      </c>
      <c r="C4673" t="s">
        <v>13</v>
      </c>
      <c r="D4673" t="s">
        <v>14</v>
      </c>
      <c r="E4673" t="s">
        <v>15</v>
      </c>
      <c r="F4673" t="s">
        <v>16</v>
      </c>
      <c r="G4673" t="s">
        <v>17</v>
      </c>
      <c r="H4673" t="s">
        <v>18</v>
      </c>
      <c r="I4673" t="s">
        <v>19</v>
      </c>
      <c r="J4673" t="s">
        <v>20</v>
      </c>
      <c r="K4673" t="s">
        <v>21</v>
      </c>
      <c r="L4673" t="s">
        <v>22</v>
      </c>
      <c r="M4673" t="s">
        <v>23</v>
      </c>
    </row>
    <row r="4674" spans="2:13" x14ac:dyDescent="0.2">
      <c r="B4674" t="s">
        <v>32</v>
      </c>
      <c r="C4674">
        <v>72</v>
      </c>
      <c r="E4674" t="s">
        <v>25</v>
      </c>
      <c r="F4674">
        <v>1342.97</v>
      </c>
      <c r="G4674">
        <v>11.7</v>
      </c>
      <c r="K4674">
        <v>0.1</v>
      </c>
      <c r="L4674">
        <v>7</v>
      </c>
      <c r="M4674">
        <v>97.3</v>
      </c>
    </row>
    <row r="4675" spans="2:13" x14ac:dyDescent="0.2">
      <c r="C4675" t="s">
        <v>27</v>
      </c>
    </row>
    <row r="4676" spans="2:13" x14ac:dyDescent="0.2">
      <c r="C4676" t="s">
        <v>28</v>
      </c>
      <c r="D4676" t="s">
        <v>16</v>
      </c>
      <c r="E4676" t="s">
        <v>29</v>
      </c>
      <c r="F4676" t="s">
        <v>18</v>
      </c>
    </row>
    <row r="4677" spans="2:13" x14ac:dyDescent="0.2">
      <c r="C4677" t="b">
        <v>0</v>
      </c>
      <c r="D4677">
        <v>1360.11</v>
      </c>
      <c r="E4677" t="s">
        <v>30</v>
      </c>
    </row>
    <row r="4678" spans="2:13" x14ac:dyDescent="0.2">
      <c r="C4678" t="b">
        <v>0</v>
      </c>
      <c r="D4678">
        <v>1230.0999999999999</v>
      </c>
      <c r="E4678" t="s">
        <v>30</v>
      </c>
    </row>
    <row r="4679" spans="2:13" x14ac:dyDescent="0.2">
      <c r="C4679" t="b">
        <v>0</v>
      </c>
      <c r="D4679">
        <v>1150.08</v>
      </c>
      <c r="E4679" t="s">
        <v>30</v>
      </c>
    </row>
    <row r="4680" spans="2:13" x14ac:dyDescent="0.2">
      <c r="C4680" t="b">
        <v>0</v>
      </c>
      <c r="D4680">
        <v>1340.12</v>
      </c>
      <c r="E4680" t="s">
        <v>30</v>
      </c>
    </row>
    <row r="4681" spans="2:13" x14ac:dyDescent="0.2">
      <c r="C4681" t="b">
        <v>0</v>
      </c>
      <c r="D4681">
        <v>1510.14</v>
      </c>
      <c r="E4681" t="s">
        <v>30</v>
      </c>
    </row>
    <row r="4682" spans="2:13" x14ac:dyDescent="0.2">
      <c r="C4682" t="b">
        <v>0</v>
      </c>
      <c r="D4682">
        <v>1580.14</v>
      </c>
      <c r="E4682" t="s">
        <v>30</v>
      </c>
    </row>
    <row r="4683" spans="2:13" x14ac:dyDescent="0.2">
      <c r="C4683" t="b">
        <v>0</v>
      </c>
      <c r="D4683">
        <v>1230.0999999999999</v>
      </c>
      <c r="E4683" t="s">
        <v>30</v>
      </c>
    </row>
    <row r="4684" spans="2:13" x14ac:dyDescent="0.2">
      <c r="B4684" t="s">
        <v>11</v>
      </c>
    </row>
    <row r="4685" spans="2:13" x14ac:dyDescent="0.2">
      <c r="B4685" t="s">
        <v>12</v>
      </c>
      <c r="C4685" t="s">
        <v>13</v>
      </c>
      <c r="D4685" t="s">
        <v>14</v>
      </c>
      <c r="E4685" t="s">
        <v>15</v>
      </c>
      <c r="F4685" t="s">
        <v>16</v>
      </c>
      <c r="G4685" t="s">
        <v>17</v>
      </c>
      <c r="H4685" t="s">
        <v>18</v>
      </c>
      <c r="I4685" t="s">
        <v>19</v>
      </c>
      <c r="J4685" t="s">
        <v>20</v>
      </c>
      <c r="K4685" t="s">
        <v>21</v>
      </c>
      <c r="L4685" t="s">
        <v>22</v>
      </c>
      <c r="M4685" t="s">
        <v>23</v>
      </c>
    </row>
    <row r="4686" spans="2:13" x14ac:dyDescent="0.2">
      <c r="B4686" t="s">
        <v>33</v>
      </c>
      <c r="C4686">
        <v>89</v>
      </c>
      <c r="E4686" t="s">
        <v>25</v>
      </c>
      <c r="F4686">
        <v>8079.78</v>
      </c>
      <c r="G4686">
        <v>6.4</v>
      </c>
      <c r="K4686">
        <v>0.1</v>
      </c>
      <c r="L4686">
        <v>7</v>
      </c>
      <c r="M4686">
        <v>107.3</v>
      </c>
    </row>
    <row r="4687" spans="2:13" x14ac:dyDescent="0.2">
      <c r="C4687" t="s">
        <v>27</v>
      </c>
    </row>
    <row r="4688" spans="2:13" x14ac:dyDescent="0.2">
      <c r="C4688" t="s">
        <v>28</v>
      </c>
      <c r="D4688" t="s">
        <v>16</v>
      </c>
      <c r="E4688" t="s">
        <v>29</v>
      </c>
      <c r="F4688" t="s">
        <v>18</v>
      </c>
    </row>
    <row r="4689" spans="1:13" x14ac:dyDescent="0.2">
      <c r="C4689" t="b">
        <v>0</v>
      </c>
      <c r="D4689">
        <v>7842.45</v>
      </c>
      <c r="E4689" t="s">
        <v>30</v>
      </c>
    </row>
    <row r="4690" spans="1:13" x14ac:dyDescent="0.2">
      <c r="C4690" t="b">
        <v>0</v>
      </c>
      <c r="D4690">
        <v>8612.93</v>
      </c>
      <c r="E4690" t="s">
        <v>30</v>
      </c>
    </row>
    <row r="4691" spans="1:13" x14ac:dyDescent="0.2">
      <c r="C4691" t="b">
        <v>0</v>
      </c>
      <c r="D4691">
        <v>8542.91</v>
      </c>
      <c r="E4691" t="s">
        <v>30</v>
      </c>
    </row>
    <row r="4692" spans="1:13" x14ac:dyDescent="0.2">
      <c r="C4692" t="b">
        <v>0</v>
      </c>
      <c r="D4692">
        <v>7352.17</v>
      </c>
      <c r="E4692" t="s">
        <v>30</v>
      </c>
    </row>
    <row r="4693" spans="1:13" x14ac:dyDescent="0.2">
      <c r="C4693" t="b">
        <v>0</v>
      </c>
      <c r="D4693">
        <v>8623</v>
      </c>
      <c r="E4693" t="s">
        <v>30</v>
      </c>
    </row>
    <row r="4694" spans="1:13" x14ac:dyDescent="0.2">
      <c r="C4694" t="b">
        <v>0</v>
      </c>
      <c r="D4694">
        <v>7952.55</v>
      </c>
      <c r="E4694" t="s">
        <v>30</v>
      </c>
    </row>
    <row r="4695" spans="1:13" x14ac:dyDescent="0.2">
      <c r="C4695" t="b">
        <v>0</v>
      </c>
      <c r="D4695">
        <v>7632.44</v>
      </c>
      <c r="E4695" t="s">
        <v>30</v>
      </c>
    </row>
    <row r="4696" spans="1:13" x14ac:dyDescent="0.2">
      <c r="A4696" t="s">
        <v>0</v>
      </c>
    </row>
    <row r="4697" spans="1:13" x14ac:dyDescent="0.2">
      <c r="B4697" t="s">
        <v>1</v>
      </c>
      <c r="C4697" t="s">
        <v>2</v>
      </c>
      <c r="D4697" t="s">
        <v>3</v>
      </c>
      <c r="E4697" t="s">
        <v>4</v>
      </c>
      <c r="F4697" t="s">
        <v>5</v>
      </c>
      <c r="G4697" t="s">
        <v>6</v>
      </c>
    </row>
    <row r="4698" spans="1:13" x14ac:dyDescent="0.2">
      <c r="B4698" t="b">
        <v>0</v>
      </c>
      <c r="C4698" t="s">
        <v>123</v>
      </c>
      <c r="D4698" t="s">
        <v>339</v>
      </c>
      <c r="E4698" t="s">
        <v>0</v>
      </c>
      <c r="G4698" t="s">
        <v>340</v>
      </c>
    </row>
    <row r="4699" spans="1:13" x14ac:dyDescent="0.2">
      <c r="B4699" t="s">
        <v>11</v>
      </c>
    </row>
    <row r="4700" spans="1:13" x14ac:dyDescent="0.2">
      <c r="B4700" t="s">
        <v>12</v>
      </c>
      <c r="C4700" t="s">
        <v>13</v>
      </c>
      <c r="D4700" t="s">
        <v>14</v>
      </c>
      <c r="E4700" t="s">
        <v>15</v>
      </c>
      <c r="F4700" t="s">
        <v>16</v>
      </c>
      <c r="G4700" t="s">
        <v>17</v>
      </c>
      <c r="H4700" t="s">
        <v>18</v>
      </c>
      <c r="I4700" t="s">
        <v>19</v>
      </c>
      <c r="J4700" t="s">
        <v>20</v>
      </c>
      <c r="K4700" t="s">
        <v>21</v>
      </c>
      <c r="L4700" t="s">
        <v>22</v>
      </c>
      <c r="M4700" t="s">
        <v>23</v>
      </c>
    </row>
    <row r="4701" spans="1:13" x14ac:dyDescent="0.2">
      <c r="B4701" t="s">
        <v>24</v>
      </c>
      <c r="C4701">
        <v>59</v>
      </c>
      <c r="E4701" t="s">
        <v>25</v>
      </c>
      <c r="F4701">
        <v>286816.5</v>
      </c>
      <c r="G4701">
        <v>0.7</v>
      </c>
      <c r="H4701">
        <v>8.7999999999999995E-2</v>
      </c>
      <c r="I4701" t="s">
        <v>26</v>
      </c>
      <c r="J4701">
        <v>0.7</v>
      </c>
      <c r="K4701">
        <v>0.1</v>
      </c>
      <c r="L4701">
        <v>7</v>
      </c>
    </row>
    <row r="4702" spans="1:13" x14ac:dyDescent="0.2">
      <c r="C4702" t="s">
        <v>27</v>
      </c>
    </row>
    <row r="4703" spans="1:13" x14ac:dyDescent="0.2">
      <c r="C4703" t="s">
        <v>28</v>
      </c>
      <c r="D4703" t="s">
        <v>16</v>
      </c>
      <c r="E4703" t="s">
        <v>29</v>
      </c>
      <c r="F4703" t="s">
        <v>18</v>
      </c>
    </row>
    <row r="4704" spans="1:13" x14ac:dyDescent="0.2">
      <c r="C4704" t="b">
        <v>0</v>
      </c>
      <c r="D4704">
        <v>285570.52</v>
      </c>
      <c r="E4704" t="s">
        <v>30</v>
      </c>
      <c r="F4704">
        <v>8.7999999999999995E-2</v>
      </c>
    </row>
    <row r="4705" spans="2:13" x14ac:dyDescent="0.2">
      <c r="C4705" t="b">
        <v>0</v>
      </c>
      <c r="D4705">
        <v>285606.15000000002</v>
      </c>
      <c r="E4705" t="s">
        <v>30</v>
      </c>
      <c r="F4705">
        <v>8.7999999999999995E-2</v>
      </c>
    </row>
    <row r="4706" spans="2:13" x14ac:dyDescent="0.2">
      <c r="C4706" t="b">
        <v>0</v>
      </c>
      <c r="D4706">
        <v>290096.58</v>
      </c>
      <c r="E4706" t="s">
        <v>30</v>
      </c>
      <c r="F4706">
        <v>8.8999999999999996E-2</v>
      </c>
    </row>
    <row r="4707" spans="2:13" x14ac:dyDescent="0.2">
      <c r="C4707" t="b">
        <v>0</v>
      </c>
      <c r="D4707">
        <v>287944</v>
      </c>
      <c r="E4707" t="s">
        <v>30</v>
      </c>
      <c r="F4707">
        <v>8.8999999999999996E-2</v>
      </c>
    </row>
    <row r="4708" spans="2:13" x14ac:dyDescent="0.2">
      <c r="C4708" t="b">
        <v>0</v>
      </c>
      <c r="D4708">
        <v>285963.36</v>
      </c>
      <c r="E4708" t="s">
        <v>30</v>
      </c>
      <c r="F4708">
        <v>8.7999999999999995E-2</v>
      </c>
    </row>
    <row r="4709" spans="2:13" x14ac:dyDescent="0.2">
      <c r="C4709" t="b">
        <v>0</v>
      </c>
      <c r="D4709">
        <v>288477.98</v>
      </c>
      <c r="E4709" t="s">
        <v>30</v>
      </c>
      <c r="F4709">
        <v>8.8999999999999996E-2</v>
      </c>
    </row>
    <row r="4710" spans="2:13" x14ac:dyDescent="0.2">
      <c r="C4710" t="b">
        <v>0</v>
      </c>
      <c r="D4710">
        <v>284056.93</v>
      </c>
      <c r="E4710" t="s">
        <v>30</v>
      </c>
      <c r="F4710">
        <v>8.7999999999999995E-2</v>
      </c>
    </row>
    <row r="4711" spans="2:13" x14ac:dyDescent="0.2">
      <c r="B4711" t="s">
        <v>11</v>
      </c>
    </row>
    <row r="4712" spans="2:13" x14ac:dyDescent="0.2">
      <c r="B4712" t="s">
        <v>12</v>
      </c>
      <c r="C4712" t="s">
        <v>13</v>
      </c>
      <c r="D4712" t="s">
        <v>14</v>
      </c>
      <c r="E4712" t="s">
        <v>15</v>
      </c>
      <c r="F4712" t="s">
        <v>16</v>
      </c>
      <c r="G4712" t="s">
        <v>17</v>
      </c>
      <c r="H4712" t="s">
        <v>18</v>
      </c>
      <c r="I4712" t="s">
        <v>19</v>
      </c>
      <c r="J4712" t="s">
        <v>20</v>
      </c>
      <c r="K4712" t="s">
        <v>21</v>
      </c>
      <c r="L4712" t="s">
        <v>22</v>
      </c>
      <c r="M4712" t="s">
        <v>23</v>
      </c>
    </row>
    <row r="4713" spans="2:13" x14ac:dyDescent="0.2">
      <c r="B4713" t="s">
        <v>31</v>
      </c>
      <c r="C4713">
        <v>45</v>
      </c>
      <c r="E4713" t="s">
        <v>25</v>
      </c>
      <c r="F4713">
        <v>1347.25</v>
      </c>
      <c r="G4713">
        <v>14</v>
      </c>
      <c r="K4713">
        <v>0.1</v>
      </c>
      <c r="L4713">
        <v>7</v>
      </c>
      <c r="M4713">
        <v>103.9</v>
      </c>
    </row>
    <row r="4714" spans="2:13" x14ac:dyDescent="0.2">
      <c r="C4714" t="s">
        <v>27</v>
      </c>
    </row>
    <row r="4715" spans="2:13" x14ac:dyDescent="0.2">
      <c r="C4715" t="s">
        <v>28</v>
      </c>
      <c r="D4715" t="s">
        <v>16</v>
      </c>
      <c r="E4715" t="s">
        <v>29</v>
      </c>
      <c r="F4715" t="s">
        <v>18</v>
      </c>
    </row>
    <row r="4716" spans="2:13" x14ac:dyDescent="0.2">
      <c r="C4716" t="b">
        <v>0</v>
      </c>
      <c r="D4716">
        <v>1260.0899999999999</v>
      </c>
      <c r="E4716" t="s">
        <v>30</v>
      </c>
    </row>
    <row r="4717" spans="2:13" x14ac:dyDescent="0.2">
      <c r="C4717" t="b">
        <v>0</v>
      </c>
      <c r="D4717">
        <v>1290.0999999999999</v>
      </c>
      <c r="E4717" t="s">
        <v>30</v>
      </c>
    </row>
    <row r="4718" spans="2:13" x14ac:dyDescent="0.2">
      <c r="C4718" t="b">
        <v>0</v>
      </c>
      <c r="D4718">
        <v>1390.11</v>
      </c>
      <c r="E4718" t="s">
        <v>30</v>
      </c>
    </row>
    <row r="4719" spans="2:13" x14ac:dyDescent="0.2">
      <c r="C4719" t="b">
        <v>0</v>
      </c>
      <c r="D4719">
        <v>1410.11</v>
      </c>
      <c r="E4719" t="s">
        <v>30</v>
      </c>
    </row>
    <row r="4720" spans="2:13" x14ac:dyDescent="0.2">
      <c r="C4720" t="b">
        <v>0</v>
      </c>
      <c r="D4720">
        <v>1000.07</v>
      </c>
      <c r="E4720" t="s">
        <v>30</v>
      </c>
    </row>
    <row r="4721" spans="2:13" x14ac:dyDescent="0.2">
      <c r="C4721" t="b">
        <v>0</v>
      </c>
      <c r="D4721">
        <v>1500.12</v>
      </c>
      <c r="E4721" t="s">
        <v>30</v>
      </c>
    </row>
    <row r="4722" spans="2:13" x14ac:dyDescent="0.2">
      <c r="C4722" t="b">
        <v>0</v>
      </c>
      <c r="D4722">
        <v>1580.15</v>
      </c>
      <c r="E4722" t="s">
        <v>30</v>
      </c>
    </row>
    <row r="4723" spans="2:13" x14ac:dyDescent="0.2">
      <c r="B4723" t="s">
        <v>11</v>
      </c>
    </row>
    <row r="4724" spans="2:13" x14ac:dyDescent="0.2">
      <c r="B4724" t="s">
        <v>12</v>
      </c>
      <c r="C4724" t="s">
        <v>13</v>
      </c>
      <c r="D4724" t="s">
        <v>14</v>
      </c>
      <c r="E4724" t="s">
        <v>15</v>
      </c>
      <c r="F4724" t="s">
        <v>16</v>
      </c>
      <c r="G4724" t="s">
        <v>17</v>
      </c>
      <c r="H4724" t="s">
        <v>18</v>
      </c>
      <c r="I4724" t="s">
        <v>19</v>
      </c>
      <c r="J4724" t="s">
        <v>20</v>
      </c>
      <c r="K4724" t="s">
        <v>21</v>
      </c>
      <c r="L4724" t="s">
        <v>22</v>
      </c>
      <c r="M4724" t="s">
        <v>23</v>
      </c>
    </row>
    <row r="4725" spans="2:13" x14ac:dyDescent="0.2">
      <c r="B4725" t="s">
        <v>32</v>
      </c>
      <c r="C4725">
        <v>72</v>
      </c>
      <c r="E4725" t="s">
        <v>25</v>
      </c>
      <c r="F4725">
        <v>1302.96</v>
      </c>
      <c r="G4725">
        <v>13.3</v>
      </c>
      <c r="K4725">
        <v>0.1</v>
      </c>
      <c r="L4725">
        <v>7</v>
      </c>
      <c r="M4725">
        <v>94.4</v>
      </c>
    </row>
    <row r="4726" spans="2:13" x14ac:dyDescent="0.2">
      <c r="C4726" t="s">
        <v>27</v>
      </c>
    </row>
    <row r="4727" spans="2:13" x14ac:dyDescent="0.2">
      <c r="C4727" t="s">
        <v>28</v>
      </c>
      <c r="D4727" t="s">
        <v>16</v>
      </c>
      <c r="E4727" t="s">
        <v>29</v>
      </c>
      <c r="F4727" t="s">
        <v>18</v>
      </c>
    </row>
    <row r="4728" spans="2:13" x14ac:dyDescent="0.2">
      <c r="C4728" t="b">
        <v>0</v>
      </c>
      <c r="D4728">
        <v>1160.0899999999999</v>
      </c>
      <c r="E4728" t="s">
        <v>30</v>
      </c>
    </row>
    <row r="4729" spans="2:13" x14ac:dyDescent="0.2">
      <c r="C4729" t="b">
        <v>0</v>
      </c>
      <c r="D4729">
        <v>1250.0999999999999</v>
      </c>
      <c r="E4729" t="s">
        <v>30</v>
      </c>
    </row>
    <row r="4730" spans="2:13" x14ac:dyDescent="0.2">
      <c r="C4730" t="b">
        <v>0</v>
      </c>
      <c r="D4730">
        <v>1350.12</v>
      </c>
      <c r="E4730" t="s">
        <v>30</v>
      </c>
    </row>
    <row r="4731" spans="2:13" x14ac:dyDescent="0.2">
      <c r="C4731" t="b">
        <v>0</v>
      </c>
      <c r="D4731">
        <v>1140.08</v>
      </c>
      <c r="E4731" t="s">
        <v>30</v>
      </c>
    </row>
    <row r="4732" spans="2:13" x14ac:dyDescent="0.2">
      <c r="C4732" t="b">
        <v>0</v>
      </c>
      <c r="D4732">
        <v>1180.0899999999999</v>
      </c>
      <c r="E4732" t="s">
        <v>30</v>
      </c>
    </row>
    <row r="4733" spans="2:13" x14ac:dyDescent="0.2">
      <c r="C4733" t="b">
        <v>0</v>
      </c>
      <c r="D4733">
        <v>1620.16</v>
      </c>
      <c r="E4733" t="s">
        <v>30</v>
      </c>
    </row>
    <row r="4734" spans="2:13" x14ac:dyDescent="0.2">
      <c r="C4734" t="b">
        <v>0</v>
      </c>
      <c r="D4734">
        <v>1420.11</v>
      </c>
      <c r="E4734" t="s">
        <v>30</v>
      </c>
    </row>
    <row r="4735" spans="2:13" x14ac:dyDescent="0.2">
      <c r="B4735" t="s">
        <v>11</v>
      </c>
    </row>
    <row r="4736" spans="2:13" x14ac:dyDescent="0.2">
      <c r="B4736" t="s">
        <v>12</v>
      </c>
      <c r="C4736" t="s">
        <v>13</v>
      </c>
      <c r="D4736" t="s">
        <v>14</v>
      </c>
      <c r="E4736" t="s">
        <v>15</v>
      </c>
      <c r="F4736" t="s">
        <v>16</v>
      </c>
      <c r="G4736" t="s">
        <v>17</v>
      </c>
      <c r="H4736" t="s">
        <v>18</v>
      </c>
      <c r="I4736" t="s">
        <v>19</v>
      </c>
      <c r="J4736" t="s">
        <v>20</v>
      </c>
      <c r="K4736" t="s">
        <v>21</v>
      </c>
      <c r="L4736" t="s">
        <v>22</v>
      </c>
      <c r="M4736" t="s">
        <v>23</v>
      </c>
    </row>
    <row r="4737" spans="1:13" x14ac:dyDescent="0.2">
      <c r="B4737" t="s">
        <v>33</v>
      </c>
      <c r="C4737">
        <v>89</v>
      </c>
      <c r="E4737" t="s">
        <v>25</v>
      </c>
      <c r="F4737">
        <v>7340.76</v>
      </c>
      <c r="G4737">
        <v>9.3000000000000007</v>
      </c>
      <c r="K4737">
        <v>0.1</v>
      </c>
      <c r="L4737">
        <v>7</v>
      </c>
      <c r="M4737">
        <v>97.5</v>
      </c>
    </row>
    <row r="4738" spans="1:13" x14ac:dyDescent="0.2">
      <c r="C4738" t="s">
        <v>27</v>
      </c>
    </row>
    <row r="4739" spans="1:13" x14ac:dyDescent="0.2">
      <c r="C4739" t="s">
        <v>28</v>
      </c>
      <c r="D4739" t="s">
        <v>16</v>
      </c>
      <c r="E4739" t="s">
        <v>29</v>
      </c>
      <c r="F4739" t="s">
        <v>18</v>
      </c>
    </row>
    <row r="4740" spans="1:13" x14ac:dyDescent="0.2">
      <c r="C4740" t="b">
        <v>0</v>
      </c>
      <c r="D4740">
        <v>6461.73</v>
      </c>
      <c r="E4740" t="s">
        <v>30</v>
      </c>
    </row>
    <row r="4741" spans="1:13" x14ac:dyDescent="0.2">
      <c r="C4741" t="b">
        <v>0</v>
      </c>
      <c r="D4741">
        <v>7252.14</v>
      </c>
      <c r="E4741" t="s">
        <v>30</v>
      </c>
    </row>
    <row r="4742" spans="1:13" x14ac:dyDescent="0.2">
      <c r="C4742" t="b">
        <v>0</v>
      </c>
      <c r="D4742">
        <v>6711.88</v>
      </c>
      <c r="E4742" t="s">
        <v>30</v>
      </c>
    </row>
    <row r="4743" spans="1:13" x14ac:dyDescent="0.2">
      <c r="C4743" t="b">
        <v>0</v>
      </c>
      <c r="D4743">
        <v>7202.15</v>
      </c>
      <c r="E4743" t="s">
        <v>30</v>
      </c>
    </row>
    <row r="4744" spans="1:13" x14ac:dyDescent="0.2">
      <c r="C4744" t="b">
        <v>0</v>
      </c>
      <c r="D4744">
        <v>7322.16</v>
      </c>
      <c r="E4744" t="s">
        <v>30</v>
      </c>
    </row>
    <row r="4745" spans="1:13" x14ac:dyDescent="0.2">
      <c r="C4745" t="b">
        <v>0</v>
      </c>
      <c r="D4745">
        <v>8042.57</v>
      </c>
      <c r="E4745" t="s">
        <v>30</v>
      </c>
    </row>
    <row r="4746" spans="1:13" x14ac:dyDescent="0.2">
      <c r="C4746" t="b">
        <v>0</v>
      </c>
      <c r="D4746">
        <v>8392.7199999999993</v>
      </c>
      <c r="E4746" t="s">
        <v>30</v>
      </c>
    </row>
    <row r="4747" spans="1:13" x14ac:dyDescent="0.2">
      <c r="A4747" t="s">
        <v>0</v>
      </c>
    </row>
    <row r="4748" spans="1:13" x14ac:dyDescent="0.2">
      <c r="B4748" t="s">
        <v>1</v>
      </c>
      <c r="C4748" t="s">
        <v>2</v>
      </c>
      <c r="D4748" t="s">
        <v>3</v>
      </c>
      <c r="E4748" t="s">
        <v>4</v>
      </c>
      <c r="F4748" t="s">
        <v>5</v>
      </c>
      <c r="G4748" t="s">
        <v>6</v>
      </c>
    </row>
    <row r="4749" spans="1:13" x14ac:dyDescent="0.2">
      <c r="A4749" t="s">
        <v>341</v>
      </c>
      <c r="B4749" t="b">
        <v>0</v>
      </c>
      <c r="C4749" t="s">
        <v>127</v>
      </c>
      <c r="D4749" t="s">
        <v>342</v>
      </c>
      <c r="E4749" t="s">
        <v>0</v>
      </c>
      <c r="G4749" t="s">
        <v>343</v>
      </c>
    </row>
    <row r="4750" spans="1:13" x14ac:dyDescent="0.2">
      <c r="B4750" t="s">
        <v>11</v>
      </c>
    </row>
    <row r="4751" spans="1:13" x14ac:dyDescent="0.2">
      <c r="B4751" t="s">
        <v>12</v>
      </c>
      <c r="C4751" t="s">
        <v>13</v>
      </c>
      <c r="D4751" t="s">
        <v>14</v>
      </c>
      <c r="E4751" t="s">
        <v>15</v>
      </c>
      <c r="F4751" t="s">
        <v>16</v>
      </c>
      <c r="G4751" t="s">
        <v>17</v>
      </c>
      <c r="H4751" t="s">
        <v>18</v>
      </c>
      <c r="I4751" t="s">
        <v>19</v>
      </c>
      <c r="J4751" t="s">
        <v>20</v>
      </c>
      <c r="K4751" t="s">
        <v>21</v>
      </c>
      <c r="L4751" t="s">
        <v>22</v>
      </c>
      <c r="M4751" t="s">
        <v>23</v>
      </c>
    </row>
    <row r="4752" spans="1:13" x14ac:dyDescent="0.2">
      <c r="B4752" t="s">
        <v>24</v>
      </c>
      <c r="C4752">
        <v>59</v>
      </c>
      <c r="E4752" t="s">
        <v>25</v>
      </c>
      <c r="F4752">
        <v>280768.65000000002</v>
      </c>
      <c r="G4752">
        <v>1</v>
      </c>
      <c r="H4752">
        <v>8.6999999999999994E-2</v>
      </c>
      <c r="I4752" t="s">
        <v>26</v>
      </c>
      <c r="J4752">
        <v>1</v>
      </c>
      <c r="K4752">
        <v>0.1</v>
      </c>
      <c r="L4752">
        <v>7</v>
      </c>
    </row>
    <row r="4753" spans="2:13" x14ac:dyDescent="0.2">
      <c r="C4753" t="s">
        <v>27</v>
      </c>
    </row>
    <row r="4754" spans="2:13" x14ac:dyDescent="0.2">
      <c r="C4754" t="s">
        <v>28</v>
      </c>
      <c r="D4754" t="s">
        <v>16</v>
      </c>
      <c r="E4754" t="s">
        <v>29</v>
      </c>
      <c r="F4754" t="s">
        <v>18</v>
      </c>
    </row>
    <row r="4755" spans="2:13" x14ac:dyDescent="0.2">
      <c r="C4755" t="b">
        <v>0</v>
      </c>
      <c r="D4755">
        <v>281537.46000000002</v>
      </c>
      <c r="E4755" t="s">
        <v>30</v>
      </c>
      <c r="F4755">
        <v>8.6999999999999994E-2</v>
      </c>
    </row>
    <row r="4756" spans="2:13" x14ac:dyDescent="0.2">
      <c r="C4756" t="b">
        <v>0</v>
      </c>
      <c r="D4756">
        <v>279990.71999999997</v>
      </c>
      <c r="E4756" t="s">
        <v>30</v>
      </c>
      <c r="F4756">
        <v>8.5999999999999993E-2</v>
      </c>
    </row>
    <row r="4757" spans="2:13" x14ac:dyDescent="0.2">
      <c r="C4757" t="b">
        <v>0</v>
      </c>
      <c r="D4757">
        <v>282105.37</v>
      </c>
      <c r="E4757" t="s">
        <v>30</v>
      </c>
      <c r="F4757">
        <v>8.6999999999999994E-2</v>
      </c>
    </row>
    <row r="4758" spans="2:13" x14ac:dyDescent="0.2">
      <c r="C4758" t="b">
        <v>0</v>
      </c>
      <c r="D4758">
        <v>280582.3</v>
      </c>
      <c r="E4758" t="s">
        <v>30</v>
      </c>
      <c r="F4758">
        <v>8.5999999999999993E-2</v>
      </c>
    </row>
    <row r="4759" spans="2:13" x14ac:dyDescent="0.2">
      <c r="C4759" t="b">
        <v>0</v>
      </c>
      <c r="D4759">
        <v>275830.71999999997</v>
      </c>
      <c r="E4759" t="s">
        <v>30</v>
      </c>
      <c r="F4759">
        <v>8.5000000000000006E-2</v>
      </c>
    </row>
    <row r="4760" spans="2:13" x14ac:dyDescent="0.2">
      <c r="C4760" t="b">
        <v>0</v>
      </c>
      <c r="D4760">
        <v>285426.75</v>
      </c>
      <c r="E4760" t="s">
        <v>30</v>
      </c>
      <c r="F4760">
        <v>8.7999999999999995E-2</v>
      </c>
    </row>
    <row r="4761" spans="2:13" x14ac:dyDescent="0.2">
      <c r="C4761" t="b">
        <v>0</v>
      </c>
      <c r="D4761">
        <v>279907.26</v>
      </c>
      <c r="E4761" t="s">
        <v>30</v>
      </c>
      <c r="F4761">
        <v>8.5999999999999993E-2</v>
      </c>
    </row>
    <row r="4762" spans="2:13" x14ac:dyDescent="0.2">
      <c r="B4762" t="s">
        <v>11</v>
      </c>
    </row>
    <row r="4763" spans="2:13" x14ac:dyDescent="0.2">
      <c r="B4763" t="s">
        <v>12</v>
      </c>
      <c r="C4763" t="s">
        <v>13</v>
      </c>
      <c r="D4763" t="s">
        <v>14</v>
      </c>
      <c r="E4763" t="s">
        <v>15</v>
      </c>
      <c r="F4763" t="s">
        <v>16</v>
      </c>
      <c r="G4763" t="s">
        <v>17</v>
      </c>
      <c r="H4763" t="s">
        <v>18</v>
      </c>
      <c r="I4763" t="s">
        <v>19</v>
      </c>
      <c r="J4763" t="s">
        <v>20</v>
      </c>
      <c r="K4763" t="s">
        <v>21</v>
      </c>
      <c r="L4763" t="s">
        <v>22</v>
      </c>
      <c r="M4763" t="s">
        <v>23</v>
      </c>
    </row>
    <row r="4764" spans="2:13" x14ac:dyDescent="0.2">
      <c r="B4764" t="s">
        <v>31</v>
      </c>
      <c r="C4764">
        <v>45</v>
      </c>
      <c r="E4764" t="s">
        <v>25</v>
      </c>
      <c r="F4764">
        <v>1562.99</v>
      </c>
      <c r="G4764">
        <v>9.1999999999999993</v>
      </c>
      <c r="K4764">
        <v>0.1</v>
      </c>
      <c r="L4764">
        <v>7</v>
      </c>
      <c r="M4764">
        <v>120.5</v>
      </c>
    </row>
    <row r="4765" spans="2:13" x14ac:dyDescent="0.2">
      <c r="C4765" t="s">
        <v>27</v>
      </c>
    </row>
    <row r="4766" spans="2:13" x14ac:dyDescent="0.2">
      <c r="C4766" t="s">
        <v>28</v>
      </c>
      <c r="D4766" t="s">
        <v>16</v>
      </c>
      <c r="E4766" t="s">
        <v>29</v>
      </c>
      <c r="F4766" t="s">
        <v>18</v>
      </c>
    </row>
    <row r="4767" spans="2:13" x14ac:dyDescent="0.2">
      <c r="C4767" t="b">
        <v>0</v>
      </c>
      <c r="D4767">
        <v>1650.14</v>
      </c>
      <c r="E4767" t="s">
        <v>30</v>
      </c>
    </row>
    <row r="4768" spans="2:13" x14ac:dyDescent="0.2">
      <c r="C4768" t="b">
        <v>0</v>
      </c>
      <c r="D4768">
        <v>1690.16</v>
      </c>
      <c r="E4768" t="s">
        <v>30</v>
      </c>
    </row>
    <row r="4769" spans="2:13" x14ac:dyDescent="0.2">
      <c r="C4769" t="b">
        <v>0</v>
      </c>
      <c r="D4769">
        <v>1610.14</v>
      </c>
      <c r="E4769" t="s">
        <v>30</v>
      </c>
    </row>
    <row r="4770" spans="2:13" x14ac:dyDescent="0.2">
      <c r="C4770" t="b">
        <v>0</v>
      </c>
      <c r="D4770">
        <v>1740.16</v>
      </c>
      <c r="E4770" t="s">
        <v>30</v>
      </c>
    </row>
    <row r="4771" spans="2:13" x14ac:dyDescent="0.2">
      <c r="C4771" t="b">
        <v>0</v>
      </c>
      <c r="D4771">
        <v>1390.12</v>
      </c>
      <c r="E4771" t="s">
        <v>30</v>
      </c>
    </row>
    <row r="4772" spans="2:13" x14ac:dyDescent="0.2">
      <c r="C4772" t="b">
        <v>0</v>
      </c>
      <c r="D4772">
        <v>1420.12</v>
      </c>
      <c r="E4772" t="s">
        <v>30</v>
      </c>
    </row>
    <row r="4773" spans="2:13" x14ac:dyDescent="0.2">
      <c r="C4773" t="b">
        <v>0</v>
      </c>
      <c r="D4773">
        <v>1440.12</v>
      </c>
      <c r="E4773" t="s">
        <v>30</v>
      </c>
    </row>
    <row r="4774" spans="2:13" x14ac:dyDescent="0.2">
      <c r="B4774" t="s">
        <v>11</v>
      </c>
    </row>
    <row r="4775" spans="2:13" x14ac:dyDescent="0.2">
      <c r="B4775" t="s">
        <v>12</v>
      </c>
      <c r="C4775" t="s">
        <v>13</v>
      </c>
      <c r="D4775" t="s">
        <v>14</v>
      </c>
      <c r="E4775" t="s">
        <v>15</v>
      </c>
      <c r="F4775" t="s">
        <v>16</v>
      </c>
      <c r="G4775" t="s">
        <v>17</v>
      </c>
      <c r="H4775" t="s">
        <v>18</v>
      </c>
      <c r="I4775" t="s">
        <v>19</v>
      </c>
      <c r="J4775" t="s">
        <v>20</v>
      </c>
      <c r="K4775" t="s">
        <v>21</v>
      </c>
      <c r="L4775" t="s">
        <v>22</v>
      </c>
      <c r="M4775" t="s">
        <v>23</v>
      </c>
    </row>
    <row r="4776" spans="2:13" x14ac:dyDescent="0.2">
      <c r="B4776" t="s">
        <v>32</v>
      </c>
      <c r="C4776">
        <v>72</v>
      </c>
      <c r="E4776" t="s">
        <v>25</v>
      </c>
      <c r="F4776">
        <v>1238.67</v>
      </c>
      <c r="G4776">
        <v>7.3</v>
      </c>
      <c r="K4776">
        <v>0.1</v>
      </c>
      <c r="L4776">
        <v>7</v>
      </c>
      <c r="M4776">
        <v>89.8</v>
      </c>
    </row>
    <row r="4777" spans="2:13" x14ac:dyDescent="0.2">
      <c r="C4777" t="s">
        <v>27</v>
      </c>
    </row>
    <row r="4778" spans="2:13" x14ac:dyDescent="0.2">
      <c r="C4778" t="s">
        <v>28</v>
      </c>
      <c r="D4778" t="s">
        <v>16</v>
      </c>
      <c r="E4778" t="s">
        <v>29</v>
      </c>
      <c r="F4778" t="s">
        <v>18</v>
      </c>
    </row>
    <row r="4779" spans="2:13" x14ac:dyDescent="0.2">
      <c r="C4779" t="b">
        <v>0</v>
      </c>
      <c r="D4779">
        <v>1260.0899999999999</v>
      </c>
      <c r="E4779" t="s">
        <v>30</v>
      </c>
    </row>
    <row r="4780" spans="2:13" x14ac:dyDescent="0.2">
      <c r="C4780" t="b">
        <v>0</v>
      </c>
      <c r="D4780">
        <v>1230.0999999999999</v>
      </c>
      <c r="E4780" t="s">
        <v>30</v>
      </c>
    </row>
    <row r="4781" spans="2:13" x14ac:dyDescent="0.2">
      <c r="C4781" t="b">
        <v>0</v>
      </c>
      <c r="D4781">
        <v>1080.0899999999999</v>
      </c>
      <c r="E4781" t="s">
        <v>30</v>
      </c>
    </row>
    <row r="4782" spans="2:13" x14ac:dyDescent="0.2">
      <c r="C4782" t="b">
        <v>0</v>
      </c>
      <c r="D4782">
        <v>1280.1199999999999</v>
      </c>
      <c r="E4782" t="s">
        <v>30</v>
      </c>
    </row>
    <row r="4783" spans="2:13" x14ac:dyDescent="0.2">
      <c r="C4783" t="b">
        <v>0</v>
      </c>
      <c r="D4783">
        <v>1270.0999999999999</v>
      </c>
      <c r="E4783" t="s">
        <v>30</v>
      </c>
    </row>
    <row r="4784" spans="2:13" x14ac:dyDescent="0.2">
      <c r="C4784" t="b">
        <v>0</v>
      </c>
      <c r="D4784">
        <v>1370.12</v>
      </c>
      <c r="E4784" t="s">
        <v>30</v>
      </c>
    </row>
    <row r="4785" spans="1:13" x14ac:dyDescent="0.2">
      <c r="C4785" t="b">
        <v>0</v>
      </c>
      <c r="D4785">
        <v>1180.0999999999999</v>
      </c>
      <c r="E4785" t="s">
        <v>30</v>
      </c>
    </row>
    <row r="4786" spans="1:13" x14ac:dyDescent="0.2">
      <c r="B4786" t="s">
        <v>11</v>
      </c>
    </row>
    <row r="4787" spans="1:13" x14ac:dyDescent="0.2">
      <c r="B4787" t="s">
        <v>12</v>
      </c>
      <c r="C4787" t="s">
        <v>13</v>
      </c>
      <c r="D4787" t="s">
        <v>14</v>
      </c>
      <c r="E4787" t="s">
        <v>15</v>
      </c>
      <c r="F4787" t="s">
        <v>16</v>
      </c>
      <c r="G4787" t="s">
        <v>17</v>
      </c>
      <c r="H4787" t="s">
        <v>18</v>
      </c>
      <c r="I4787" t="s">
        <v>19</v>
      </c>
      <c r="J4787" t="s">
        <v>20</v>
      </c>
      <c r="K4787" t="s">
        <v>21</v>
      </c>
      <c r="L4787" t="s">
        <v>22</v>
      </c>
      <c r="M4787" t="s">
        <v>23</v>
      </c>
    </row>
    <row r="4788" spans="1:13" x14ac:dyDescent="0.2">
      <c r="B4788" t="s">
        <v>33</v>
      </c>
      <c r="C4788">
        <v>89</v>
      </c>
      <c r="E4788" t="s">
        <v>25</v>
      </c>
      <c r="F4788">
        <v>7200.67</v>
      </c>
      <c r="G4788">
        <v>5.7</v>
      </c>
      <c r="K4788">
        <v>0.1</v>
      </c>
      <c r="L4788">
        <v>7</v>
      </c>
      <c r="M4788">
        <v>95.6</v>
      </c>
    </row>
    <row r="4789" spans="1:13" x14ac:dyDescent="0.2">
      <c r="C4789" t="s">
        <v>27</v>
      </c>
    </row>
    <row r="4790" spans="1:13" x14ac:dyDescent="0.2">
      <c r="C4790" t="s">
        <v>28</v>
      </c>
      <c r="D4790" t="s">
        <v>16</v>
      </c>
      <c r="E4790" t="s">
        <v>29</v>
      </c>
      <c r="F4790" t="s">
        <v>18</v>
      </c>
    </row>
    <row r="4791" spans="1:13" x14ac:dyDescent="0.2">
      <c r="C4791" t="b">
        <v>0</v>
      </c>
      <c r="D4791">
        <v>7752.41</v>
      </c>
      <c r="E4791" t="s">
        <v>30</v>
      </c>
    </row>
    <row r="4792" spans="1:13" x14ac:dyDescent="0.2">
      <c r="C4792" t="b">
        <v>0</v>
      </c>
      <c r="D4792">
        <v>7792.43</v>
      </c>
      <c r="E4792" t="s">
        <v>30</v>
      </c>
    </row>
    <row r="4793" spans="1:13" x14ac:dyDescent="0.2">
      <c r="C4793" t="b">
        <v>0</v>
      </c>
      <c r="D4793">
        <v>6801.87</v>
      </c>
      <c r="E4793" t="s">
        <v>30</v>
      </c>
    </row>
    <row r="4794" spans="1:13" x14ac:dyDescent="0.2">
      <c r="C4794" t="b">
        <v>0</v>
      </c>
      <c r="D4794">
        <v>7062</v>
      </c>
      <c r="E4794" t="s">
        <v>30</v>
      </c>
    </row>
    <row r="4795" spans="1:13" x14ac:dyDescent="0.2">
      <c r="C4795" t="b">
        <v>0</v>
      </c>
      <c r="D4795">
        <v>6921.95</v>
      </c>
      <c r="E4795" t="s">
        <v>30</v>
      </c>
    </row>
    <row r="4796" spans="1:13" x14ac:dyDescent="0.2">
      <c r="C4796" t="b">
        <v>0</v>
      </c>
      <c r="D4796">
        <v>6901.94</v>
      </c>
      <c r="E4796" t="s">
        <v>30</v>
      </c>
    </row>
    <row r="4797" spans="1:13" x14ac:dyDescent="0.2">
      <c r="C4797" t="b">
        <v>0</v>
      </c>
      <c r="D4797">
        <v>7172.12</v>
      </c>
      <c r="E4797" t="s">
        <v>30</v>
      </c>
    </row>
    <row r="4798" spans="1:13" x14ac:dyDescent="0.2">
      <c r="A4798" t="s">
        <v>0</v>
      </c>
    </row>
    <row r="4799" spans="1:13" x14ac:dyDescent="0.2">
      <c r="B4799" t="s">
        <v>1</v>
      </c>
      <c r="C4799" t="s">
        <v>2</v>
      </c>
      <c r="D4799" t="s">
        <v>3</v>
      </c>
      <c r="E4799" t="s">
        <v>4</v>
      </c>
      <c r="F4799" t="s">
        <v>5</v>
      </c>
      <c r="G4799" t="s">
        <v>6</v>
      </c>
    </row>
    <row r="4800" spans="1:13" x14ac:dyDescent="0.2">
      <c r="B4800" t="b">
        <v>0</v>
      </c>
      <c r="C4800" t="s">
        <v>130</v>
      </c>
      <c r="D4800" t="s">
        <v>344</v>
      </c>
      <c r="E4800" t="s">
        <v>0</v>
      </c>
      <c r="G4800" t="s">
        <v>345</v>
      </c>
    </row>
    <row r="4801" spans="2:13" x14ac:dyDescent="0.2">
      <c r="B4801" t="s">
        <v>11</v>
      </c>
    </row>
    <row r="4802" spans="2:13" x14ac:dyDescent="0.2">
      <c r="B4802" t="s">
        <v>12</v>
      </c>
      <c r="C4802" t="s">
        <v>13</v>
      </c>
      <c r="D4802" t="s">
        <v>14</v>
      </c>
      <c r="E4802" t="s">
        <v>15</v>
      </c>
      <c r="F4802" t="s">
        <v>16</v>
      </c>
      <c r="G4802" t="s">
        <v>17</v>
      </c>
      <c r="H4802" t="s">
        <v>18</v>
      </c>
      <c r="I4802" t="s">
        <v>19</v>
      </c>
      <c r="J4802" t="s">
        <v>20</v>
      </c>
      <c r="K4802" t="s">
        <v>21</v>
      </c>
      <c r="L4802" t="s">
        <v>22</v>
      </c>
      <c r="M4802" t="s">
        <v>23</v>
      </c>
    </row>
    <row r="4803" spans="2:13" x14ac:dyDescent="0.2">
      <c r="B4803" t="s">
        <v>24</v>
      </c>
      <c r="C4803">
        <v>59</v>
      </c>
      <c r="E4803" t="s">
        <v>25</v>
      </c>
      <c r="F4803">
        <v>294525.12</v>
      </c>
      <c r="G4803">
        <v>1</v>
      </c>
      <c r="H4803">
        <v>9.0999999999999998E-2</v>
      </c>
      <c r="I4803" t="s">
        <v>26</v>
      </c>
      <c r="J4803">
        <v>1</v>
      </c>
      <c r="K4803">
        <v>0.1</v>
      </c>
      <c r="L4803">
        <v>7</v>
      </c>
    </row>
    <row r="4804" spans="2:13" x14ac:dyDescent="0.2">
      <c r="C4804" t="s">
        <v>27</v>
      </c>
    </row>
    <row r="4805" spans="2:13" x14ac:dyDescent="0.2">
      <c r="C4805" t="s">
        <v>28</v>
      </c>
      <c r="D4805" t="s">
        <v>16</v>
      </c>
      <c r="E4805" t="s">
        <v>29</v>
      </c>
      <c r="F4805" t="s">
        <v>18</v>
      </c>
    </row>
    <row r="4806" spans="2:13" x14ac:dyDescent="0.2">
      <c r="C4806" t="b">
        <v>0</v>
      </c>
      <c r="D4806">
        <v>297661.46000000002</v>
      </c>
      <c r="E4806" t="s">
        <v>30</v>
      </c>
      <c r="F4806">
        <v>9.1999999999999998E-2</v>
      </c>
    </row>
    <row r="4807" spans="2:13" x14ac:dyDescent="0.2">
      <c r="C4807" t="b">
        <v>0</v>
      </c>
      <c r="D4807">
        <v>289639.33</v>
      </c>
      <c r="E4807" t="s">
        <v>30</v>
      </c>
      <c r="F4807">
        <v>8.8999999999999996E-2</v>
      </c>
    </row>
    <row r="4808" spans="2:13" x14ac:dyDescent="0.2">
      <c r="C4808" t="b">
        <v>0</v>
      </c>
      <c r="D4808">
        <v>294905.93</v>
      </c>
      <c r="E4808" t="s">
        <v>30</v>
      </c>
      <c r="F4808">
        <v>9.0999999999999998E-2</v>
      </c>
    </row>
    <row r="4809" spans="2:13" x14ac:dyDescent="0.2">
      <c r="C4809" t="b">
        <v>0</v>
      </c>
      <c r="D4809">
        <v>298168.08</v>
      </c>
      <c r="E4809" t="s">
        <v>30</v>
      </c>
      <c r="F4809">
        <v>9.1999999999999998E-2</v>
      </c>
    </row>
    <row r="4810" spans="2:13" x14ac:dyDescent="0.2">
      <c r="C4810" t="b">
        <v>0</v>
      </c>
      <c r="D4810">
        <v>291936.44</v>
      </c>
      <c r="E4810" t="s">
        <v>30</v>
      </c>
      <c r="F4810">
        <v>0.09</v>
      </c>
    </row>
    <row r="4811" spans="2:13" x14ac:dyDescent="0.2">
      <c r="C4811" t="b">
        <v>0</v>
      </c>
      <c r="D4811">
        <v>295814.43</v>
      </c>
      <c r="E4811" t="s">
        <v>30</v>
      </c>
      <c r="F4811">
        <v>9.0999999999999998E-2</v>
      </c>
    </row>
    <row r="4812" spans="2:13" x14ac:dyDescent="0.2">
      <c r="C4812" t="b">
        <v>0</v>
      </c>
      <c r="D4812">
        <v>293550.17</v>
      </c>
      <c r="E4812" t="s">
        <v>30</v>
      </c>
      <c r="F4812">
        <v>0.09</v>
      </c>
    </row>
    <row r="4813" spans="2:13" x14ac:dyDescent="0.2">
      <c r="B4813" t="s">
        <v>11</v>
      </c>
    </row>
    <row r="4814" spans="2:13" x14ac:dyDescent="0.2">
      <c r="B4814" t="s">
        <v>12</v>
      </c>
      <c r="C4814" t="s">
        <v>13</v>
      </c>
      <c r="D4814" t="s">
        <v>14</v>
      </c>
      <c r="E4814" t="s">
        <v>15</v>
      </c>
      <c r="F4814" t="s">
        <v>16</v>
      </c>
      <c r="G4814" t="s">
        <v>17</v>
      </c>
      <c r="H4814" t="s">
        <v>18</v>
      </c>
      <c r="I4814" t="s">
        <v>19</v>
      </c>
      <c r="J4814" t="s">
        <v>20</v>
      </c>
      <c r="K4814" t="s">
        <v>21</v>
      </c>
      <c r="L4814" t="s">
        <v>22</v>
      </c>
      <c r="M4814" t="s">
        <v>23</v>
      </c>
    </row>
    <row r="4815" spans="2:13" x14ac:dyDescent="0.2">
      <c r="B4815" t="s">
        <v>31</v>
      </c>
      <c r="C4815">
        <v>45</v>
      </c>
      <c r="E4815" t="s">
        <v>25</v>
      </c>
      <c r="F4815">
        <v>1284.3900000000001</v>
      </c>
      <c r="G4815">
        <v>7.8</v>
      </c>
      <c r="K4815">
        <v>0.1</v>
      </c>
      <c r="L4815">
        <v>7</v>
      </c>
      <c r="M4815">
        <v>99</v>
      </c>
    </row>
    <row r="4816" spans="2:13" x14ac:dyDescent="0.2">
      <c r="C4816" t="s">
        <v>27</v>
      </c>
    </row>
    <row r="4817" spans="2:13" x14ac:dyDescent="0.2">
      <c r="C4817" t="s">
        <v>28</v>
      </c>
      <c r="D4817" t="s">
        <v>16</v>
      </c>
      <c r="E4817" t="s">
        <v>29</v>
      </c>
      <c r="F4817" t="s">
        <v>18</v>
      </c>
    </row>
    <row r="4818" spans="2:13" x14ac:dyDescent="0.2">
      <c r="C4818" t="b">
        <v>0</v>
      </c>
      <c r="D4818">
        <v>1450.12</v>
      </c>
      <c r="E4818" t="s">
        <v>30</v>
      </c>
    </row>
    <row r="4819" spans="2:13" x14ac:dyDescent="0.2">
      <c r="C4819" t="b">
        <v>0</v>
      </c>
      <c r="D4819">
        <v>1300.1099999999999</v>
      </c>
      <c r="E4819" t="s">
        <v>30</v>
      </c>
    </row>
    <row r="4820" spans="2:13" x14ac:dyDescent="0.2">
      <c r="C4820" t="b">
        <v>0</v>
      </c>
      <c r="D4820">
        <v>1300.1099999999999</v>
      </c>
      <c r="E4820" t="s">
        <v>30</v>
      </c>
    </row>
    <row r="4821" spans="2:13" x14ac:dyDescent="0.2">
      <c r="C4821" t="b">
        <v>0</v>
      </c>
      <c r="D4821">
        <v>1290.0999999999999</v>
      </c>
      <c r="E4821" t="s">
        <v>30</v>
      </c>
    </row>
    <row r="4822" spans="2:13" x14ac:dyDescent="0.2">
      <c r="C4822" t="b">
        <v>0</v>
      </c>
      <c r="D4822">
        <v>1290.0999999999999</v>
      </c>
      <c r="E4822" t="s">
        <v>30</v>
      </c>
    </row>
    <row r="4823" spans="2:13" x14ac:dyDescent="0.2">
      <c r="C4823" t="b">
        <v>0</v>
      </c>
      <c r="D4823">
        <v>1110.0899999999999</v>
      </c>
      <c r="E4823" t="s">
        <v>30</v>
      </c>
    </row>
    <row r="4824" spans="2:13" x14ac:dyDescent="0.2">
      <c r="C4824" t="b">
        <v>0</v>
      </c>
      <c r="D4824">
        <v>1250.0999999999999</v>
      </c>
      <c r="E4824" t="s">
        <v>30</v>
      </c>
    </row>
    <row r="4825" spans="2:13" x14ac:dyDescent="0.2">
      <c r="B4825" t="s">
        <v>11</v>
      </c>
    </row>
    <row r="4826" spans="2:13" x14ac:dyDescent="0.2">
      <c r="B4826" t="s">
        <v>12</v>
      </c>
      <c r="C4826" t="s">
        <v>13</v>
      </c>
      <c r="D4826" t="s">
        <v>14</v>
      </c>
      <c r="E4826" t="s">
        <v>15</v>
      </c>
      <c r="F4826" t="s">
        <v>16</v>
      </c>
      <c r="G4826" t="s">
        <v>17</v>
      </c>
      <c r="H4826" t="s">
        <v>18</v>
      </c>
      <c r="I4826" t="s">
        <v>19</v>
      </c>
      <c r="J4826" t="s">
        <v>20</v>
      </c>
      <c r="K4826" t="s">
        <v>21</v>
      </c>
      <c r="L4826" t="s">
        <v>22</v>
      </c>
      <c r="M4826" t="s">
        <v>23</v>
      </c>
    </row>
    <row r="4827" spans="2:13" x14ac:dyDescent="0.2">
      <c r="B4827" t="s">
        <v>32</v>
      </c>
      <c r="C4827">
        <v>72</v>
      </c>
      <c r="E4827" t="s">
        <v>25</v>
      </c>
      <c r="F4827">
        <v>1252.96</v>
      </c>
      <c r="G4827">
        <v>12.2</v>
      </c>
      <c r="K4827">
        <v>0.1</v>
      </c>
      <c r="L4827">
        <v>7</v>
      </c>
      <c r="M4827">
        <v>90.8</v>
      </c>
    </row>
    <row r="4828" spans="2:13" x14ac:dyDescent="0.2">
      <c r="C4828" t="s">
        <v>27</v>
      </c>
    </row>
    <row r="4829" spans="2:13" x14ac:dyDescent="0.2">
      <c r="C4829" t="s">
        <v>28</v>
      </c>
      <c r="D4829" t="s">
        <v>16</v>
      </c>
      <c r="E4829" t="s">
        <v>29</v>
      </c>
      <c r="F4829" t="s">
        <v>18</v>
      </c>
    </row>
    <row r="4830" spans="2:13" x14ac:dyDescent="0.2">
      <c r="C4830" t="b">
        <v>0</v>
      </c>
      <c r="D4830">
        <v>1170.0899999999999</v>
      </c>
      <c r="E4830" t="s">
        <v>30</v>
      </c>
    </row>
    <row r="4831" spans="2:13" x14ac:dyDescent="0.2">
      <c r="C4831" t="b">
        <v>0</v>
      </c>
      <c r="D4831">
        <v>1140.08</v>
      </c>
      <c r="E4831" t="s">
        <v>30</v>
      </c>
    </row>
    <row r="4832" spans="2:13" x14ac:dyDescent="0.2">
      <c r="C4832" t="b">
        <v>0</v>
      </c>
      <c r="D4832">
        <v>1100.08</v>
      </c>
      <c r="E4832" t="s">
        <v>30</v>
      </c>
    </row>
    <row r="4833" spans="2:13" x14ac:dyDescent="0.2">
      <c r="C4833" t="b">
        <v>0</v>
      </c>
      <c r="D4833">
        <v>1360.12</v>
      </c>
      <c r="E4833" t="s">
        <v>30</v>
      </c>
    </row>
    <row r="4834" spans="2:13" x14ac:dyDescent="0.2">
      <c r="C4834" t="b">
        <v>0</v>
      </c>
      <c r="D4834">
        <v>1190.0999999999999</v>
      </c>
      <c r="E4834" t="s">
        <v>30</v>
      </c>
    </row>
    <row r="4835" spans="2:13" x14ac:dyDescent="0.2">
      <c r="C4835" t="b">
        <v>0</v>
      </c>
      <c r="D4835">
        <v>1540.15</v>
      </c>
      <c r="E4835" t="s">
        <v>30</v>
      </c>
    </row>
    <row r="4836" spans="2:13" x14ac:dyDescent="0.2">
      <c r="C4836" t="b">
        <v>0</v>
      </c>
      <c r="D4836">
        <v>1270.1199999999999</v>
      </c>
      <c r="E4836" t="s">
        <v>30</v>
      </c>
    </row>
    <row r="4837" spans="2:13" x14ac:dyDescent="0.2">
      <c r="B4837" t="s">
        <v>11</v>
      </c>
    </row>
    <row r="4838" spans="2:13" x14ac:dyDescent="0.2">
      <c r="B4838" t="s">
        <v>12</v>
      </c>
      <c r="C4838" t="s">
        <v>13</v>
      </c>
      <c r="D4838" t="s">
        <v>14</v>
      </c>
      <c r="E4838" t="s">
        <v>15</v>
      </c>
      <c r="F4838" t="s">
        <v>16</v>
      </c>
      <c r="G4838" t="s">
        <v>17</v>
      </c>
      <c r="H4838" t="s">
        <v>18</v>
      </c>
      <c r="I4838" t="s">
        <v>19</v>
      </c>
      <c r="J4838" t="s">
        <v>20</v>
      </c>
      <c r="K4838" t="s">
        <v>21</v>
      </c>
      <c r="L4838" t="s">
        <v>22</v>
      </c>
      <c r="M4838" t="s">
        <v>23</v>
      </c>
    </row>
    <row r="4839" spans="2:13" x14ac:dyDescent="0.2">
      <c r="B4839" t="s">
        <v>33</v>
      </c>
      <c r="C4839">
        <v>89</v>
      </c>
      <c r="E4839" t="s">
        <v>25</v>
      </c>
      <c r="F4839">
        <v>6774.75</v>
      </c>
      <c r="G4839">
        <v>3.6</v>
      </c>
      <c r="K4839">
        <v>0.1</v>
      </c>
      <c r="L4839">
        <v>7</v>
      </c>
      <c r="M4839">
        <v>89.9</v>
      </c>
    </row>
    <row r="4840" spans="2:13" x14ac:dyDescent="0.2">
      <c r="C4840" t="s">
        <v>27</v>
      </c>
    </row>
    <row r="4841" spans="2:13" x14ac:dyDescent="0.2">
      <c r="C4841" t="s">
        <v>28</v>
      </c>
      <c r="D4841" t="s">
        <v>16</v>
      </c>
      <c r="E4841" t="s">
        <v>29</v>
      </c>
      <c r="F4841" t="s">
        <v>18</v>
      </c>
    </row>
    <row r="4842" spans="2:13" x14ac:dyDescent="0.2">
      <c r="C4842" t="b">
        <v>0</v>
      </c>
      <c r="D4842">
        <v>6841.94</v>
      </c>
      <c r="E4842" t="s">
        <v>30</v>
      </c>
    </row>
    <row r="4843" spans="2:13" x14ac:dyDescent="0.2">
      <c r="C4843" t="b">
        <v>0</v>
      </c>
      <c r="D4843">
        <v>6521.77</v>
      </c>
      <c r="E4843" t="s">
        <v>30</v>
      </c>
    </row>
    <row r="4844" spans="2:13" x14ac:dyDescent="0.2">
      <c r="C4844" t="b">
        <v>0</v>
      </c>
      <c r="D4844">
        <v>6461.7</v>
      </c>
      <c r="E4844" t="s">
        <v>30</v>
      </c>
    </row>
    <row r="4845" spans="2:13" x14ac:dyDescent="0.2">
      <c r="C4845" t="b">
        <v>0</v>
      </c>
      <c r="D4845">
        <v>6901.96</v>
      </c>
      <c r="E4845" t="s">
        <v>30</v>
      </c>
    </row>
    <row r="4846" spans="2:13" x14ac:dyDescent="0.2">
      <c r="C4846" t="b">
        <v>0</v>
      </c>
      <c r="D4846">
        <v>6691.9</v>
      </c>
      <c r="E4846" t="s">
        <v>30</v>
      </c>
    </row>
    <row r="4847" spans="2:13" x14ac:dyDescent="0.2">
      <c r="C4847" t="b">
        <v>0</v>
      </c>
      <c r="D4847">
        <v>6811.9</v>
      </c>
      <c r="E4847" t="s">
        <v>30</v>
      </c>
    </row>
    <row r="4848" spans="2:13" x14ac:dyDescent="0.2">
      <c r="C4848" t="b">
        <v>0</v>
      </c>
      <c r="D4848">
        <v>7192.09</v>
      </c>
      <c r="E4848" t="s">
        <v>30</v>
      </c>
    </row>
    <row r="4849" spans="1:13" x14ac:dyDescent="0.2">
      <c r="A4849" t="s">
        <v>0</v>
      </c>
    </row>
    <row r="4850" spans="1:13" x14ac:dyDescent="0.2">
      <c r="B4850" t="s">
        <v>1</v>
      </c>
      <c r="C4850" t="s">
        <v>2</v>
      </c>
      <c r="D4850" t="s">
        <v>3</v>
      </c>
      <c r="E4850" t="s">
        <v>4</v>
      </c>
      <c r="F4850" t="s">
        <v>5</v>
      </c>
      <c r="G4850" t="s">
        <v>6</v>
      </c>
    </row>
    <row r="4851" spans="1:13" x14ac:dyDescent="0.2">
      <c r="B4851" t="b">
        <v>0</v>
      </c>
      <c r="C4851" t="s">
        <v>134</v>
      </c>
      <c r="D4851" t="s">
        <v>346</v>
      </c>
      <c r="E4851" t="s">
        <v>0</v>
      </c>
      <c r="G4851" t="s">
        <v>347</v>
      </c>
    </row>
    <row r="4852" spans="1:13" x14ac:dyDescent="0.2">
      <c r="B4852" t="s">
        <v>11</v>
      </c>
    </row>
    <row r="4853" spans="1:13" x14ac:dyDescent="0.2">
      <c r="B4853" t="s">
        <v>12</v>
      </c>
      <c r="C4853" t="s">
        <v>13</v>
      </c>
      <c r="D4853" t="s">
        <v>14</v>
      </c>
      <c r="E4853" t="s">
        <v>15</v>
      </c>
      <c r="F4853" t="s">
        <v>16</v>
      </c>
      <c r="G4853" t="s">
        <v>17</v>
      </c>
      <c r="H4853" t="s">
        <v>18</v>
      </c>
      <c r="I4853" t="s">
        <v>19</v>
      </c>
      <c r="J4853" t="s">
        <v>20</v>
      </c>
      <c r="K4853" t="s">
        <v>21</v>
      </c>
      <c r="L4853" t="s">
        <v>22</v>
      </c>
      <c r="M4853" t="s">
        <v>23</v>
      </c>
    </row>
    <row r="4854" spans="1:13" x14ac:dyDescent="0.2">
      <c r="B4854" t="s">
        <v>24</v>
      </c>
      <c r="C4854">
        <v>59</v>
      </c>
      <c r="E4854" t="s">
        <v>25</v>
      </c>
      <c r="F4854">
        <v>1644886.83</v>
      </c>
      <c r="G4854">
        <v>0.8</v>
      </c>
      <c r="H4854">
        <v>0.50700000000000001</v>
      </c>
      <c r="I4854" t="s">
        <v>26</v>
      </c>
      <c r="J4854">
        <v>0.8</v>
      </c>
      <c r="K4854">
        <v>0.1</v>
      </c>
      <c r="L4854">
        <v>7</v>
      </c>
    </row>
    <row r="4855" spans="1:13" x14ac:dyDescent="0.2">
      <c r="C4855" t="s">
        <v>27</v>
      </c>
    </row>
    <row r="4856" spans="1:13" x14ac:dyDescent="0.2">
      <c r="C4856" t="s">
        <v>28</v>
      </c>
      <c r="D4856" t="s">
        <v>16</v>
      </c>
      <c r="E4856" t="s">
        <v>29</v>
      </c>
      <c r="F4856" t="s">
        <v>18</v>
      </c>
    </row>
    <row r="4857" spans="1:13" x14ac:dyDescent="0.2">
      <c r="C4857" t="b">
        <v>0</v>
      </c>
      <c r="D4857">
        <v>1661803.1</v>
      </c>
      <c r="E4857" t="s">
        <v>67</v>
      </c>
      <c r="F4857">
        <v>0.51200000000000001</v>
      </c>
    </row>
    <row r="4858" spans="1:13" x14ac:dyDescent="0.2">
      <c r="C4858" t="b">
        <v>0</v>
      </c>
      <c r="D4858">
        <v>1656818.41</v>
      </c>
      <c r="E4858" t="s">
        <v>67</v>
      </c>
      <c r="F4858">
        <v>0.51100000000000001</v>
      </c>
    </row>
    <row r="4859" spans="1:13" x14ac:dyDescent="0.2">
      <c r="C4859" t="b">
        <v>0</v>
      </c>
      <c r="D4859">
        <v>1640121.69</v>
      </c>
      <c r="E4859" t="s">
        <v>67</v>
      </c>
      <c r="F4859">
        <v>0.505</v>
      </c>
    </row>
    <row r="4860" spans="1:13" x14ac:dyDescent="0.2">
      <c r="C4860" t="b">
        <v>0</v>
      </c>
      <c r="D4860">
        <v>1657415.44</v>
      </c>
      <c r="E4860" t="s">
        <v>67</v>
      </c>
      <c r="F4860">
        <v>0.51100000000000001</v>
      </c>
    </row>
    <row r="4861" spans="1:13" x14ac:dyDescent="0.2">
      <c r="C4861" t="b">
        <v>0</v>
      </c>
      <c r="D4861">
        <v>1632952.79</v>
      </c>
      <c r="E4861" t="s">
        <v>67</v>
      </c>
      <c r="F4861">
        <v>0.503</v>
      </c>
    </row>
    <row r="4862" spans="1:13" x14ac:dyDescent="0.2">
      <c r="C4862" t="b">
        <v>0</v>
      </c>
      <c r="D4862">
        <v>1633892.32</v>
      </c>
      <c r="E4862" t="s">
        <v>67</v>
      </c>
      <c r="F4862">
        <v>0.504</v>
      </c>
    </row>
    <row r="4863" spans="1:13" x14ac:dyDescent="0.2">
      <c r="C4863" t="b">
        <v>0</v>
      </c>
      <c r="D4863">
        <v>1631204.04</v>
      </c>
      <c r="E4863" t="s">
        <v>67</v>
      </c>
      <c r="F4863">
        <v>0.503</v>
      </c>
    </row>
    <row r="4864" spans="1:13" x14ac:dyDescent="0.2">
      <c r="B4864" t="s">
        <v>11</v>
      </c>
    </row>
    <row r="4865" spans="2:13" x14ac:dyDescent="0.2">
      <c r="B4865" t="s">
        <v>12</v>
      </c>
      <c r="C4865" t="s">
        <v>13</v>
      </c>
      <c r="D4865" t="s">
        <v>14</v>
      </c>
      <c r="E4865" t="s">
        <v>15</v>
      </c>
      <c r="F4865" t="s">
        <v>16</v>
      </c>
      <c r="G4865" t="s">
        <v>17</v>
      </c>
      <c r="H4865" t="s">
        <v>18</v>
      </c>
      <c r="I4865" t="s">
        <v>19</v>
      </c>
      <c r="J4865" t="s">
        <v>20</v>
      </c>
      <c r="K4865" t="s">
        <v>21</v>
      </c>
      <c r="L4865" t="s">
        <v>22</v>
      </c>
      <c r="M4865" t="s">
        <v>23</v>
      </c>
    </row>
    <row r="4866" spans="2:13" x14ac:dyDescent="0.2">
      <c r="B4866" t="s">
        <v>31</v>
      </c>
      <c r="C4866">
        <v>45</v>
      </c>
      <c r="E4866" t="s">
        <v>25</v>
      </c>
      <c r="F4866">
        <v>1330.11</v>
      </c>
      <c r="G4866">
        <v>7</v>
      </c>
      <c r="K4866">
        <v>0.1</v>
      </c>
      <c r="L4866">
        <v>7</v>
      </c>
      <c r="M4866">
        <v>102.5</v>
      </c>
    </row>
    <row r="4867" spans="2:13" x14ac:dyDescent="0.2">
      <c r="C4867" t="s">
        <v>27</v>
      </c>
    </row>
    <row r="4868" spans="2:13" x14ac:dyDescent="0.2">
      <c r="C4868" t="s">
        <v>28</v>
      </c>
      <c r="D4868" t="s">
        <v>16</v>
      </c>
      <c r="E4868" t="s">
        <v>29</v>
      </c>
      <c r="F4868" t="s">
        <v>18</v>
      </c>
    </row>
    <row r="4869" spans="2:13" x14ac:dyDescent="0.2">
      <c r="C4869" t="b">
        <v>0</v>
      </c>
      <c r="D4869">
        <v>1180.0899999999999</v>
      </c>
      <c r="E4869" t="s">
        <v>30</v>
      </c>
    </row>
    <row r="4870" spans="2:13" x14ac:dyDescent="0.2">
      <c r="C4870" t="b">
        <v>0</v>
      </c>
      <c r="D4870">
        <v>1340.1</v>
      </c>
      <c r="E4870" t="s">
        <v>30</v>
      </c>
    </row>
    <row r="4871" spans="2:13" x14ac:dyDescent="0.2">
      <c r="C4871" t="b">
        <v>0</v>
      </c>
      <c r="D4871">
        <v>1440.14</v>
      </c>
      <c r="E4871" t="s">
        <v>30</v>
      </c>
    </row>
    <row r="4872" spans="2:13" x14ac:dyDescent="0.2">
      <c r="C4872" t="b">
        <v>0</v>
      </c>
      <c r="D4872">
        <v>1300.0999999999999</v>
      </c>
      <c r="E4872" t="s">
        <v>30</v>
      </c>
    </row>
    <row r="4873" spans="2:13" x14ac:dyDescent="0.2">
      <c r="C4873" t="b">
        <v>0</v>
      </c>
      <c r="D4873">
        <v>1380.12</v>
      </c>
      <c r="E4873" t="s">
        <v>30</v>
      </c>
    </row>
    <row r="4874" spans="2:13" x14ac:dyDescent="0.2">
      <c r="C4874" t="b">
        <v>0</v>
      </c>
      <c r="D4874">
        <v>1420.13</v>
      </c>
      <c r="E4874" t="s">
        <v>30</v>
      </c>
    </row>
    <row r="4875" spans="2:13" x14ac:dyDescent="0.2">
      <c r="C4875" t="b">
        <v>0</v>
      </c>
      <c r="D4875">
        <v>1250.0999999999999</v>
      </c>
      <c r="E4875" t="s">
        <v>30</v>
      </c>
    </row>
    <row r="4876" spans="2:13" x14ac:dyDescent="0.2">
      <c r="B4876" t="s">
        <v>11</v>
      </c>
    </row>
    <row r="4877" spans="2:13" x14ac:dyDescent="0.2">
      <c r="B4877" t="s">
        <v>12</v>
      </c>
      <c r="C4877" t="s">
        <v>13</v>
      </c>
      <c r="D4877" t="s">
        <v>14</v>
      </c>
      <c r="E4877" t="s">
        <v>15</v>
      </c>
      <c r="F4877" t="s">
        <v>16</v>
      </c>
      <c r="G4877" t="s">
        <v>17</v>
      </c>
      <c r="H4877" t="s">
        <v>18</v>
      </c>
      <c r="I4877" t="s">
        <v>19</v>
      </c>
      <c r="J4877" t="s">
        <v>20</v>
      </c>
      <c r="K4877" t="s">
        <v>21</v>
      </c>
      <c r="L4877" t="s">
        <v>22</v>
      </c>
      <c r="M4877" t="s">
        <v>23</v>
      </c>
    </row>
    <row r="4878" spans="2:13" x14ac:dyDescent="0.2">
      <c r="B4878" t="s">
        <v>32</v>
      </c>
      <c r="C4878">
        <v>72</v>
      </c>
      <c r="E4878" t="s">
        <v>25</v>
      </c>
      <c r="F4878">
        <v>1370.12</v>
      </c>
      <c r="G4878">
        <v>9</v>
      </c>
      <c r="K4878">
        <v>0.1</v>
      </c>
      <c r="L4878">
        <v>7</v>
      </c>
      <c r="M4878">
        <v>99.3</v>
      </c>
    </row>
    <row r="4879" spans="2:13" x14ac:dyDescent="0.2">
      <c r="C4879" t="s">
        <v>27</v>
      </c>
    </row>
    <row r="4880" spans="2:13" x14ac:dyDescent="0.2">
      <c r="C4880" t="s">
        <v>28</v>
      </c>
      <c r="D4880" t="s">
        <v>16</v>
      </c>
      <c r="E4880" t="s">
        <v>29</v>
      </c>
      <c r="F4880" t="s">
        <v>18</v>
      </c>
    </row>
    <row r="4881" spans="2:13" x14ac:dyDescent="0.2">
      <c r="C4881" t="b">
        <v>0</v>
      </c>
      <c r="D4881">
        <v>1380.12</v>
      </c>
      <c r="E4881" t="s">
        <v>30</v>
      </c>
    </row>
    <row r="4882" spans="2:13" x14ac:dyDescent="0.2">
      <c r="C4882" t="b">
        <v>0</v>
      </c>
      <c r="D4882">
        <v>1330.1</v>
      </c>
      <c r="E4882" t="s">
        <v>30</v>
      </c>
    </row>
    <row r="4883" spans="2:13" x14ac:dyDescent="0.2">
      <c r="C4883" t="b">
        <v>0</v>
      </c>
      <c r="D4883">
        <v>1430.12</v>
      </c>
      <c r="E4883" t="s">
        <v>30</v>
      </c>
    </row>
    <row r="4884" spans="2:13" x14ac:dyDescent="0.2">
      <c r="C4884" t="b">
        <v>0</v>
      </c>
      <c r="D4884">
        <v>1270.1099999999999</v>
      </c>
      <c r="E4884" t="s">
        <v>30</v>
      </c>
    </row>
    <row r="4885" spans="2:13" x14ac:dyDescent="0.2">
      <c r="C4885" t="b">
        <v>0</v>
      </c>
      <c r="D4885">
        <v>1360.12</v>
      </c>
      <c r="E4885" t="s">
        <v>30</v>
      </c>
    </row>
    <row r="4886" spans="2:13" x14ac:dyDescent="0.2">
      <c r="C4886" t="b">
        <v>0</v>
      </c>
      <c r="D4886">
        <v>1600.15</v>
      </c>
      <c r="E4886" t="s">
        <v>30</v>
      </c>
    </row>
    <row r="4887" spans="2:13" x14ac:dyDescent="0.2">
      <c r="C4887" t="b">
        <v>0</v>
      </c>
      <c r="D4887">
        <v>1220.0999999999999</v>
      </c>
      <c r="E4887" t="s">
        <v>30</v>
      </c>
    </row>
    <row r="4888" spans="2:13" x14ac:dyDescent="0.2">
      <c r="B4888" t="s">
        <v>11</v>
      </c>
    </row>
    <row r="4889" spans="2:13" x14ac:dyDescent="0.2">
      <c r="B4889" t="s">
        <v>12</v>
      </c>
      <c r="C4889" t="s">
        <v>13</v>
      </c>
      <c r="D4889" t="s">
        <v>14</v>
      </c>
      <c r="E4889" t="s">
        <v>15</v>
      </c>
      <c r="F4889" t="s">
        <v>16</v>
      </c>
      <c r="G4889" t="s">
        <v>17</v>
      </c>
      <c r="H4889" t="s">
        <v>18</v>
      </c>
      <c r="I4889" t="s">
        <v>19</v>
      </c>
      <c r="J4889" t="s">
        <v>20</v>
      </c>
      <c r="K4889" t="s">
        <v>21</v>
      </c>
      <c r="L4889" t="s">
        <v>22</v>
      </c>
      <c r="M4889" t="s">
        <v>23</v>
      </c>
    </row>
    <row r="4890" spans="2:13" x14ac:dyDescent="0.2">
      <c r="B4890" t="s">
        <v>33</v>
      </c>
      <c r="C4890">
        <v>89</v>
      </c>
      <c r="E4890" t="s">
        <v>25</v>
      </c>
      <c r="F4890">
        <v>7538.01</v>
      </c>
      <c r="G4890">
        <v>1.7</v>
      </c>
      <c r="K4890">
        <v>0.1</v>
      </c>
      <c r="L4890">
        <v>7</v>
      </c>
      <c r="M4890">
        <v>100.1</v>
      </c>
    </row>
    <row r="4891" spans="2:13" x14ac:dyDescent="0.2">
      <c r="C4891" t="s">
        <v>27</v>
      </c>
    </row>
    <row r="4892" spans="2:13" x14ac:dyDescent="0.2">
      <c r="C4892" t="s">
        <v>28</v>
      </c>
      <c r="D4892" t="s">
        <v>16</v>
      </c>
      <c r="E4892" t="s">
        <v>29</v>
      </c>
      <c r="F4892" t="s">
        <v>18</v>
      </c>
    </row>
    <row r="4893" spans="2:13" x14ac:dyDescent="0.2">
      <c r="C4893" t="b">
        <v>0</v>
      </c>
      <c r="D4893">
        <v>7632.41</v>
      </c>
      <c r="E4893" t="s">
        <v>30</v>
      </c>
    </row>
    <row r="4894" spans="2:13" x14ac:dyDescent="0.2">
      <c r="C4894" t="b">
        <v>0</v>
      </c>
      <c r="D4894">
        <v>7352.22</v>
      </c>
      <c r="E4894" t="s">
        <v>30</v>
      </c>
    </row>
    <row r="4895" spans="2:13" x14ac:dyDescent="0.2">
      <c r="C4895" t="b">
        <v>0</v>
      </c>
      <c r="D4895">
        <v>7532.3</v>
      </c>
      <c r="E4895" t="s">
        <v>30</v>
      </c>
    </row>
    <row r="4896" spans="2:13" x14ac:dyDescent="0.2">
      <c r="C4896" t="b">
        <v>0</v>
      </c>
      <c r="D4896">
        <v>7432.23</v>
      </c>
      <c r="E4896" t="s">
        <v>30</v>
      </c>
    </row>
    <row r="4897" spans="1:13" x14ac:dyDescent="0.2">
      <c r="C4897" t="b">
        <v>0</v>
      </c>
      <c r="D4897">
        <v>7462.25</v>
      </c>
      <c r="E4897" t="s">
        <v>30</v>
      </c>
    </row>
    <row r="4898" spans="1:13" x14ac:dyDescent="0.2">
      <c r="C4898" t="b">
        <v>0</v>
      </c>
      <c r="D4898">
        <v>7712.38</v>
      </c>
      <c r="E4898" t="s">
        <v>30</v>
      </c>
    </row>
    <row r="4899" spans="1:13" x14ac:dyDescent="0.2">
      <c r="C4899" t="b">
        <v>0</v>
      </c>
      <c r="D4899">
        <v>7642.31</v>
      </c>
      <c r="E4899" t="s">
        <v>30</v>
      </c>
    </row>
    <row r="4900" spans="1:13" x14ac:dyDescent="0.2">
      <c r="A4900" t="s">
        <v>0</v>
      </c>
    </row>
    <row r="4901" spans="1:13" x14ac:dyDescent="0.2">
      <c r="B4901" t="s">
        <v>1</v>
      </c>
      <c r="C4901" t="s">
        <v>2</v>
      </c>
      <c r="D4901" t="s">
        <v>3</v>
      </c>
      <c r="E4901" t="s">
        <v>4</v>
      </c>
      <c r="F4901" t="s">
        <v>5</v>
      </c>
      <c r="G4901" t="s">
        <v>6</v>
      </c>
    </row>
    <row r="4902" spans="1:13" x14ac:dyDescent="0.2">
      <c r="B4902" t="b">
        <v>0</v>
      </c>
      <c r="C4902" t="s">
        <v>348</v>
      </c>
      <c r="D4902" t="s">
        <v>349</v>
      </c>
      <c r="E4902" t="s">
        <v>9</v>
      </c>
      <c r="G4902" t="s">
        <v>146</v>
      </c>
    </row>
    <row r="4903" spans="1:13" x14ac:dyDescent="0.2">
      <c r="B4903" t="s">
        <v>11</v>
      </c>
    </row>
    <row r="4904" spans="1:13" x14ac:dyDescent="0.2">
      <c r="B4904" t="s">
        <v>12</v>
      </c>
      <c r="C4904" t="s">
        <v>13</v>
      </c>
      <c r="D4904" t="s">
        <v>14</v>
      </c>
      <c r="E4904" t="s">
        <v>15</v>
      </c>
      <c r="F4904" t="s">
        <v>16</v>
      </c>
      <c r="G4904" t="s">
        <v>17</v>
      </c>
      <c r="H4904" t="s">
        <v>18</v>
      </c>
      <c r="I4904" t="s">
        <v>19</v>
      </c>
      <c r="J4904" t="s">
        <v>20</v>
      </c>
      <c r="K4904" t="s">
        <v>21</v>
      </c>
      <c r="L4904" t="s">
        <v>22</v>
      </c>
      <c r="M4904" t="s">
        <v>23</v>
      </c>
    </row>
    <row r="4905" spans="1:13" x14ac:dyDescent="0.2">
      <c r="B4905" t="s">
        <v>24</v>
      </c>
      <c r="C4905">
        <v>59</v>
      </c>
      <c r="E4905" t="s">
        <v>25</v>
      </c>
      <c r="F4905">
        <v>227.15</v>
      </c>
      <c r="G4905">
        <v>13.1</v>
      </c>
      <c r="H4905">
        <v>0</v>
      </c>
      <c r="I4905" t="s">
        <v>26</v>
      </c>
      <c r="J4905">
        <v>15.8</v>
      </c>
      <c r="K4905">
        <v>0.1</v>
      </c>
      <c r="L4905">
        <v>7</v>
      </c>
    </row>
    <row r="4906" spans="1:13" x14ac:dyDescent="0.2">
      <c r="C4906" t="s">
        <v>27</v>
      </c>
    </row>
    <row r="4907" spans="1:13" x14ac:dyDescent="0.2">
      <c r="C4907" t="s">
        <v>28</v>
      </c>
      <c r="D4907" t="s">
        <v>16</v>
      </c>
      <c r="E4907" t="s">
        <v>29</v>
      </c>
      <c r="F4907" t="s">
        <v>18</v>
      </c>
    </row>
    <row r="4908" spans="1:13" x14ac:dyDescent="0.2">
      <c r="C4908" t="b">
        <v>0</v>
      </c>
      <c r="D4908">
        <v>250.01</v>
      </c>
      <c r="E4908" t="s">
        <v>30</v>
      </c>
      <c r="F4908">
        <v>0</v>
      </c>
    </row>
    <row r="4909" spans="1:13" x14ac:dyDescent="0.2">
      <c r="C4909" t="b">
        <v>0</v>
      </c>
      <c r="D4909">
        <v>190.01</v>
      </c>
      <c r="E4909" t="s">
        <v>30</v>
      </c>
      <c r="F4909">
        <v>0</v>
      </c>
    </row>
    <row r="4910" spans="1:13" x14ac:dyDescent="0.2">
      <c r="C4910" t="b">
        <v>0</v>
      </c>
      <c r="D4910">
        <v>250.01</v>
      </c>
      <c r="E4910" t="s">
        <v>30</v>
      </c>
      <c r="F4910">
        <v>0</v>
      </c>
    </row>
    <row r="4911" spans="1:13" x14ac:dyDescent="0.2">
      <c r="C4911" t="b">
        <v>0</v>
      </c>
      <c r="D4911">
        <v>180.01</v>
      </c>
      <c r="E4911" t="s">
        <v>30</v>
      </c>
      <c r="F4911">
        <v>0</v>
      </c>
    </row>
    <row r="4912" spans="1:13" x14ac:dyDescent="0.2">
      <c r="C4912" t="b">
        <v>0</v>
      </c>
      <c r="D4912">
        <v>230.01</v>
      </c>
      <c r="E4912" t="s">
        <v>30</v>
      </c>
      <c r="F4912">
        <v>0</v>
      </c>
    </row>
    <row r="4913" spans="2:13" x14ac:dyDescent="0.2">
      <c r="C4913" t="b">
        <v>0</v>
      </c>
      <c r="D4913">
        <v>250.01</v>
      </c>
      <c r="E4913" t="s">
        <v>30</v>
      </c>
      <c r="F4913">
        <v>0</v>
      </c>
    </row>
    <row r="4914" spans="2:13" x14ac:dyDescent="0.2">
      <c r="C4914" t="b">
        <v>0</v>
      </c>
      <c r="D4914">
        <v>240.01</v>
      </c>
      <c r="E4914" t="s">
        <v>30</v>
      </c>
      <c r="F4914">
        <v>0</v>
      </c>
    </row>
    <row r="4915" spans="2:13" x14ac:dyDescent="0.2">
      <c r="B4915" t="s">
        <v>11</v>
      </c>
    </row>
    <row r="4916" spans="2:13" x14ac:dyDescent="0.2">
      <c r="B4916" t="s">
        <v>12</v>
      </c>
      <c r="C4916" t="s">
        <v>13</v>
      </c>
      <c r="D4916" t="s">
        <v>14</v>
      </c>
      <c r="E4916" t="s">
        <v>15</v>
      </c>
      <c r="F4916" t="s">
        <v>16</v>
      </c>
      <c r="G4916" t="s">
        <v>17</v>
      </c>
      <c r="H4916" t="s">
        <v>18</v>
      </c>
      <c r="I4916" t="s">
        <v>19</v>
      </c>
      <c r="J4916" t="s">
        <v>20</v>
      </c>
      <c r="K4916" t="s">
        <v>21</v>
      </c>
      <c r="L4916" t="s">
        <v>22</v>
      </c>
      <c r="M4916" t="s">
        <v>23</v>
      </c>
    </row>
    <row r="4917" spans="2:13" x14ac:dyDescent="0.2">
      <c r="B4917" t="s">
        <v>31</v>
      </c>
      <c r="C4917">
        <v>45</v>
      </c>
      <c r="E4917" t="s">
        <v>25</v>
      </c>
      <c r="F4917">
        <v>1340.11</v>
      </c>
      <c r="G4917">
        <v>10</v>
      </c>
      <c r="K4917">
        <v>0.1</v>
      </c>
      <c r="L4917">
        <v>7</v>
      </c>
      <c r="M4917">
        <v>103.3</v>
      </c>
    </row>
    <row r="4918" spans="2:13" x14ac:dyDescent="0.2">
      <c r="C4918" t="s">
        <v>27</v>
      </c>
    </row>
    <row r="4919" spans="2:13" x14ac:dyDescent="0.2">
      <c r="C4919" t="s">
        <v>28</v>
      </c>
      <c r="D4919" t="s">
        <v>16</v>
      </c>
      <c r="E4919" t="s">
        <v>29</v>
      </c>
      <c r="F4919" t="s">
        <v>18</v>
      </c>
    </row>
    <row r="4920" spans="2:13" x14ac:dyDescent="0.2">
      <c r="C4920" t="b">
        <v>0</v>
      </c>
      <c r="D4920">
        <v>1300.0999999999999</v>
      </c>
      <c r="E4920" t="s">
        <v>30</v>
      </c>
    </row>
    <row r="4921" spans="2:13" x14ac:dyDescent="0.2">
      <c r="C4921" t="b">
        <v>0</v>
      </c>
      <c r="D4921">
        <v>1090.08</v>
      </c>
      <c r="E4921" t="s">
        <v>30</v>
      </c>
    </row>
    <row r="4922" spans="2:13" x14ac:dyDescent="0.2">
      <c r="C4922" t="b">
        <v>0</v>
      </c>
      <c r="D4922">
        <v>1360.11</v>
      </c>
      <c r="E4922" t="s">
        <v>30</v>
      </c>
    </row>
    <row r="4923" spans="2:13" x14ac:dyDescent="0.2">
      <c r="C4923" t="b">
        <v>0</v>
      </c>
      <c r="D4923">
        <v>1340.11</v>
      </c>
      <c r="E4923" t="s">
        <v>30</v>
      </c>
    </row>
    <row r="4924" spans="2:13" x14ac:dyDescent="0.2">
      <c r="C4924" t="b">
        <v>0</v>
      </c>
      <c r="D4924">
        <v>1470.12</v>
      </c>
      <c r="E4924" t="s">
        <v>30</v>
      </c>
    </row>
    <row r="4925" spans="2:13" x14ac:dyDescent="0.2">
      <c r="C4925" t="b">
        <v>0</v>
      </c>
      <c r="D4925">
        <v>1500.14</v>
      </c>
      <c r="E4925" t="s">
        <v>30</v>
      </c>
    </row>
    <row r="4926" spans="2:13" x14ac:dyDescent="0.2">
      <c r="C4926" t="b">
        <v>0</v>
      </c>
      <c r="D4926">
        <v>1320.11</v>
      </c>
      <c r="E4926" t="s">
        <v>30</v>
      </c>
    </row>
    <row r="4927" spans="2:13" x14ac:dyDescent="0.2">
      <c r="B4927" t="s">
        <v>11</v>
      </c>
    </row>
    <row r="4928" spans="2:13" x14ac:dyDescent="0.2">
      <c r="B4928" t="s">
        <v>12</v>
      </c>
      <c r="C4928" t="s">
        <v>13</v>
      </c>
      <c r="D4928" t="s">
        <v>14</v>
      </c>
      <c r="E4928" t="s">
        <v>15</v>
      </c>
      <c r="F4928" t="s">
        <v>16</v>
      </c>
      <c r="G4928" t="s">
        <v>17</v>
      </c>
      <c r="H4928" t="s">
        <v>18</v>
      </c>
      <c r="I4928" t="s">
        <v>19</v>
      </c>
      <c r="J4928" t="s">
        <v>20</v>
      </c>
      <c r="K4928" t="s">
        <v>21</v>
      </c>
      <c r="L4928" t="s">
        <v>22</v>
      </c>
      <c r="M4928" t="s">
        <v>23</v>
      </c>
    </row>
    <row r="4929" spans="2:13" x14ac:dyDescent="0.2">
      <c r="B4929" t="s">
        <v>32</v>
      </c>
      <c r="C4929">
        <v>72</v>
      </c>
      <c r="E4929" t="s">
        <v>25</v>
      </c>
      <c r="F4929">
        <v>1268.67</v>
      </c>
      <c r="G4929">
        <v>10.9</v>
      </c>
      <c r="K4929">
        <v>0.1</v>
      </c>
      <c r="L4929">
        <v>7</v>
      </c>
      <c r="M4929">
        <v>91.9</v>
      </c>
    </row>
    <row r="4930" spans="2:13" x14ac:dyDescent="0.2">
      <c r="C4930" t="s">
        <v>27</v>
      </c>
    </row>
    <row r="4931" spans="2:13" x14ac:dyDescent="0.2">
      <c r="C4931" t="s">
        <v>28</v>
      </c>
      <c r="D4931" t="s">
        <v>16</v>
      </c>
      <c r="E4931" t="s">
        <v>29</v>
      </c>
      <c r="F4931" t="s">
        <v>18</v>
      </c>
    </row>
    <row r="4932" spans="2:13" x14ac:dyDescent="0.2">
      <c r="C4932" t="b">
        <v>0</v>
      </c>
      <c r="D4932">
        <v>1150.08</v>
      </c>
      <c r="E4932" t="s">
        <v>30</v>
      </c>
    </row>
    <row r="4933" spans="2:13" x14ac:dyDescent="0.2">
      <c r="C4933" t="b">
        <v>0</v>
      </c>
      <c r="D4933">
        <v>1080.08</v>
      </c>
      <c r="E4933" t="s">
        <v>30</v>
      </c>
    </row>
    <row r="4934" spans="2:13" x14ac:dyDescent="0.2">
      <c r="C4934" t="b">
        <v>0</v>
      </c>
      <c r="D4934">
        <v>1420.13</v>
      </c>
      <c r="E4934" t="s">
        <v>30</v>
      </c>
    </row>
    <row r="4935" spans="2:13" x14ac:dyDescent="0.2">
      <c r="C4935" t="b">
        <v>0</v>
      </c>
      <c r="D4935">
        <v>1300.0999999999999</v>
      </c>
      <c r="E4935" t="s">
        <v>30</v>
      </c>
    </row>
    <row r="4936" spans="2:13" x14ac:dyDescent="0.2">
      <c r="C4936" t="b">
        <v>0</v>
      </c>
      <c r="D4936">
        <v>1160.0899999999999</v>
      </c>
      <c r="E4936" t="s">
        <v>30</v>
      </c>
    </row>
    <row r="4937" spans="2:13" x14ac:dyDescent="0.2">
      <c r="C4937" t="b">
        <v>0</v>
      </c>
      <c r="D4937">
        <v>1410.13</v>
      </c>
      <c r="E4937" t="s">
        <v>30</v>
      </c>
    </row>
    <row r="4938" spans="2:13" x14ac:dyDescent="0.2">
      <c r="C4938" t="b">
        <v>0</v>
      </c>
      <c r="D4938">
        <v>1360.11</v>
      </c>
      <c r="E4938" t="s">
        <v>30</v>
      </c>
    </row>
    <row r="4939" spans="2:13" x14ac:dyDescent="0.2">
      <c r="B4939" t="s">
        <v>11</v>
      </c>
    </row>
    <row r="4940" spans="2:13" x14ac:dyDescent="0.2">
      <c r="B4940" t="s">
        <v>12</v>
      </c>
      <c r="C4940" t="s">
        <v>13</v>
      </c>
      <c r="D4940" t="s">
        <v>14</v>
      </c>
      <c r="E4940" t="s">
        <v>15</v>
      </c>
      <c r="F4940" t="s">
        <v>16</v>
      </c>
      <c r="G4940" t="s">
        <v>17</v>
      </c>
      <c r="H4940" t="s">
        <v>18</v>
      </c>
      <c r="I4940" t="s">
        <v>19</v>
      </c>
      <c r="J4940" t="s">
        <v>20</v>
      </c>
      <c r="K4940" t="s">
        <v>21</v>
      </c>
      <c r="L4940" t="s">
        <v>22</v>
      </c>
      <c r="M4940" t="s">
        <v>23</v>
      </c>
    </row>
    <row r="4941" spans="2:13" x14ac:dyDescent="0.2">
      <c r="B4941" t="s">
        <v>33</v>
      </c>
      <c r="C4941">
        <v>89</v>
      </c>
      <c r="E4941" t="s">
        <v>25</v>
      </c>
      <c r="F4941">
        <v>7002.01</v>
      </c>
      <c r="G4941">
        <v>4.5</v>
      </c>
      <c r="K4941">
        <v>0.1</v>
      </c>
      <c r="L4941">
        <v>7</v>
      </c>
      <c r="M4941">
        <v>93</v>
      </c>
    </row>
    <row r="4942" spans="2:13" x14ac:dyDescent="0.2">
      <c r="C4942" t="s">
        <v>27</v>
      </c>
    </row>
    <row r="4943" spans="2:13" x14ac:dyDescent="0.2">
      <c r="C4943" t="s">
        <v>28</v>
      </c>
      <c r="D4943" t="s">
        <v>16</v>
      </c>
      <c r="E4943" t="s">
        <v>29</v>
      </c>
      <c r="F4943" t="s">
        <v>18</v>
      </c>
    </row>
    <row r="4944" spans="2:13" x14ac:dyDescent="0.2">
      <c r="C4944" t="b">
        <v>0</v>
      </c>
      <c r="D4944">
        <v>6931.94</v>
      </c>
      <c r="E4944" t="s">
        <v>30</v>
      </c>
    </row>
    <row r="4945" spans="1:13" x14ac:dyDescent="0.2">
      <c r="C4945" t="b">
        <v>0</v>
      </c>
      <c r="D4945">
        <v>7152.12</v>
      </c>
      <c r="E4945" t="s">
        <v>30</v>
      </c>
    </row>
    <row r="4946" spans="1:13" x14ac:dyDescent="0.2">
      <c r="C4946" t="b">
        <v>0</v>
      </c>
      <c r="D4946">
        <v>6972.03</v>
      </c>
      <c r="E4946" t="s">
        <v>30</v>
      </c>
    </row>
    <row r="4947" spans="1:13" x14ac:dyDescent="0.2">
      <c r="C4947" t="b">
        <v>0</v>
      </c>
      <c r="D4947">
        <v>6781.86</v>
      </c>
      <c r="E4947" t="s">
        <v>30</v>
      </c>
    </row>
    <row r="4948" spans="1:13" x14ac:dyDescent="0.2">
      <c r="C4948" t="b">
        <v>0</v>
      </c>
      <c r="D4948">
        <v>6671.82</v>
      </c>
      <c r="E4948" t="s">
        <v>30</v>
      </c>
    </row>
    <row r="4949" spans="1:13" x14ac:dyDescent="0.2">
      <c r="C4949" t="b">
        <v>0</v>
      </c>
      <c r="D4949">
        <v>7622.34</v>
      </c>
      <c r="E4949" t="s">
        <v>30</v>
      </c>
    </row>
    <row r="4950" spans="1:13" x14ac:dyDescent="0.2">
      <c r="C4950" t="b">
        <v>0</v>
      </c>
      <c r="D4950">
        <v>6881.99</v>
      </c>
      <c r="E4950" t="s">
        <v>30</v>
      </c>
    </row>
    <row r="4951" spans="1:13" x14ac:dyDescent="0.2">
      <c r="A4951" t="s">
        <v>0</v>
      </c>
    </row>
    <row r="4952" spans="1:13" x14ac:dyDescent="0.2">
      <c r="B4952" t="s">
        <v>1</v>
      </c>
      <c r="C4952" t="s">
        <v>2</v>
      </c>
      <c r="D4952" t="s">
        <v>3</v>
      </c>
      <c r="E4952" t="s">
        <v>4</v>
      </c>
      <c r="F4952" t="s">
        <v>5</v>
      </c>
      <c r="G4952" t="s">
        <v>6</v>
      </c>
    </row>
    <row r="4953" spans="1:13" x14ac:dyDescent="0.2">
      <c r="B4953" t="b">
        <v>0</v>
      </c>
      <c r="C4953" t="s">
        <v>350</v>
      </c>
      <c r="D4953" t="s">
        <v>351</v>
      </c>
      <c r="E4953" t="s">
        <v>150</v>
      </c>
      <c r="G4953" t="s">
        <v>352</v>
      </c>
    </row>
    <row r="4954" spans="1:13" x14ac:dyDescent="0.2">
      <c r="B4954" t="s">
        <v>11</v>
      </c>
    </row>
    <row r="4955" spans="1:13" x14ac:dyDescent="0.2">
      <c r="B4955" t="s">
        <v>12</v>
      </c>
      <c r="C4955" t="s">
        <v>13</v>
      </c>
      <c r="D4955" t="s">
        <v>14</v>
      </c>
      <c r="E4955" t="s">
        <v>15</v>
      </c>
      <c r="F4955" t="s">
        <v>16</v>
      </c>
      <c r="G4955" t="s">
        <v>17</v>
      </c>
      <c r="H4955" t="s">
        <v>18</v>
      </c>
      <c r="I4955" t="s">
        <v>19</v>
      </c>
      <c r="J4955" t="s">
        <v>20</v>
      </c>
      <c r="K4955" t="s">
        <v>21</v>
      </c>
      <c r="L4955" t="s">
        <v>22</v>
      </c>
      <c r="M4955" t="s">
        <v>23</v>
      </c>
    </row>
    <row r="4956" spans="1:13" x14ac:dyDescent="0.2">
      <c r="B4956" t="s">
        <v>24</v>
      </c>
      <c r="C4956">
        <v>59</v>
      </c>
      <c r="E4956" t="s">
        <v>25</v>
      </c>
      <c r="F4956">
        <v>3657461.33</v>
      </c>
      <c r="G4956">
        <v>3</v>
      </c>
      <c r="H4956">
        <v>1.127</v>
      </c>
      <c r="I4956" t="s">
        <v>26</v>
      </c>
      <c r="J4956">
        <v>3</v>
      </c>
      <c r="K4956">
        <v>0.1</v>
      </c>
      <c r="L4956">
        <v>7</v>
      </c>
    </row>
    <row r="4957" spans="1:13" x14ac:dyDescent="0.2">
      <c r="C4957" t="s">
        <v>27</v>
      </c>
    </row>
    <row r="4958" spans="1:13" x14ac:dyDescent="0.2">
      <c r="C4958" t="s">
        <v>28</v>
      </c>
      <c r="D4958" t="s">
        <v>16</v>
      </c>
      <c r="E4958" t="s">
        <v>29</v>
      </c>
      <c r="F4958" t="s">
        <v>18</v>
      </c>
    </row>
    <row r="4959" spans="1:13" x14ac:dyDescent="0.2">
      <c r="C4959" t="b">
        <v>0</v>
      </c>
      <c r="D4959">
        <v>3605539.32</v>
      </c>
      <c r="E4959" t="s">
        <v>67</v>
      </c>
      <c r="F4959">
        <v>1.111</v>
      </c>
    </row>
    <row r="4960" spans="1:13" x14ac:dyDescent="0.2">
      <c r="C4960" t="b">
        <v>0</v>
      </c>
      <c r="D4960">
        <v>3605270.26</v>
      </c>
      <c r="E4960" t="s">
        <v>67</v>
      </c>
      <c r="F4960">
        <v>1.111</v>
      </c>
    </row>
    <row r="4961" spans="2:13" x14ac:dyDescent="0.2">
      <c r="C4961" t="b">
        <v>0</v>
      </c>
      <c r="D4961">
        <v>3559717.13</v>
      </c>
      <c r="E4961" t="s">
        <v>67</v>
      </c>
      <c r="F4961">
        <v>1.097</v>
      </c>
    </row>
    <row r="4962" spans="2:13" x14ac:dyDescent="0.2">
      <c r="C4962" t="b">
        <v>0</v>
      </c>
      <c r="D4962">
        <v>3616086.2</v>
      </c>
      <c r="E4962" t="s">
        <v>67</v>
      </c>
      <c r="F4962">
        <v>1.1140000000000001</v>
      </c>
    </row>
    <row r="4963" spans="2:13" x14ac:dyDescent="0.2">
      <c r="C4963" t="b">
        <v>0</v>
      </c>
      <c r="D4963">
        <v>3596204.32</v>
      </c>
      <c r="E4963" t="s">
        <v>67</v>
      </c>
      <c r="F4963">
        <v>1.1080000000000001</v>
      </c>
    </row>
    <row r="4964" spans="2:13" x14ac:dyDescent="0.2">
      <c r="C4964" t="b">
        <v>0</v>
      </c>
      <c r="D4964">
        <v>3849462.13</v>
      </c>
      <c r="E4964" t="s">
        <v>67</v>
      </c>
      <c r="F4964">
        <v>1.1859999999999999</v>
      </c>
    </row>
    <row r="4965" spans="2:13" x14ac:dyDescent="0.2">
      <c r="C4965" t="b">
        <v>0</v>
      </c>
      <c r="D4965">
        <v>3769949.94</v>
      </c>
      <c r="E4965" t="s">
        <v>67</v>
      </c>
      <c r="F4965">
        <v>1.1619999999999999</v>
      </c>
    </row>
    <row r="4966" spans="2:13" x14ac:dyDescent="0.2">
      <c r="B4966" t="s">
        <v>11</v>
      </c>
    </row>
    <row r="4967" spans="2:13" x14ac:dyDescent="0.2">
      <c r="B4967" t="s">
        <v>12</v>
      </c>
      <c r="C4967" t="s">
        <v>13</v>
      </c>
      <c r="D4967" t="s">
        <v>14</v>
      </c>
      <c r="E4967" t="s">
        <v>15</v>
      </c>
      <c r="F4967" t="s">
        <v>16</v>
      </c>
      <c r="G4967" t="s">
        <v>17</v>
      </c>
      <c r="H4967" t="s">
        <v>18</v>
      </c>
      <c r="I4967" t="s">
        <v>19</v>
      </c>
      <c r="J4967" t="s">
        <v>20</v>
      </c>
      <c r="K4967" t="s">
        <v>21</v>
      </c>
      <c r="L4967" t="s">
        <v>22</v>
      </c>
      <c r="M4967" t="s">
        <v>23</v>
      </c>
    </row>
    <row r="4968" spans="2:13" x14ac:dyDescent="0.2">
      <c r="B4968" t="s">
        <v>31</v>
      </c>
      <c r="C4968">
        <v>45</v>
      </c>
      <c r="E4968" t="s">
        <v>25</v>
      </c>
      <c r="F4968">
        <v>1365.83</v>
      </c>
      <c r="G4968">
        <v>10.9</v>
      </c>
      <c r="K4968">
        <v>0.1</v>
      </c>
      <c r="L4968">
        <v>7</v>
      </c>
      <c r="M4968">
        <v>105.3</v>
      </c>
    </row>
    <row r="4969" spans="2:13" x14ac:dyDescent="0.2">
      <c r="C4969" t="s">
        <v>27</v>
      </c>
    </row>
    <row r="4970" spans="2:13" x14ac:dyDescent="0.2">
      <c r="C4970" t="s">
        <v>28</v>
      </c>
      <c r="D4970" t="s">
        <v>16</v>
      </c>
      <c r="E4970" t="s">
        <v>29</v>
      </c>
      <c r="F4970" t="s">
        <v>18</v>
      </c>
    </row>
    <row r="4971" spans="2:13" x14ac:dyDescent="0.2">
      <c r="C4971" t="b">
        <v>0</v>
      </c>
      <c r="D4971">
        <v>1390.12</v>
      </c>
      <c r="E4971" t="s">
        <v>30</v>
      </c>
    </row>
    <row r="4972" spans="2:13" x14ac:dyDescent="0.2">
      <c r="C4972" t="b">
        <v>0</v>
      </c>
      <c r="D4972">
        <v>1480.13</v>
      </c>
      <c r="E4972" t="s">
        <v>30</v>
      </c>
    </row>
    <row r="4973" spans="2:13" x14ac:dyDescent="0.2">
      <c r="C4973" t="b">
        <v>0</v>
      </c>
      <c r="D4973">
        <v>1410.12</v>
      </c>
      <c r="E4973" t="s">
        <v>30</v>
      </c>
    </row>
    <row r="4974" spans="2:13" x14ac:dyDescent="0.2">
      <c r="C4974" t="b">
        <v>0</v>
      </c>
      <c r="D4974">
        <v>1590.15</v>
      </c>
      <c r="E4974" t="s">
        <v>30</v>
      </c>
    </row>
    <row r="4975" spans="2:13" x14ac:dyDescent="0.2">
      <c r="C4975" t="b">
        <v>0</v>
      </c>
      <c r="D4975">
        <v>1240.0999999999999</v>
      </c>
      <c r="E4975" t="s">
        <v>30</v>
      </c>
    </row>
    <row r="4976" spans="2:13" x14ac:dyDescent="0.2">
      <c r="C4976" t="b">
        <v>0</v>
      </c>
      <c r="D4976">
        <v>1300.1199999999999</v>
      </c>
      <c r="E4976" t="s">
        <v>30</v>
      </c>
    </row>
    <row r="4977" spans="2:13" x14ac:dyDescent="0.2">
      <c r="C4977" t="b">
        <v>0</v>
      </c>
      <c r="D4977">
        <v>1150.0899999999999</v>
      </c>
      <c r="E4977" t="s">
        <v>30</v>
      </c>
    </row>
    <row r="4978" spans="2:13" x14ac:dyDescent="0.2">
      <c r="B4978" t="s">
        <v>11</v>
      </c>
    </row>
    <row r="4979" spans="2:13" x14ac:dyDescent="0.2">
      <c r="B4979" t="s">
        <v>12</v>
      </c>
      <c r="C4979" t="s">
        <v>13</v>
      </c>
      <c r="D4979" t="s">
        <v>14</v>
      </c>
      <c r="E4979" t="s">
        <v>15</v>
      </c>
      <c r="F4979" t="s">
        <v>16</v>
      </c>
      <c r="G4979" t="s">
        <v>17</v>
      </c>
      <c r="H4979" t="s">
        <v>18</v>
      </c>
      <c r="I4979" t="s">
        <v>19</v>
      </c>
      <c r="J4979" t="s">
        <v>20</v>
      </c>
      <c r="K4979" t="s">
        <v>21</v>
      </c>
      <c r="L4979" t="s">
        <v>22</v>
      </c>
      <c r="M4979" t="s">
        <v>23</v>
      </c>
    </row>
    <row r="4980" spans="2:13" x14ac:dyDescent="0.2">
      <c r="B4980" t="s">
        <v>32</v>
      </c>
      <c r="C4980">
        <v>72</v>
      </c>
      <c r="E4980" t="s">
        <v>25</v>
      </c>
      <c r="F4980">
        <v>1427.27</v>
      </c>
      <c r="G4980">
        <v>9.6999999999999993</v>
      </c>
      <c r="K4980">
        <v>0.1</v>
      </c>
      <c r="L4980">
        <v>7</v>
      </c>
      <c r="M4980">
        <v>103.4</v>
      </c>
    </row>
    <row r="4981" spans="2:13" x14ac:dyDescent="0.2">
      <c r="C4981" t="s">
        <v>27</v>
      </c>
    </row>
    <row r="4982" spans="2:13" x14ac:dyDescent="0.2">
      <c r="C4982" t="s">
        <v>28</v>
      </c>
      <c r="D4982" t="s">
        <v>16</v>
      </c>
      <c r="E4982" t="s">
        <v>29</v>
      </c>
      <c r="F4982" t="s">
        <v>18</v>
      </c>
    </row>
    <row r="4983" spans="2:13" x14ac:dyDescent="0.2">
      <c r="C4983" t="b">
        <v>0</v>
      </c>
      <c r="D4983">
        <v>1540.14</v>
      </c>
      <c r="E4983" t="s">
        <v>30</v>
      </c>
    </row>
    <row r="4984" spans="2:13" x14ac:dyDescent="0.2">
      <c r="C4984" t="b">
        <v>0</v>
      </c>
      <c r="D4984">
        <v>1390.13</v>
      </c>
      <c r="E4984" t="s">
        <v>30</v>
      </c>
    </row>
    <row r="4985" spans="2:13" x14ac:dyDescent="0.2">
      <c r="C4985" t="b">
        <v>0</v>
      </c>
      <c r="D4985">
        <v>1550.14</v>
      </c>
      <c r="E4985" t="s">
        <v>30</v>
      </c>
    </row>
    <row r="4986" spans="2:13" x14ac:dyDescent="0.2">
      <c r="C4986" t="b">
        <v>0</v>
      </c>
      <c r="D4986">
        <v>1530.14</v>
      </c>
      <c r="E4986" t="s">
        <v>30</v>
      </c>
    </row>
    <row r="4987" spans="2:13" x14ac:dyDescent="0.2">
      <c r="C4987" t="b">
        <v>0</v>
      </c>
      <c r="D4987">
        <v>1260.0999999999999</v>
      </c>
      <c r="E4987" t="s">
        <v>30</v>
      </c>
    </row>
    <row r="4988" spans="2:13" x14ac:dyDescent="0.2">
      <c r="C4988" t="b">
        <v>0</v>
      </c>
      <c r="D4988">
        <v>1220.0899999999999</v>
      </c>
      <c r="E4988" t="s">
        <v>30</v>
      </c>
    </row>
    <row r="4989" spans="2:13" x14ac:dyDescent="0.2">
      <c r="C4989" t="b">
        <v>0</v>
      </c>
      <c r="D4989">
        <v>1500.14</v>
      </c>
      <c r="E4989" t="s">
        <v>30</v>
      </c>
    </row>
    <row r="4990" spans="2:13" x14ac:dyDescent="0.2">
      <c r="B4990" t="s">
        <v>11</v>
      </c>
    </row>
    <row r="4991" spans="2:13" x14ac:dyDescent="0.2">
      <c r="B4991" t="s">
        <v>12</v>
      </c>
      <c r="C4991" t="s">
        <v>13</v>
      </c>
      <c r="D4991" t="s">
        <v>14</v>
      </c>
      <c r="E4991" t="s">
        <v>15</v>
      </c>
      <c r="F4991" t="s">
        <v>16</v>
      </c>
      <c r="G4991" t="s">
        <v>17</v>
      </c>
      <c r="H4991" t="s">
        <v>18</v>
      </c>
      <c r="I4991" t="s">
        <v>19</v>
      </c>
      <c r="J4991" t="s">
        <v>20</v>
      </c>
      <c r="K4991" t="s">
        <v>21</v>
      </c>
      <c r="L4991" t="s">
        <v>22</v>
      </c>
      <c r="M4991" t="s">
        <v>23</v>
      </c>
    </row>
    <row r="4992" spans="2:13" x14ac:dyDescent="0.2">
      <c r="B4992" t="s">
        <v>33</v>
      </c>
      <c r="C4992">
        <v>89</v>
      </c>
      <c r="E4992" t="s">
        <v>25</v>
      </c>
      <c r="F4992">
        <v>8038.36</v>
      </c>
      <c r="G4992">
        <v>8.3000000000000007</v>
      </c>
      <c r="K4992">
        <v>0.1</v>
      </c>
      <c r="L4992">
        <v>7</v>
      </c>
      <c r="M4992">
        <v>106.7</v>
      </c>
    </row>
    <row r="4993" spans="1:13" x14ac:dyDescent="0.2">
      <c r="C4993" t="s">
        <v>27</v>
      </c>
    </row>
    <row r="4994" spans="1:13" x14ac:dyDescent="0.2">
      <c r="C4994" t="s">
        <v>28</v>
      </c>
      <c r="D4994" t="s">
        <v>16</v>
      </c>
      <c r="E4994" t="s">
        <v>29</v>
      </c>
      <c r="F4994" t="s">
        <v>18</v>
      </c>
    </row>
    <row r="4995" spans="1:13" x14ac:dyDescent="0.2">
      <c r="C4995" t="b">
        <v>0</v>
      </c>
      <c r="D4995">
        <v>8863.1200000000008</v>
      </c>
      <c r="E4995" t="s">
        <v>30</v>
      </c>
    </row>
    <row r="4996" spans="1:13" x14ac:dyDescent="0.2">
      <c r="C4996" t="b">
        <v>0</v>
      </c>
      <c r="D4996">
        <v>8683.06</v>
      </c>
      <c r="E4996" t="s">
        <v>30</v>
      </c>
    </row>
    <row r="4997" spans="1:13" x14ac:dyDescent="0.2">
      <c r="C4997" t="b">
        <v>0</v>
      </c>
      <c r="D4997">
        <v>8272.77</v>
      </c>
      <c r="E4997" t="s">
        <v>30</v>
      </c>
    </row>
    <row r="4998" spans="1:13" x14ac:dyDescent="0.2">
      <c r="C4998" t="b">
        <v>0</v>
      </c>
      <c r="D4998">
        <v>8192.77</v>
      </c>
      <c r="E4998" t="s">
        <v>30</v>
      </c>
    </row>
    <row r="4999" spans="1:13" x14ac:dyDescent="0.2">
      <c r="C4999" t="b">
        <v>0</v>
      </c>
      <c r="D4999">
        <v>6992.05</v>
      </c>
      <c r="E4999" t="s">
        <v>30</v>
      </c>
    </row>
    <row r="5000" spans="1:13" x14ac:dyDescent="0.2">
      <c r="C5000" t="b">
        <v>0</v>
      </c>
      <c r="D5000">
        <v>7822.49</v>
      </c>
      <c r="E5000" t="s">
        <v>30</v>
      </c>
    </row>
    <row r="5001" spans="1:13" x14ac:dyDescent="0.2">
      <c r="C5001" t="b">
        <v>0</v>
      </c>
      <c r="D5001">
        <v>7442.28</v>
      </c>
      <c r="E5001" t="s">
        <v>30</v>
      </c>
    </row>
    <row r="5002" spans="1:13" x14ac:dyDescent="0.2">
      <c r="A5002" t="s">
        <v>0</v>
      </c>
    </row>
    <row r="5003" spans="1:13" x14ac:dyDescent="0.2">
      <c r="B5003" t="s">
        <v>1</v>
      </c>
      <c r="C5003" t="s">
        <v>2</v>
      </c>
      <c r="D5003" t="s">
        <v>3</v>
      </c>
      <c r="E5003" t="s">
        <v>4</v>
      </c>
      <c r="F5003" t="s">
        <v>5</v>
      </c>
      <c r="G5003" t="s">
        <v>6</v>
      </c>
    </row>
    <row r="5004" spans="1:13" x14ac:dyDescent="0.2">
      <c r="B5004" t="b">
        <v>0</v>
      </c>
      <c r="C5004" t="s">
        <v>144</v>
      </c>
      <c r="D5004" t="s">
        <v>353</v>
      </c>
      <c r="E5004" t="s">
        <v>9</v>
      </c>
      <c r="G5004" t="s">
        <v>146</v>
      </c>
    </row>
    <row r="5005" spans="1:13" x14ac:dyDescent="0.2">
      <c r="B5005" t="s">
        <v>11</v>
      </c>
    </row>
    <row r="5006" spans="1:13" x14ac:dyDescent="0.2">
      <c r="B5006" t="s">
        <v>12</v>
      </c>
      <c r="C5006" t="s">
        <v>13</v>
      </c>
      <c r="D5006" t="s">
        <v>14</v>
      </c>
      <c r="E5006" t="s">
        <v>15</v>
      </c>
      <c r="F5006" t="s">
        <v>16</v>
      </c>
      <c r="G5006" t="s">
        <v>17</v>
      </c>
      <c r="H5006" t="s">
        <v>18</v>
      </c>
      <c r="I5006" t="s">
        <v>19</v>
      </c>
      <c r="J5006" t="s">
        <v>20</v>
      </c>
      <c r="K5006" t="s">
        <v>21</v>
      </c>
      <c r="L5006" t="s">
        <v>22</v>
      </c>
      <c r="M5006" t="s">
        <v>23</v>
      </c>
    </row>
    <row r="5007" spans="1:13" x14ac:dyDescent="0.2">
      <c r="B5007" t="s">
        <v>24</v>
      </c>
      <c r="C5007">
        <v>59</v>
      </c>
      <c r="E5007" t="s">
        <v>25</v>
      </c>
      <c r="F5007">
        <v>187.15</v>
      </c>
      <c r="G5007">
        <v>24.6</v>
      </c>
      <c r="H5007">
        <v>0</v>
      </c>
      <c r="I5007" t="s">
        <v>26</v>
      </c>
      <c r="J5007">
        <v>31</v>
      </c>
      <c r="K5007">
        <v>0.1</v>
      </c>
      <c r="L5007">
        <v>7</v>
      </c>
    </row>
    <row r="5008" spans="1:13" x14ac:dyDescent="0.2">
      <c r="C5008" t="s">
        <v>27</v>
      </c>
    </row>
    <row r="5009" spans="2:13" x14ac:dyDescent="0.2">
      <c r="C5009" t="s">
        <v>28</v>
      </c>
      <c r="D5009" t="s">
        <v>16</v>
      </c>
      <c r="E5009" t="s">
        <v>29</v>
      </c>
      <c r="F5009" t="s">
        <v>18</v>
      </c>
    </row>
    <row r="5010" spans="2:13" x14ac:dyDescent="0.2">
      <c r="C5010" t="b">
        <v>0</v>
      </c>
      <c r="D5010">
        <v>240.01</v>
      </c>
      <c r="E5010" t="s">
        <v>30</v>
      </c>
      <c r="F5010">
        <v>0</v>
      </c>
    </row>
    <row r="5011" spans="2:13" x14ac:dyDescent="0.2">
      <c r="C5011" t="b">
        <v>0</v>
      </c>
      <c r="D5011">
        <v>130.01</v>
      </c>
      <c r="E5011" t="s">
        <v>30</v>
      </c>
      <c r="F5011">
        <v>0</v>
      </c>
    </row>
    <row r="5012" spans="2:13" x14ac:dyDescent="0.2">
      <c r="C5012" t="b">
        <v>0</v>
      </c>
      <c r="D5012">
        <v>220.01</v>
      </c>
      <c r="E5012" t="s">
        <v>30</v>
      </c>
      <c r="F5012">
        <v>0</v>
      </c>
    </row>
    <row r="5013" spans="2:13" x14ac:dyDescent="0.2">
      <c r="C5013" t="b">
        <v>0</v>
      </c>
      <c r="D5013">
        <v>220.01</v>
      </c>
      <c r="E5013" t="s">
        <v>30</v>
      </c>
      <c r="F5013">
        <v>0</v>
      </c>
    </row>
    <row r="5014" spans="2:13" x14ac:dyDescent="0.2">
      <c r="C5014" t="b">
        <v>0</v>
      </c>
      <c r="D5014">
        <v>190.01</v>
      </c>
      <c r="E5014" t="s">
        <v>30</v>
      </c>
      <c r="F5014">
        <v>0</v>
      </c>
    </row>
    <row r="5015" spans="2:13" x14ac:dyDescent="0.2">
      <c r="C5015" t="b">
        <v>0</v>
      </c>
      <c r="D5015">
        <v>120</v>
      </c>
      <c r="E5015" t="s">
        <v>30</v>
      </c>
      <c r="F5015">
        <v>0</v>
      </c>
    </row>
    <row r="5016" spans="2:13" x14ac:dyDescent="0.2">
      <c r="C5016" t="b">
        <v>0</v>
      </c>
      <c r="D5016">
        <v>190.01</v>
      </c>
      <c r="E5016" t="s">
        <v>30</v>
      </c>
      <c r="F5016">
        <v>0</v>
      </c>
    </row>
    <row r="5017" spans="2:13" x14ac:dyDescent="0.2">
      <c r="B5017" t="s">
        <v>11</v>
      </c>
    </row>
    <row r="5018" spans="2:13" x14ac:dyDescent="0.2">
      <c r="B5018" t="s">
        <v>12</v>
      </c>
      <c r="C5018" t="s">
        <v>13</v>
      </c>
      <c r="D5018" t="s">
        <v>14</v>
      </c>
      <c r="E5018" t="s">
        <v>15</v>
      </c>
      <c r="F5018" t="s">
        <v>16</v>
      </c>
      <c r="G5018" t="s">
        <v>17</v>
      </c>
      <c r="H5018" t="s">
        <v>18</v>
      </c>
      <c r="I5018" t="s">
        <v>19</v>
      </c>
      <c r="J5018" t="s">
        <v>20</v>
      </c>
      <c r="K5018" t="s">
        <v>21</v>
      </c>
      <c r="L5018" t="s">
        <v>22</v>
      </c>
      <c r="M5018" t="s">
        <v>23</v>
      </c>
    </row>
    <row r="5019" spans="2:13" x14ac:dyDescent="0.2">
      <c r="B5019" t="s">
        <v>31</v>
      </c>
      <c r="C5019">
        <v>45</v>
      </c>
      <c r="E5019" t="s">
        <v>25</v>
      </c>
      <c r="F5019">
        <v>1200.0899999999999</v>
      </c>
      <c r="G5019">
        <v>11.6</v>
      </c>
      <c r="K5019">
        <v>0.1</v>
      </c>
      <c r="L5019">
        <v>7</v>
      </c>
      <c r="M5019">
        <v>92.5</v>
      </c>
    </row>
    <row r="5020" spans="2:13" x14ac:dyDescent="0.2">
      <c r="C5020" t="s">
        <v>27</v>
      </c>
    </row>
    <row r="5021" spans="2:13" x14ac:dyDescent="0.2">
      <c r="C5021" t="s">
        <v>28</v>
      </c>
      <c r="D5021" t="s">
        <v>16</v>
      </c>
      <c r="E5021" t="s">
        <v>29</v>
      </c>
      <c r="F5021" t="s">
        <v>18</v>
      </c>
    </row>
    <row r="5022" spans="2:13" x14ac:dyDescent="0.2">
      <c r="C5022" t="b">
        <v>0</v>
      </c>
      <c r="D5022">
        <v>1050.08</v>
      </c>
      <c r="E5022" t="s">
        <v>30</v>
      </c>
    </row>
    <row r="5023" spans="2:13" x14ac:dyDescent="0.2">
      <c r="C5023" t="b">
        <v>0</v>
      </c>
      <c r="D5023">
        <v>1200.1199999999999</v>
      </c>
      <c r="E5023" t="s">
        <v>30</v>
      </c>
    </row>
    <row r="5024" spans="2:13" x14ac:dyDescent="0.2">
      <c r="C5024" t="b">
        <v>0</v>
      </c>
      <c r="D5024">
        <v>1430.11</v>
      </c>
      <c r="E5024" t="s">
        <v>30</v>
      </c>
    </row>
    <row r="5025" spans="2:13" x14ac:dyDescent="0.2">
      <c r="C5025" t="b">
        <v>0</v>
      </c>
      <c r="D5025">
        <v>1340.1</v>
      </c>
      <c r="E5025" t="s">
        <v>30</v>
      </c>
    </row>
    <row r="5026" spans="2:13" x14ac:dyDescent="0.2">
      <c r="C5026" t="b">
        <v>0</v>
      </c>
      <c r="D5026">
        <v>1080.08</v>
      </c>
      <c r="E5026" t="s">
        <v>30</v>
      </c>
    </row>
    <row r="5027" spans="2:13" x14ac:dyDescent="0.2">
      <c r="C5027" t="b">
        <v>0</v>
      </c>
      <c r="D5027">
        <v>1120.08</v>
      </c>
      <c r="E5027" t="s">
        <v>30</v>
      </c>
    </row>
    <row r="5028" spans="2:13" x14ac:dyDescent="0.2">
      <c r="C5028" t="b">
        <v>0</v>
      </c>
      <c r="D5028">
        <v>1180.0899999999999</v>
      </c>
      <c r="E5028" t="s">
        <v>30</v>
      </c>
    </row>
    <row r="5029" spans="2:13" x14ac:dyDescent="0.2">
      <c r="B5029" t="s">
        <v>11</v>
      </c>
    </row>
    <row r="5030" spans="2:13" x14ac:dyDescent="0.2">
      <c r="B5030" t="s">
        <v>12</v>
      </c>
      <c r="C5030" t="s">
        <v>13</v>
      </c>
      <c r="D5030" t="s">
        <v>14</v>
      </c>
      <c r="E5030" t="s">
        <v>15</v>
      </c>
      <c r="F5030" t="s">
        <v>16</v>
      </c>
      <c r="G5030" t="s">
        <v>17</v>
      </c>
      <c r="H5030" t="s">
        <v>18</v>
      </c>
      <c r="I5030" t="s">
        <v>19</v>
      </c>
      <c r="J5030" t="s">
        <v>20</v>
      </c>
      <c r="K5030" t="s">
        <v>21</v>
      </c>
      <c r="L5030" t="s">
        <v>22</v>
      </c>
      <c r="M5030" t="s">
        <v>23</v>
      </c>
    </row>
    <row r="5031" spans="2:13" x14ac:dyDescent="0.2">
      <c r="B5031" t="s">
        <v>32</v>
      </c>
      <c r="C5031">
        <v>72</v>
      </c>
      <c r="E5031" t="s">
        <v>25</v>
      </c>
      <c r="F5031">
        <v>1335.83</v>
      </c>
      <c r="G5031">
        <v>7.2</v>
      </c>
      <c r="K5031">
        <v>0.1</v>
      </c>
      <c r="L5031">
        <v>7</v>
      </c>
      <c r="M5031">
        <v>96.8</v>
      </c>
    </row>
    <row r="5032" spans="2:13" x14ac:dyDescent="0.2">
      <c r="C5032" t="s">
        <v>27</v>
      </c>
    </row>
    <row r="5033" spans="2:13" x14ac:dyDescent="0.2">
      <c r="C5033" t="s">
        <v>28</v>
      </c>
      <c r="D5033" t="s">
        <v>16</v>
      </c>
      <c r="E5033" t="s">
        <v>29</v>
      </c>
      <c r="F5033" t="s">
        <v>18</v>
      </c>
    </row>
    <row r="5034" spans="2:13" x14ac:dyDescent="0.2">
      <c r="C5034" t="b">
        <v>0</v>
      </c>
      <c r="D5034">
        <v>1260.1099999999999</v>
      </c>
      <c r="E5034" t="s">
        <v>30</v>
      </c>
    </row>
    <row r="5035" spans="2:13" x14ac:dyDescent="0.2">
      <c r="C5035" t="b">
        <v>0</v>
      </c>
      <c r="D5035">
        <v>1280.0999999999999</v>
      </c>
      <c r="E5035" t="s">
        <v>30</v>
      </c>
    </row>
    <row r="5036" spans="2:13" x14ac:dyDescent="0.2">
      <c r="C5036" t="b">
        <v>0</v>
      </c>
      <c r="D5036">
        <v>1220.1099999999999</v>
      </c>
      <c r="E5036" t="s">
        <v>30</v>
      </c>
    </row>
    <row r="5037" spans="2:13" x14ac:dyDescent="0.2">
      <c r="C5037" t="b">
        <v>0</v>
      </c>
      <c r="D5037">
        <v>1410.12</v>
      </c>
      <c r="E5037" t="s">
        <v>30</v>
      </c>
    </row>
    <row r="5038" spans="2:13" x14ac:dyDescent="0.2">
      <c r="C5038" t="b">
        <v>0</v>
      </c>
      <c r="D5038">
        <v>1470.14</v>
      </c>
      <c r="E5038" t="s">
        <v>30</v>
      </c>
    </row>
    <row r="5039" spans="2:13" x14ac:dyDescent="0.2">
      <c r="C5039" t="b">
        <v>0</v>
      </c>
      <c r="D5039">
        <v>1420.14</v>
      </c>
      <c r="E5039" t="s">
        <v>30</v>
      </c>
    </row>
    <row r="5040" spans="2:13" x14ac:dyDescent="0.2">
      <c r="C5040" t="b">
        <v>0</v>
      </c>
      <c r="D5040">
        <v>1290.0999999999999</v>
      </c>
      <c r="E5040" t="s">
        <v>30</v>
      </c>
    </row>
    <row r="5041" spans="1:13" x14ac:dyDescent="0.2">
      <c r="B5041" t="s">
        <v>11</v>
      </c>
    </row>
    <row r="5042" spans="1:13" x14ac:dyDescent="0.2">
      <c r="B5042" t="s">
        <v>12</v>
      </c>
      <c r="C5042" t="s">
        <v>13</v>
      </c>
      <c r="D5042" t="s">
        <v>14</v>
      </c>
      <c r="E5042" t="s">
        <v>15</v>
      </c>
      <c r="F5042" t="s">
        <v>16</v>
      </c>
      <c r="G5042" t="s">
        <v>17</v>
      </c>
      <c r="H5042" t="s">
        <v>18</v>
      </c>
      <c r="I5042" t="s">
        <v>19</v>
      </c>
      <c r="J5042" t="s">
        <v>20</v>
      </c>
      <c r="K5042" t="s">
        <v>21</v>
      </c>
      <c r="L5042" t="s">
        <v>22</v>
      </c>
      <c r="M5042" t="s">
        <v>23</v>
      </c>
    </row>
    <row r="5043" spans="1:13" x14ac:dyDescent="0.2">
      <c r="B5043" t="s">
        <v>33</v>
      </c>
      <c r="C5043">
        <v>89</v>
      </c>
      <c r="E5043" t="s">
        <v>25</v>
      </c>
      <c r="F5043">
        <v>7626.63</v>
      </c>
      <c r="G5043">
        <v>5.3</v>
      </c>
      <c r="K5043">
        <v>0.1</v>
      </c>
      <c r="L5043">
        <v>7</v>
      </c>
      <c r="M5043">
        <v>101.3</v>
      </c>
    </row>
    <row r="5044" spans="1:13" x14ac:dyDescent="0.2">
      <c r="C5044" t="s">
        <v>27</v>
      </c>
    </row>
    <row r="5045" spans="1:13" x14ac:dyDescent="0.2">
      <c r="C5045" t="s">
        <v>28</v>
      </c>
      <c r="D5045" t="s">
        <v>16</v>
      </c>
      <c r="E5045" t="s">
        <v>29</v>
      </c>
      <c r="F5045" t="s">
        <v>18</v>
      </c>
    </row>
    <row r="5046" spans="1:13" x14ac:dyDescent="0.2">
      <c r="C5046" t="b">
        <v>0</v>
      </c>
      <c r="D5046">
        <v>7832.46</v>
      </c>
      <c r="E5046" t="s">
        <v>30</v>
      </c>
    </row>
    <row r="5047" spans="1:13" x14ac:dyDescent="0.2">
      <c r="C5047" t="b">
        <v>0</v>
      </c>
      <c r="D5047">
        <v>6961.95</v>
      </c>
      <c r="E5047" t="s">
        <v>30</v>
      </c>
    </row>
    <row r="5048" spans="1:13" x14ac:dyDescent="0.2">
      <c r="C5048" t="b">
        <v>0</v>
      </c>
      <c r="D5048">
        <v>7652.41</v>
      </c>
      <c r="E5048" t="s">
        <v>30</v>
      </c>
    </row>
    <row r="5049" spans="1:13" x14ac:dyDescent="0.2">
      <c r="C5049" t="b">
        <v>0</v>
      </c>
      <c r="D5049">
        <v>7162.07</v>
      </c>
      <c r="E5049" t="s">
        <v>30</v>
      </c>
    </row>
    <row r="5050" spans="1:13" x14ac:dyDescent="0.2">
      <c r="C5050" t="b">
        <v>0</v>
      </c>
      <c r="D5050">
        <v>7872.44</v>
      </c>
      <c r="E5050" t="s">
        <v>30</v>
      </c>
    </row>
    <row r="5051" spans="1:13" x14ac:dyDescent="0.2">
      <c r="C5051" t="b">
        <v>0</v>
      </c>
      <c r="D5051">
        <v>7872.55</v>
      </c>
      <c r="E5051" t="s">
        <v>30</v>
      </c>
    </row>
    <row r="5052" spans="1:13" x14ac:dyDescent="0.2">
      <c r="C5052" t="b">
        <v>0</v>
      </c>
      <c r="D5052">
        <v>8032.56</v>
      </c>
      <c r="E5052" t="s">
        <v>30</v>
      </c>
    </row>
    <row r="5053" spans="1:13" x14ac:dyDescent="0.2">
      <c r="A5053" t="s">
        <v>0</v>
      </c>
    </row>
    <row r="5054" spans="1:13" x14ac:dyDescent="0.2">
      <c r="B5054" t="s">
        <v>1</v>
      </c>
      <c r="C5054" t="s">
        <v>2</v>
      </c>
      <c r="D5054" t="s">
        <v>3</v>
      </c>
      <c r="E5054" t="s">
        <v>4</v>
      </c>
      <c r="F5054" t="s">
        <v>5</v>
      </c>
      <c r="G5054" t="s">
        <v>6</v>
      </c>
    </row>
    <row r="5055" spans="1:13" x14ac:dyDescent="0.2">
      <c r="B5055" t="b">
        <v>0</v>
      </c>
      <c r="C5055" t="s">
        <v>354</v>
      </c>
      <c r="D5055" t="s">
        <v>355</v>
      </c>
      <c r="E5055" t="s">
        <v>0</v>
      </c>
      <c r="G5055" t="s">
        <v>356</v>
      </c>
    </row>
    <row r="5056" spans="1:13" x14ac:dyDescent="0.2">
      <c r="B5056" t="s">
        <v>11</v>
      </c>
    </row>
    <row r="5057" spans="2:13" x14ac:dyDescent="0.2">
      <c r="B5057" t="s">
        <v>12</v>
      </c>
      <c r="C5057" t="s">
        <v>13</v>
      </c>
      <c r="D5057" t="s">
        <v>14</v>
      </c>
      <c r="E5057" t="s">
        <v>15</v>
      </c>
      <c r="F5057" t="s">
        <v>16</v>
      </c>
      <c r="G5057" t="s">
        <v>17</v>
      </c>
      <c r="H5057" t="s">
        <v>18</v>
      </c>
      <c r="I5057" t="s">
        <v>19</v>
      </c>
      <c r="J5057" t="s">
        <v>20</v>
      </c>
      <c r="K5057" t="s">
        <v>21</v>
      </c>
      <c r="L5057" t="s">
        <v>22</v>
      </c>
      <c r="M5057" t="s">
        <v>23</v>
      </c>
    </row>
    <row r="5058" spans="2:13" x14ac:dyDescent="0.2">
      <c r="B5058" t="s">
        <v>24</v>
      </c>
      <c r="C5058">
        <v>59</v>
      </c>
      <c r="E5058" t="s">
        <v>25</v>
      </c>
      <c r="F5058">
        <v>1545634.91</v>
      </c>
      <c r="G5058">
        <v>1.8</v>
      </c>
      <c r="H5058">
        <v>0.47599999999999998</v>
      </c>
      <c r="I5058" t="s">
        <v>26</v>
      </c>
      <c r="J5058">
        <v>1.8</v>
      </c>
      <c r="K5058">
        <v>0.1</v>
      </c>
      <c r="L5058">
        <v>7</v>
      </c>
    </row>
    <row r="5059" spans="2:13" x14ac:dyDescent="0.2">
      <c r="C5059" t="s">
        <v>27</v>
      </c>
    </row>
    <row r="5060" spans="2:13" x14ac:dyDescent="0.2">
      <c r="C5060" t="s">
        <v>28</v>
      </c>
      <c r="D5060" t="s">
        <v>16</v>
      </c>
      <c r="E5060" t="s">
        <v>29</v>
      </c>
      <c r="F5060" t="s">
        <v>18</v>
      </c>
    </row>
    <row r="5061" spans="2:13" x14ac:dyDescent="0.2">
      <c r="C5061" t="b">
        <v>0</v>
      </c>
      <c r="D5061">
        <v>1528380.91</v>
      </c>
      <c r="E5061" t="s">
        <v>67</v>
      </c>
      <c r="F5061">
        <v>0.47099999999999997</v>
      </c>
    </row>
    <row r="5062" spans="2:13" x14ac:dyDescent="0.2">
      <c r="C5062" t="b">
        <v>0</v>
      </c>
      <c r="D5062">
        <v>1545976.85</v>
      </c>
      <c r="E5062" t="s">
        <v>67</v>
      </c>
      <c r="F5062">
        <v>0.47599999999999998</v>
      </c>
    </row>
    <row r="5063" spans="2:13" x14ac:dyDescent="0.2">
      <c r="C5063" t="b">
        <v>0</v>
      </c>
      <c r="D5063">
        <v>1510961.54</v>
      </c>
      <c r="E5063" t="s">
        <v>67</v>
      </c>
      <c r="F5063">
        <v>0.46600000000000003</v>
      </c>
    </row>
    <row r="5064" spans="2:13" x14ac:dyDescent="0.2">
      <c r="C5064" t="b">
        <v>0</v>
      </c>
      <c r="D5064">
        <v>1560289.04</v>
      </c>
      <c r="E5064" t="s">
        <v>67</v>
      </c>
      <c r="F5064">
        <v>0.48099999999999998</v>
      </c>
    </row>
    <row r="5065" spans="2:13" x14ac:dyDescent="0.2">
      <c r="C5065" t="b">
        <v>0</v>
      </c>
      <c r="D5065">
        <v>1578579.2</v>
      </c>
      <c r="E5065" t="s">
        <v>67</v>
      </c>
      <c r="F5065">
        <v>0.48699999999999999</v>
      </c>
    </row>
    <row r="5066" spans="2:13" x14ac:dyDescent="0.2">
      <c r="C5066" t="b">
        <v>0</v>
      </c>
      <c r="D5066">
        <v>1575787.63</v>
      </c>
      <c r="E5066" t="s">
        <v>67</v>
      </c>
      <c r="F5066">
        <v>0.48599999999999999</v>
      </c>
    </row>
    <row r="5067" spans="2:13" x14ac:dyDescent="0.2">
      <c r="C5067" t="b">
        <v>0</v>
      </c>
      <c r="D5067">
        <v>1519469.2</v>
      </c>
      <c r="E5067" t="s">
        <v>67</v>
      </c>
      <c r="F5067">
        <v>0.46800000000000003</v>
      </c>
    </row>
    <row r="5068" spans="2:13" x14ac:dyDescent="0.2">
      <c r="B5068" t="s">
        <v>11</v>
      </c>
    </row>
    <row r="5069" spans="2:13" x14ac:dyDescent="0.2">
      <c r="B5069" t="s">
        <v>12</v>
      </c>
      <c r="C5069" t="s">
        <v>13</v>
      </c>
      <c r="D5069" t="s">
        <v>14</v>
      </c>
      <c r="E5069" t="s">
        <v>15</v>
      </c>
      <c r="F5069" t="s">
        <v>16</v>
      </c>
      <c r="G5069" t="s">
        <v>17</v>
      </c>
      <c r="H5069" t="s">
        <v>18</v>
      </c>
      <c r="I5069" t="s">
        <v>19</v>
      </c>
      <c r="J5069" t="s">
        <v>20</v>
      </c>
      <c r="K5069" t="s">
        <v>21</v>
      </c>
      <c r="L5069" t="s">
        <v>22</v>
      </c>
      <c r="M5069" t="s">
        <v>23</v>
      </c>
    </row>
    <row r="5070" spans="2:13" x14ac:dyDescent="0.2">
      <c r="B5070" t="s">
        <v>31</v>
      </c>
      <c r="C5070">
        <v>45</v>
      </c>
      <c r="E5070" t="s">
        <v>25</v>
      </c>
      <c r="F5070">
        <v>1480.13</v>
      </c>
      <c r="G5070">
        <v>6.8</v>
      </c>
      <c r="K5070">
        <v>0.1</v>
      </c>
      <c r="L5070">
        <v>7</v>
      </c>
      <c r="M5070">
        <v>114.1</v>
      </c>
    </row>
    <row r="5071" spans="2:13" x14ac:dyDescent="0.2">
      <c r="C5071" t="s">
        <v>27</v>
      </c>
    </row>
    <row r="5072" spans="2:13" x14ac:dyDescent="0.2">
      <c r="C5072" t="s">
        <v>28</v>
      </c>
      <c r="D5072" t="s">
        <v>16</v>
      </c>
      <c r="E5072" t="s">
        <v>29</v>
      </c>
      <c r="F5072" t="s">
        <v>18</v>
      </c>
    </row>
    <row r="5073" spans="2:13" x14ac:dyDescent="0.2">
      <c r="C5073" t="b">
        <v>0</v>
      </c>
      <c r="D5073">
        <v>1470.13</v>
      </c>
      <c r="E5073" t="s">
        <v>30</v>
      </c>
    </row>
    <row r="5074" spans="2:13" x14ac:dyDescent="0.2">
      <c r="C5074" t="b">
        <v>0</v>
      </c>
      <c r="D5074">
        <v>1480.12</v>
      </c>
      <c r="E5074" t="s">
        <v>30</v>
      </c>
    </row>
    <row r="5075" spans="2:13" x14ac:dyDescent="0.2">
      <c r="C5075" t="b">
        <v>0</v>
      </c>
      <c r="D5075">
        <v>1550.14</v>
      </c>
      <c r="E5075" t="s">
        <v>30</v>
      </c>
    </row>
    <row r="5076" spans="2:13" x14ac:dyDescent="0.2">
      <c r="C5076" t="b">
        <v>0</v>
      </c>
      <c r="D5076">
        <v>1330.12</v>
      </c>
      <c r="E5076" t="s">
        <v>30</v>
      </c>
    </row>
    <row r="5077" spans="2:13" x14ac:dyDescent="0.2">
      <c r="C5077" t="b">
        <v>0</v>
      </c>
      <c r="D5077">
        <v>1370.11</v>
      </c>
      <c r="E5077" t="s">
        <v>30</v>
      </c>
    </row>
    <row r="5078" spans="2:13" x14ac:dyDescent="0.2">
      <c r="C5078" t="b">
        <v>0</v>
      </c>
      <c r="D5078">
        <v>1610.15</v>
      </c>
      <c r="E5078" t="s">
        <v>30</v>
      </c>
    </row>
    <row r="5079" spans="2:13" x14ac:dyDescent="0.2">
      <c r="C5079" t="b">
        <v>0</v>
      </c>
      <c r="D5079">
        <v>1550.14</v>
      </c>
      <c r="E5079" t="s">
        <v>30</v>
      </c>
    </row>
    <row r="5080" spans="2:13" x14ac:dyDescent="0.2">
      <c r="B5080" t="s">
        <v>11</v>
      </c>
    </row>
    <row r="5081" spans="2:13" x14ac:dyDescent="0.2">
      <c r="B5081" t="s">
        <v>12</v>
      </c>
      <c r="C5081" t="s">
        <v>13</v>
      </c>
      <c r="D5081" t="s">
        <v>14</v>
      </c>
      <c r="E5081" t="s">
        <v>15</v>
      </c>
      <c r="F5081" t="s">
        <v>16</v>
      </c>
      <c r="G5081" t="s">
        <v>17</v>
      </c>
      <c r="H5081" t="s">
        <v>18</v>
      </c>
      <c r="I5081" t="s">
        <v>19</v>
      </c>
      <c r="J5081" t="s">
        <v>20</v>
      </c>
      <c r="K5081" t="s">
        <v>21</v>
      </c>
      <c r="L5081" t="s">
        <v>22</v>
      </c>
      <c r="M5081" t="s">
        <v>23</v>
      </c>
    </row>
    <row r="5082" spans="2:13" x14ac:dyDescent="0.2">
      <c r="B5082" t="s">
        <v>32</v>
      </c>
      <c r="C5082">
        <v>72</v>
      </c>
      <c r="E5082" t="s">
        <v>25</v>
      </c>
      <c r="F5082">
        <v>1334.4</v>
      </c>
      <c r="G5082">
        <v>8</v>
      </c>
      <c r="K5082">
        <v>0.1</v>
      </c>
      <c r="L5082">
        <v>7</v>
      </c>
      <c r="M5082">
        <v>96.7</v>
      </c>
    </row>
    <row r="5083" spans="2:13" x14ac:dyDescent="0.2">
      <c r="C5083" t="s">
        <v>27</v>
      </c>
    </row>
    <row r="5084" spans="2:13" x14ac:dyDescent="0.2">
      <c r="C5084" t="s">
        <v>28</v>
      </c>
      <c r="D5084" t="s">
        <v>16</v>
      </c>
      <c r="E5084" t="s">
        <v>29</v>
      </c>
      <c r="F5084" t="s">
        <v>18</v>
      </c>
    </row>
    <row r="5085" spans="2:13" x14ac:dyDescent="0.2">
      <c r="C5085" t="b">
        <v>0</v>
      </c>
      <c r="D5085">
        <v>1270.1099999999999</v>
      </c>
      <c r="E5085" t="s">
        <v>30</v>
      </c>
    </row>
    <row r="5086" spans="2:13" x14ac:dyDescent="0.2">
      <c r="C5086" t="b">
        <v>0</v>
      </c>
      <c r="D5086">
        <v>1360.11</v>
      </c>
      <c r="E5086" t="s">
        <v>30</v>
      </c>
    </row>
    <row r="5087" spans="2:13" x14ac:dyDescent="0.2">
      <c r="C5087" t="b">
        <v>0</v>
      </c>
      <c r="D5087">
        <v>1260.0999999999999</v>
      </c>
      <c r="E5087" t="s">
        <v>30</v>
      </c>
    </row>
    <row r="5088" spans="2:13" x14ac:dyDescent="0.2">
      <c r="C5088" t="b">
        <v>0</v>
      </c>
      <c r="D5088">
        <v>1510.13</v>
      </c>
      <c r="E5088" t="s">
        <v>30</v>
      </c>
    </row>
    <row r="5089" spans="1:13" x14ac:dyDescent="0.2">
      <c r="C5089" t="b">
        <v>0</v>
      </c>
      <c r="D5089">
        <v>1200.0999999999999</v>
      </c>
      <c r="E5089" t="s">
        <v>30</v>
      </c>
    </row>
    <row r="5090" spans="1:13" x14ac:dyDescent="0.2">
      <c r="C5090" t="b">
        <v>0</v>
      </c>
      <c r="D5090">
        <v>1310.1300000000001</v>
      </c>
      <c r="E5090" t="s">
        <v>30</v>
      </c>
    </row>
    <row r="5091" spans="1:13" x14ac:dyDescent="0.2">
      <c r="C5091" t="b">
        <v>0</v>
      </c>
      <c r="D5091">
        <v>1430.13</v>
      </c>
      <c r="E5091" t="s">
        <v>30</v>
      </c>
    </row>
    <row r="5092" spans="1:13" x14ac:dyDescent="0.2">
      <c r="B5092" t="s">
        <v>11</v>
      </c>
    </row>
    <row r="5093" spans="1:13" x14ac:dyDescent="0.2">
      <c r="B5093" t="s">
        <v>12</v>
      </c>
      <c r="C5093" t="s">
        <v>13</v>
      </c>
      <c r="D5093" t="s">
        <v>14</v>
      </c>
      <c r="E5093" t="s">
        <v>15</v>
      </c>
      <c r="F5093" t="s">
        <v>16</v>
      </c>
      <c r="G5093" t="s">
        <v>17</v>
      </c>
      <c r="H5093" t="s">
        <v>18</v>
      </c>
      <c r="I5093" t="s">
        <v>19</v>
      </c>
      <c r="J5093" t="s">
        <v>20</v>
      </c>
      <c r="K5093" t="s">
        <v>21</v>
      </c>
      <c r="L5093" t="s">
        <v>22</v>
      </c>
      <c r="M5093" t="s">
        <v>23</v>
      </c>
    </row>
    <row r="5094" spans="1:13" x14ac:dyDescent="0.2">
      <c r="B5094" t="s">
        <v>33</v>
      </c>
      <c r="C5094">
        <v>89</v>
      </c>
      <c r="E5094" t="s">
        <v>25</v>
      </c>
      <c r="F5094">
        <v>7869.68</v>
      </c>
      <c r="G5094">
        <v>5</v>
      </c>
      <c r="K5094">
        <v>0.1</v>
      </c>
      <c r="L5094">
        <v>7</v>
      </c>
      <c r="M5094">
        <v>104.5</v>
      </c>
    </row>
    <row r="5095" spans="1:13" x14ac:dyDescent="0.2">
      <c r="C5095" t="s">
        <v>27</v>
      </c>
    </row>
    <row r="5096" spans="1:13" x14ac:dyDescent="0.2">
      <c r="C5096" t="s">
        <v>28</v>
      </c>
      <c r="D5096" t="s">
        <v>16</v>
      </c>
      <c r="E5096" t="s">
        <v>29</v>
      </c>
      <c r="F5096" t="s">
        <v>18</v>
      </c>
    </row>
    <row r="5097" spans="1:13" x14ac:dyDescent="0.2">
      <c r="C5097" t="b">
        <v>0</v>
      </c>
      <c r="D5097">
        <v>7122.13</v>
      </c>
      <c r="E5097" t="s">
        <v>30</v>
      </c>
    </row>
    <row r="5098" spans="1:13" x14ac:dyDescent="0.2">
      <c r="C5098" t="b">
        <v>0</v>
      </c>
      <c r="D5098">
        <v>7822.55</v>
      </c>
      <c r="E5098" t="s">
        <v>30</v>
      </c>
    </row>
    <row r="5099" spans="1:13" x14ac:dyDescent="0.2">
      <c r="C5099" t="b">
        <v>0</v>
      </c>
      <c r="D5099">
        <v>8132.64</v>
      </c>
      <c r="E5099" t="s">
        <v>30</v>
      </c>
    </row>
    <row r="5100" spans="1:13" x14ac:dyDescent="0.2">
      <c r="C5100" t="b">
        <v>0</v>
      </c>
      <c r="D5100">
        <v>7662.42</v>
      </c>
      <c r="E5100" t="s">
        <v>30</v>
      </c>
    </row>
    <row r="5101" spans="1:13" x14ac:dyDescent="0.2">
      <c r="C5101" t="b">
        <v>0</v>
      </c>
      <c r="D5101">
        <v>7982.5</v>
      </c>
      <c r="E5101" t="s">
        <v>30</v>
      </c>
    </row>
    <row r="5102" spans="1:13" x14ac:dyDescent="0.2">
      <c r="C5102" t="b">
        <v>0</v>
      </c>
      <c r="D5102">
        <v>8322.7999999999993</v>
      </c>
      <c r="E5102" t="s">
        <v>30</v>
      </c>
    </row>
    <row r="5103" spans="1:13" x14ac:dyDescent="0.2">
      <c r="C5103" t="b">
        <v>0</v>
      </c>
      <c r="D5103">
        <v>8042.73</v>
      </c>
      <c r="E5103" t="s">
        <v>30</v>
      </c>
    </row>
    <row r="5104" spans="1:13" x14ac:dyDescent="0.2">
      <c r="A5104" t="s">
        <v>0</v>
      </c>
    </row>
    <row r="5105" spans="2:13" x14ac:dyDescent="0.2">
      <c r="B5105" t="s">
        <v>1</v>
      </c>
      <c r="C5105" t="s">
        <v>2</v>
      </c>
      <c r="D5105" t="s">
        <v>3</v>
      </c>
      <c r="E5105" t="s">
        <v>4</v>
      </c>
      <c r="F5105" t="s">
        <v>5</v>
      </c>
      <c r="G5105" t="s">
        <v>6</v>
      </c>
    </row>
    <row r="5106" spans="2:13" x14ac:dyDescent="0.2">
      <c r="B5106" t="b">
        <v>0</v>
      </c>
      <c r="C5106" t="s">
        <v>357</v>
      </c>
      <c r="D5106" t="s">
        <v>358</v>
      </c>
      <c r="E5106" t="s">
        <v>0</v>
      </c>
      <c r="G5106" t="s">
        <v>359</v>
      </c>
    </row>
    <row r="5107" spans="2:13" x14ac:dyDescent="0.2">
      <c r="B5107" t="s">
        <v>11</v>
      </c>
    </row>
    <row r="5108" spans="2:13" x14ac:dyDescent="0.2">
      <c r="B5108" t="s">
        <v>12</v>
      </c>
      <c r="C5108" t="s">
        <v>13</v>
      </c>
      <c r="D5108" t="s">
        <v>14</v>
      </c>
      <c r="E5108" t="s">
        <v>15</v>
      </c>
      <c r="F5108" t="s">
        <v>16</v>
      </c>
      <c r="G5108" t="s">
        <v>17</v>
      </c>
      <c r="H5108" t="s">
        <v>18</v>
      </c>
      <c r="I5108" t="s">
        <v>19</v>
      </c>
      <c r="J5108" t="s">
        <v>20</v>
      </c>
      <c r="K5108" t="s">
        <v>21</v>
      </c>
      <c r="L5108" t="s">
        <v>22</v>
      </c>
      <c r="M5108" t="s">
        <v>23</v>
      </c>
    </row>
    <row r="5109" spans="2:13" x14ac:dyDescent="0.2">
      <c r="B5109" t="s">
        <v>24</v>
      </c>
      <c r="C5109">
        <v>59</v>
      </c>
      <c r="E5109" t="s">
        <v>25</v>
      </c>
      <c r="F5109">
        <v>1641132.5</v>
      </c>
      <c r="G5109">
        <v>1.1000000000000001</v>
      </c>
      <c r="H5109">
        <v>0.50600000000000001</v>
      </c>
      <c r="I5109" t="s">
        <v>26</v>
      </c>
      <c r="J5109">
        <v>1.1000000000000001</v>
      </c>
      <c r="K5109">
        <v>0.1</v>
      </c>
      <c r="L5109">
        <v>7</v>
      </c>
    </row>
    <row r="5110" spans="2:13" x14ac:dyDescent="0.2">
      <c r="C5110" t="s">
        <v>27</v>
      </c>
    </row>
    <row r="5111" spans="2:13" x14ac:dyDescent="0.2">
      <c r="C5111" t="s">
        <v>28</v>
      </c>
      <c r="D5111" t="s">
        <v>16</v>
      </c>
      <c r="E5111" t="s">
        <v>29</v>
      </c>
      <c r="F5111" t="s">
        <v>18</v>
      </c>
    </row>
    <row r="5112" spans="2:13" x14ac:dyDescent="0.2">
      <c r="C5112" t="b">
        <v>0</v>
      </c>
      <c r="D5112">
        <v>1659228.57</v>
      </c>
      <c r="E5112" t="s">
        <v>67</v>
      </c>
      <c r="F5112">
        <v>0.51100000000000001</v>
      </c>
    </row>
    <row r="5113" spans="2:13" x14ac:dyDescent="0.2">
      <c r="C5113" t="b">
        <v>0</v>
      </c>
      <c r="D5113">
        <v>1615929.82</v>
      </c>
      <c r="E5113" t="s">
        <v>67</v>
      </c>
      <c r="F5113">
        <v>0.498</v>
      </c>
    </row>
    <row r="5114" spans="2:13" x14ac:dyDescent="0.2">
      <c r="C5114" t="b">
        <v>0</v>
      </c>
      <c r="D5114">
        <v>1651335.6</v>
      </c>
      <c r="E5114" t="s">
        <v>67</v>
      </c>
      <c r="F5114">
        <v>0.50900000000000001</v>
      </c>
    </row>
    <row r="5115" spans="2:13" x14ac:dyDescent="0.2">
      <c r="C5115" t="b">
        <v>0</v>
      </c>
      <c r="D5115">
        <v>1644457.01</v>
      </c>
      <c r="E5115" t="s">
        <v>67</v>
      </c>
      <c r="F5115">
        <v>0.50700000000000001</v>
      </c>
    </row>
    <row r="5116" spans="2:13" x14ac:dyDescent="0.2">
      <c r="C5116" t="b">
        <v>0</v>
      </c>
      <c r="D5116">
        <v>1637639.82</v>
      </c>
      <c r="E5116" t="s">
        <v>67</v>
      </c>
      <c r="F5116">
        <v>0.505</v>
      </c>
    </row>
    <row r="5117" spans="2:13" x14ac:dyDescent="0.2">
      <c r="C5117" t="b">
        <v>0</v>
      </c>
      <c r="D5117">
        <v>1619726.69</v>
      </c>
      <c r="E5117" t="s">
        <v>67</v>
      </c>
      <c r="F5117">
        <v>0.499</v>
      </c>
    </row>
    <row r="5118" spans="2:13" x14ac:dyDescent="0.2">
      <c r="C5118" t="b">
        <v>0</v>
      </c>
      <c r="D5118">
        <v>1659609.98</v>
      </c>
      <c r="E5118" t="s">
        <v>67</v>
      </c>
      <c r="F5118">
        <v>0.51100000000000001</v>
      </c>
    </row>
    <row r="5119" spans="2:13" x14ac:dyDescent="0.2">
      <c r="B5119" t="s">
        <v>11</v>
      </c>
    </row>
    <row r="5120" spans="2:13" x14ac:dyDescent="0.2">
      <c r="B5120" t="s">
        <v>12</v>
      </c>
      <c r="C5120" t="s">
        <v>13</v>
      </c>
      <c r="D5120" t="s">
        <v>14</v>
      </c>
      <c r="E5120" t="s">
        <v>15</v>
      </c>
      <c r="F5120" t="s">
        <v>16</v>
      </c>
      <c r="G5120" t="s">
        <v>17</v>
      </c>
      <c r="H5120" t="s">
        <v>18</v>
      </c>
      <c r="I5120" t="s">
        <v>19</v>
      </c>
      <c r="J5120" t="s">
        <v>20</v>
      </c>
      <c r="K5120" t="s">
        <v>21</v>
      </c>
      <c r="L5120" t="s">
        <v>22</v>
      </c>
      <c r="M5120" t="s">
        <v>23</v>
      </c>
    </row>
    <row r="5121" spans="2:13" x14ac:dyDescent="0.2">
      <c r="B5121" t="s">
        <v>31</v>
      </c>
      <c r="C5121">
        <v>45</v>
      </c>
      <c r="E5121" t="s">
        <v>25</v>
      </c>
      <c r="F5121">
        <v>1474.42</v>
      </c>
      <c r="G5121">
        <v>12.1</v>
      </c>
      <c r="K5121">
        <v>0.1</v>
      </c>
      <c r="L5121">
        <v>7</v>
      </c>
      <c r="M5121">
        <v>113.7</v>
      </c>
    </row>
    <row r="5122" spans="2:13" x14ac:dyDescent="0.2">
      <c r="C5122" t="s">
        <v>27</v>
      </c>
    </row>
    <row r="5123" spans="2:13" x14ac:dyDescent="0.2">
      <c r="C5123" t="s">
        <v>28</v>
      </c>
      <c r="D5123" t="s">
        <v>16</v>
      </c>
      <c r="E5123" t="s">
        <v>29</v>
      </c>
      <c r="F5123" t="s">
        <v>18</v>
      </c>
    </row>
    <row r="5124" spans="2:13" x14ac:dyDescent="0.2">
      <c r="C5124" t="b">
        <v>0</v>
      </c>
      <c r="D5124">
        <v>1350.11</v>
      </c>
      <c r="E5124" t="s">
        <v>30</v>
      </c>
    </row>
    <row r="5125" spans="2:13" x14ac:dyDescent="0.2">
      <c r="C5125" t="b">
        <v>0</v>
      </c>
      <c r="D5125">
        <v>1420.12</v>
      </c>
      <c r="E5125" t="s">
        <v>30</v>
      </c>
    </row>
    <row r="5126" spans="2:13" x14ac:dyDescent="0.2">
      <c r="C5126" t="b">
        <v>0</v>
      </c>
      <c r="D5126">
        <v>1460.12</v>
      </c>
      <c r="E5126" t="s">
        <v>30</v>
      </c>
    </row>
    <row r="5127" spans="2:13" x14ac:dyDescent="0.2">
      <c r="C5127" t="b">
        <v>0</v>
      </c>
      <c r="D5127">
        <v>1250.1199999999999</v>
      </c>
      <c r="E5127" t="s">
        <v>30</v>
      </c>
    </row>
    <row r="5128" spans="2:13" x14ac:dyDescent="0.2">
      <c r="C5128" t="b">
        <v>0</v>
      </c>
      <c r="D5128">
        <v>1740.18</v>
      </c>
      <c r="E5128" t="s">
        <v>30</v>
      </c>
    </row>
    <row r="5129" spans="2:13" x14ac:dyDescent="0.2">
      <c r="C5129" t="b">
        <v>0</v>
      </c>
      <c r="D5129">
        <v>1410.12</v>
      </c>
      <c r="E5129" t="s">
        <v>30</v>
      </c>
    </row>
    <row r="5130" spans="2:13" x14ac:dyDescent="0.2">
      <c r="C5130" t="b">
        <v>0</v>
      </c>
      <c r="D5130">
        <v>1690.15</v>
      </c>
      <c r="E5130" t="s">
        <v>30</v>
      </c>
    </row>
    <row r="5131" spans="2:13" x14ac:dyDescent="0.2">
      <c r="B5131" t="s">
        <v>11</v>
      </c>
    </row>
    <row r="5132" spans="2:13" x14ac:dyDescent="0.2">
      <c r="B5132" t="s">
        <v>12</v>
      </c>
      <c r="C5132" t="s">
        <v>13</v>
      </c>
      <c r="D5132" t="s">
        <v>14</v>
      </c>
      <c r="E5132" t="s">
        <v>15</v>
      </c>
      <c r="F5132" t="s">
        <v>16</v>
      </c>
      <c r="G5132" t="s">
        <v>17</v>
      </c>
      <c r="H5132" t="s">
        <v>18</v>
      </c>
      <c r="I5132" t="s">
        <v>19</v>
      </c>
      <c r="J5132" t="s">
        <v>20</v>
      </c>
      <c r="K5132" t="s">
        <v>21</v>
      </c>
      <c r="L5132" t="s">
        <v>22</v>
      </c>
      <c r="M5132" t="s">
        <v>23</v>
      </c>
    </row>
    <row r="5133" spans="2:13" x14ac:dyDescent="0.2">
      <c r="B5133" t="s">
        <v>32</v>
      </c>
      <c r="C5133">
        <v>72</v>
      </c>
      <c r="E5133" t="s">
        <v>25</v>
      </c>
      <c r="F5133">
        <v>1460.14</v>
      </c>
      <c r="G5133">
        <v>11.4</v>
      </c>
      <c r="K5133">
        <v>0.1</v>
      </c>
      <c r="L5133">
        <v>7</v>
      </c>
      <c r="M5133">
        <v>105.8</v>
      </c>
    </row>
    <row r="5134" spans="2:13" x14ac:dyDescent="0.2">
      <c r="C5134" t="s">
        <v>27</v>
      </c>
    </row>
    <row r="5135" spans="2:13" x14ac:dyDescent="0.2">
      <c r="C5135" t="s">
        <v>28</v>
      </c>
      <c r="D5135" t="s">
        <v>16</v>
      </c>
      <c r="E5135" t="s">
        <v>29</v>
      </c>
      <c r="F5135" t="s">
        <v>18</v>
      </c>
    </row>
    <row r="5136" spans="2:13" x14ac:dyDescent="0.2">
      <c r="C5136" t="b">
        <v>0</v>
      </c>
      <c r="D5136">
        <v>1700.17</v>
      </c>
      <c r="E5136" t="s">
        <v>30</v>
      </c>
    </row>
    <row r="5137" spans="2:13" x14ac:dyDescent="0.2">
      <c r="C5137" t="b">
        <v>0</v>
      </c>
      <c r="D5137">
        <v>1340.12</v>
      </c>
      <c r="E5137" t="s">
        <v>30</v>
      </c>
    </row>
    <row r="5138" spans="2:13" x14ac:dyDescent="0.2">
      <c r="C5138" t="b">
        <v>0</v>
      </c>
      <c r="D5138">
        <v>1570.16</v>
      </c>
      <c r="E5138" t="s">
        <v>30</v>
      </c>
    </row>
    <row r="5139" spans="2:13" x14ac:dyDescent="0.2">
      <c r="C5139" t="b">
        <v>0</v>
      </c>
      <c r="D5139">
        <v>1230.0999999999999</v>
      </c>
      <c r="E5139" t="s">
        <v>30</v>
      </c>
    </row>
    <row r="5140" spans="2:13" x14ac:dyDescent="0.2">
      <c r="C5140" t="b">
        <v>0</v>
      </c>
      <c r="D5140">
        <v>1330.12</v>
      </c>
      <c r="E5140" t="s">
        <v>30</v>
      </c>
    </row>
    <row r="5141" spans="2:13" x14ac:dyDescent="0.2">
      <c r="C5141" t="b">
        <v>0</v>
      </c>
      <c r="D5141">
        <v>1480.14</v>
      </c>
      <c r="E5141" t="s">
        <v>30</v>
      </c>
    </row>
    <row r="5142" spans="2:13" x14ac:dyDescent="0.2">
      <c r="C5142" t="b">
        <v>0</v>
      </c>
      <c r="D5142">
        <v>1570.14</v>
      </c>
      <c r="E5142" t="s">
        <v>30</v>
      </c>
    </row>
    <row r="5143" spans="2:13" x14ac:dyDescent="0.2">
      <c r="B5143" t="s">
        <v>11</v>
      </c>
    </row>
    <row r="5144" spans="2:13" x14ac:dyDescent="0.2">
      <c r="B5144" t="s">
        <v>12</v>
      </c>
      <c r="C5144" t="s">
        <v>13</v>
      </c>
      <c r="D5144" t="s">
        <v>14</v>
      </c>
      <c r="E5144" t="s">
        <v>15</v>
      </c>
      <c r="F5144" t="s">
        <v>16</v>
      </c>
      <c r="G5144" t="s">
        <v>17</v>
      </c>
      <c r="H5144" t="s">
        <v>18</v>
      </c>
      <c r="I5144" t="s">
        <v>19</v>
      </c>
      <c r="J5144" t="s">
        <v>20</v>
      </c>
      <c r="K5144" t="s">
        <v>21</v>
      </c>
      <c r="L5144" t="s">
        <v>22</v>
      </c>
      <c r="M5144" t="s">
        <v>23</v>
      </c>
    </row>
    <row r="5145" spans="2:13" x14ac:dyDescent="0.2">
      <c r="B5145" t="s">
        <v>33</v>
      </c>
      <c r="C5145">
        <v>89</v>
      </c>
      <c r="E5145" t="s">
        <v>25</v>
      </c>
      <c r="F5145">
        <v>8176.99</v>
      </c>
      <c r="G5145">
        <v>3.9</v>
      </c>
      <c r="K5145">
        <v>0.1</v>
      </c>
      <c r="L5145">
        <v>7</v>
      </c>
      <c r="M5145">
        <v>108.6</v>
      </c>
    </row>
    <row r="5146" spans="2:13" x14ac:dyDescent="0.2">
      <c r="C5146" t="s">
        <v>27</v>
      </c>
    </row>
    <row r="5147" spans="2:13" x14ac:dyDescent="0.2">
      <c r="C5147" t="s">
        <v>28</v>
      </c>
      <c r="D5147" t="s">
        <v>16</v>
      </c>
      <c r="E5147" t="s">
        <v>29</v>
      </c>
      <c r="F5147" t="s">
        <v>18</v>
      </c>
    </row>
    <row r="5148" spans="2:13" x14ac:dyDescent="0.2">
      <c r="C5148" t="b">
        <v>0</v>
      </c>
      <c r="D5148">
        <v>8352.81</v>
      </c>
      <c r="E5148" t="s">
        <v>30</v>
      </c>
    </row>
    <row r="5149" spans="2:13" x14ac:dyDescent="0.2">
      <c r="C5149" t="b">
        <v>0</v>
      </c>
      <c r="D5149">
        <v>8182.71</v>
      </c>
      <c r="E5149" t="s">
        <v>30</v>
      </c>
    </row>
    <row r="5150" spans="2:13" x14ac:dyDescent="0.2">
      <c r="C5150" t="b">
        <v>0</v>
      </c>
      <c r="D5150">
        <v>7942.52</v>
      </c>
      <c r="E5150" t="s">
        <v>30</v>
      </c>
    </row>
    <row r="5151" spans="2:13" x14ac:dyDescent="0.2">
      <c r="C5151" t="b">
        <v>0</v>
      </c>
      <c r="D5151">
        <v>7722.43</v>
      </c>
      <c r="E5151" t="s">
        <v>30</v>
      </c>
    </row>
    <row r="5152" spans="2:13" x14ac:dyDescent="0.2">
      <c r="C5152" t="b">
        <v>0</v>
      </c>
      <c r="D5152">
        <v>8262.81</v>
      </c>
      <c r="E5152" t="s">
        <v>30</v>
      </c>
    </row>
    <row r="5153" spans="1:13" x14ac:dyDescent="0.2">
      <c r="C5153" t="b">
        <v>0</v>
      </c>
      <c r="D5153">
        <v>8062.59</v>
      </c>
      <c r="E5153" t="s">
        <v>30</v>
      </c>
    </row>
    <row r="5154" spans="1:13" x14ac:dyDescent="0.2">
      <c r="C5154" t="b">
        <v>0</v>
      </c>
      <c r="D5154">
        <v>8713.0300000000007</v>
      </c>
      <c r="E5154" t="s">
        <v>30</v>
      </c>
    </row>
    <row r="5155" spans="1:13" x14ac:dyDescent="0.2">
      <c r="A5155" t="s">
        <v>0</v>
      </c>
    </row>
    <row r="5156" spans="1:13" x14ac:dyDescent="0.2">
      <c r="B5156" t="s">
        <v>1</v>
      </c>
      <c r="C5156" t="s">
        <v>2</v>
      </c>
      <c r="D5156" t="s">
        <v>3</v>
      </c>
      <c r="E5156" t="s">
        <v>4</v>
      </c>
      <c r="F5156" t="s">
        <v>5</v>
      </c>
      <c r="G5156" t="s">
        <v>6</v>
      </c>
    </row>
    <row r="5157" spans="1:13" x14ac:dyDescent="0.2">
      <c r="B5157" t="b">
        <v>0</v>
      </c>
      <c r="C5157" t="s">
        <v>154</v>
      </c>
      <c r="D5157" t="s">
        <v>360</v>
      </c>
      <c r="E5157" t="s">
        <v>0</v>
      </c>
      <c r="G5157" t="s">
        <v>361</v>
      </c>
    </row>
    <row r="5158" spans="1:13" x14ac:dyDescent="0.2">
      <c r="B5158" t="s">
        <v>11</v>
      </c>
    </row>
    <row r="5159" spans="1:13" x14ac:dyDescent="0.2">
      <c r="B5159" t="s">
        <v>12</v>
      </c>
      <c r="C5159" t="s">
        <v>13</v>
      </c>
      <c r="D5159" t="s">
        <v>14</v>
      </c>
      <c r="E5159" t="s">
        <v>15</v>
      </c>
      <c r="F5159" t="s">
        <v>16</v>
      </c>
      <c r="G5159" t="s">
        <v>17</v>
      </c>
      <c r="H5159" t="s">
        <v>18</v>
      </c>
      <c r="I5159" t="s">
        <v>19</v>
      </c>
      <c r="J5159" t="s">
        <v>20</v>
      </c>
      <c r="K5159" t="s">
        <v>21</v>
      </c>
      <c r="L5159" t="s">
        <v>22</v>
      </c>
      <c r="M5159" t="s">
        <v>23</v>
      </c>
    </row>
    <row r="5160" spans="1:13" x14ac:dyDescent="0.2">
      <c r="B5160" t="s">
        <v>24</v>
      </c>
      <c r="C5160">
        <v>59</v>
      </c>
      <c r="E5160" t="s">
        <v>25</v>
      </c>
      <c r="F5160">
        <v>14418552.460000001</v>
      </c>
      <c r="G5160">
        <v>1</v>
      </c>
      <c r="H5160">
        <v>4.444</v>
      </c>
      <c r="I5160" t="s">
        <v>26</v>
      </c>
      <c r="J5160">
        <v>1</v>
      </c>
      <c r="K5160">
        <v>0.1</v>
      </c>
      <c r="L5160">
        <v>7</v>
      </c>
    </row>
    <row r="5161" spans="1:13" x14ac:dyDescent="0.2">
      <c r="C5161" t="s">
        <v>27</v>
      </c>
    </row>
    <row r="5162" spans="1:13" x14ac:dyDescent="0.2">
      <c r="C5162" t="s">
        <v>28</v>
      </c>
      <c r="D5162" t="s">
        <v>16</v>
      </c>
      <c r="E5162" t="s">
        <v>29</v>
      </c>
      <c r="F5162" t="s">
        <v>18</v>
      </c>
    </row>
    <row r="5163" spans="1:13" x14ac:dyDescent="0.2">
      <c r="C5163" t="b">
        <v>0</v>
      </c>
      <c r="D5163">
        <v>14458436.029999999</v>
      </c>
      <c r="E5163" t="s">
        <v>67</v>
      </c>
      <c r="F5163">
        <v>4.4560000000000004</v>
      </c>
    </row>
    <row r="5164" spans="1:13" x14ac:dyDescent="0.2">
      <c r="C5164" t="b">
        <v>0</v>
      </c>
      <c r="D5164">
        <v>14353446.039999999</v>
      </c>
      <c r="E5164" t="s">
        <v>67</v>
      </c>
      <c r="F5164">
        <v>4.4240000000000004</v>
      </c>
    </row>
    <row r="5165" spans="1:13" x14ac:dyDescent="0.2">
      <c r="C5165" t="b">
        <v>0</v>
      </c>
      <c r="D5165">
        <v>14459977.279999999</v>
      </c>
      <c r="E5165" t="s">
        <v>67</v>
      </c>
      <c r="F5165">
        <v>4.4569999999999999</v>
      </c>
    </row>
    <row r="5166" spans="1:13" x14ac:dyDescent="0.2">
      <c r="C5166" t="b">
        <v>0</v>
      </c>
      <c r="D5166">
        <v>14228904.789999999</v>
      </c>
      <c r="E5166" t="s">
        <v>67</v>
      </c>
      <c r="F5166">
        <v>4.3849999999999998</v>
      </c>
    </row>
    <row r="5167" spans="1:13" x14ac:dyDescent="0.2">
      <c r="C5167" t="b">
        <v>0</v>
      </c>
      <c r="D5167">
        <v>14510974.779999999</v>
      </c>
      <c r="E5167" t="s">
        <v>67</v>
      </c>
      <c r="F5167">
        <v>4.4720000000000004</v>
      </c>
    </row>
    <row r="5168" spans="1:13" x14ac:dyDescent="0.2">
      <c r="C5168" t="b">
        <v>0</v>
      </c>
      <c r="D5168">
        <v>14259153.539999999</v>
      </c>
      <c r="E5168" t="s">
        <v>67</v>
      </c>
      <c r="F5168">
        <v>4.3949999999999996</v>
      </c>
    </row>
    <row r="5169" spans="2:13" x14ac:dyDescent="0.2">
      <c r="C5169" t="b">
        <v>0</v>
      </c>
      <c r="D5169">
        <v>14658974.779999999</v>
      </c>
      <c r="E5169" t="s">
        <v>67</v>
      </c>
      <c r="F5169">
        <v>4.5179999999999998</v>
      </c>
    </row>
    <row r="5170" spans="2:13" x14ac:dyDescent="0.2">
      <c r="B5170" t="s">
        <v>11</v>
      </c>
    </row>
    <row r="5171" spans="2:13" x14ac:dyDescent="0.2">
      <c r="B5171" t="s">
        <v>12</v>
      </c>
      <c r="C5171" t="s">
        <v>13</v>
      </c>
      <c r="D5171" t="s">
        <v>14</v>
      </c>
      <c r="E5171" t="s">
        <v>15</v>
      </c>
      <c r="F5171" t="s">
        <v>16</v>
      </c>
      <c r="G5171" t="s">
        <v>17</v>
      </c>
      <c r="H5171" t="s">
        <v>18</v>
      </c>
      <c r="I5171" t="s">
        <v>19</v>
      </c>
      <c r="J5171" t="s">
        <v>20</v>
      </c>
      <c r="K5171" t="s">
        <v>21</v>
      </c>
      <c r="L5171" t="s">
        <v>22</v>
      </c>
      <c r="M5171" t="s">
        <v>23</v>
      </c>
    </row>
    <row r="5172" spans="2:13" x14ac:dyDescent="0.2">
      <c r="B5172" t="s">
        <v>31</v>
      </c>
      <c r="C5172">
        <v>45</v>
      </c>
      <c r="E5172" t="s">
        <v>25</v>
      </c>
      <c r="F5172">
        <v>1412.98</v>
      </c>
      <c r="G5172">
        <v>5.6</v>
      </c>
      <c r="K5172">
        <v>0.1</v>
      </c>
      <c r="L5172">
        <v>7</v>
      </c>
      <c r="M5172">
        <v>108.9</v>
      </c>
    </row>
    <row r="5173" spans="2:13" x14ac:dyDescent="0.2">
      <c r="C5173" t="s">
        <v>27</v>
      </c>
    </row>
    <row r="5174" spans="2:13" x14ac:dyDescent="0.2">
      <c r="C5174" t="s">
        <v>28</v>
      </c>
      <c r="D5174" t="s">
        <v>16</v>
      </c>
      <c r="E5174" t="s">
        <v>29</v>
      </c>
      <c r="F5174" t="s">
        <v>18</v>
      </c>
    </row>
    <row r="5175" spans="2:13" x14ac:dyDescent="0.2">
      <c r="C5175" t="b">
        <v>0</v>
      </c>
      <c r="D5175">
        <v>1390.13</v>
      </c>
      <c r="E5175" t="s">
        <v>30</v>
      </c>
    </row>
    <row r="5176" spans="2:13" x14ac:dyDescent="0.2">
      <c r="C5176" t="b">
        <v>0</v>
      </c>
      <c r="D5176">
        <v>1330.11</v>
      </c>
      <c r="E5176" t="s">
        <v>30</v>
      </c>
    </row>
    <row r="5177" spans="2:13" x14ac:dyDescent="0.2">
      <c r="C5177" t="b">
        <v>0</v>
      </c>
      <c r="D5177">
        <v>1320.09</v>
      </c>
      <c r="E5177" t="s">
        <v>30</v>
      </c>
    </row>
    <row r="5178" spans="2:13" x14ac:dyDescent="0.2">
      <c r="C5178" t="b">
        <v>0</v>
      </c>
      <c r="D5178">
        <v>1550.15</v>
      </c>
      <c r="E5178" t="s">
        <v>30</v>
      </c>
    </row>
    <row r="5179" spans="2:13" x14ac:dyDescent="0.2">
      <c r="C5179" t="b">
        <v>0</v>
      </c>
      <c r="D5179">
        <v>1410.12</v>
      </c>
      <c r="E5179" t="s">
        <v>30</v>
      </c>
    </row>
    <row r="5180" spans="2:13" x14ac:dyDescent="0.2">
      <c r="C5180" t="b">
        <v>0</v>
      </c>
      <c r="D5180">
        <v>1420.13</v>
      </c>
      <c r="E5180" t="s">
        <v>30</v>
      </c>
    </row>
    <row r="5181" spans="2:13" x14ac:dyDescent="0.2">
      <c r="C5181" t="b">
        <v>0</v>
      </c>
      <c r="D5181">
        <v>1470.14</v>
      </c>
      <c r="E5181" t="s">
        <v>30</v>
      </c>
    </row>
    <row r="5182" spans="2:13" x14ac:dyDescent="0.2">
      <c r="B5182" t="s">
        <v>11</v>
      </c>
    </row>
    <row r="5183" spans="2:13" x14ac:dyDescent="0.2">
      <c r="B5183" t="s">
        <v>12</v>
      </c>
      <c r="C5183" t="s">
        <v>13</v>
      </c>
      <c r="D5183" t="s">
        <v>14</v>
      </c>
      <c r="E5183" t="s">
        <v>15</v>
      </c>
      <c r="F5183" t="s">
        <v>16</v>
      </c>
      <c r="G5183" t="s">
        <v>17</v>
      </c>
      <c r="H5183" t="s">
        <v>18</v>
      </c>
      <c r="I5183" t="s">
        <v>19</v>
      </c>
      <c r="J5183" t="s">
        <v>20</v>
      </c>
      <c r="K5183" t="s">
        <v>21</v>
      </c>
      <c r="L5183" t="s">
        <v>22</v>
      </c>
      <c r="M5183" t="s">
        <v>23</v>
      </c>
    </row>
    <row r="5184" spans="2:13" x14ac:dyDescent="0.2">
      <c r="B5184" t="s">
        <v>32</v>
      </c>
      <c r="C5184">
        <v>72</v>
      </c>
      <c r="E5184" t="s">
        <v>25</v>
      </c>
      <c r="F5184">
        <v>1504.42</v>
      </c>
      <c r="G5184">
        <v>6.9</v>
      </c>
      <c r="K5184">
        <v>0.1</v>
      </c>
      <c r="L5184">
        <v>7</v>
      </c>
      <c r="M5184">
        <v>109</v>
      </c>
    </row>
    <row r="5185" spans="2:13" x14ac:dyDescent="0.2">
      <c r="C5185" t="s">
        <v>27</v>
      </c>
    </row>
    <row r="5186" spans="2:13" x14ac:dyDescent="0.2">
      <c r="C5186" t="s">
        <v>28</v>
      </c>
      <c r="D5186" t="s">
        <v>16</v>
      </c>
      <c r="E5186" t="s">
        <v>29</v>
      </c>
      <c r="F5186" t="s">
        <v>18</v>
      </c>
    </row>
    <row r="5187" spans="2:13" x14ac:dyDescent="0.2">
      <c r="C5187" t="b">
        <v>0</v>
      </c>
      <c r="D5187">
        <v>1340.1</v>
      </c>
      <c r="E5187" t="s">
        <v>30</v>
      </c>
    </row>
    <row r="5188" spans="2:13" x14ac:dyDescent="0.2">
      <c r="C5188" t="b">
        <v>0</v>
      </c>
      <c r="D5188">
        <v>1540.14</v>
      </c>
      <c r="E5188" t="s">
        <v>30</v>
      </c>
    </row>
    <row r="5189" spans="2:13" x14ac:dyDescent="0.2">
      <c r="C5189" t="b">
        <v>0</v>
      </c>
      <c r="D5189">
        <v>1440.13</v>
      </c>
      <c r="E5189" t="s">
        <v>30</v>
      </c>
    </row>
    <row r="5190" spans="2:13" x14ac:dyDescent="0.2">
      <c r="C5190" t="b">
        <v>0</v>
      </c>
      <c r="D5190">
        <v>1540.13</v>
      </c>
      <c r="E5190" t="s">
        <v>30</v>
      </c>
    </row>
    <row r="5191" spans="2:13" x14ac:dyDescent="0.2">
      <c r="C5191" t="b">
        <v>0</v>
      </c>
      <c r="D5191">
        <v>1650.16</v>
      </c>
      <c r="E5191" t="s">
        <v>30</v>
      </c>
    </row>
    <row r="5192" spans="2:13" x14ac:dyDescent="0.2">
      <c r="C5192" t="b">
        <v>0</v>
      </c>
      <c r="D5192">
        <v>1440.12</v>
      </c>
      <c r="E5192" t="s">
        <v>30</v>
      </c>
    </row>
    <row r="5193" spans="2:13" x14ac:dyDescent="0.2">
      <c r="C5193" t="b">
        <v>0</v>
      </c>
      <c r="D5193">
        <v>1580.15</v>
      </c>
      <c r="E5193" t="s">
        <v>30</v>
      </c>
    </row>
    <row r="5194" spans="2:13" x14ac:dyDescent="0.2">
      <c r="B5194" t="s">
        <v>11</v>
      </c>
    </row>
    <row r="5195" spans="2:13" x14ac:dyDescent="0.2">
      <c r="B5195" t="s">
        <v>12</v>
      </c>
      <c r="C5195" t="s">
        <v>13</v>
      </c>
      <c r="D5195" t="s">
        <v>14</v>
      </c>
      <c r="E5195" t="s">
        <v>15</v>
      </c>
      <c r="F5195" t="s">
        <v>16</v>
      </c>
      <c r="G5195" t="s">
        <v>17</v>
      </c>
      <c r="H5195" t="s">
        <v>18</v>
      </c>
      <c r="I5195" t="s">
        <v>19</v>
      </c>
      <c r="J5195" t="s">
        <v>20</v>
      </c>
      <c r="K5195" t="s">
        <v>21</v>
      </c>
      <c r="L5195" t="s">
        <v>22</v>
      </c>
      <c r="M5195" t="s">
        <v>23</v>
      </c>
    </row>
    <row r="5196" spans="2:13" x14ac:dyDescent="0.2">
      <c r="B5196" t="s">
        <v>33</v>
      </c>
      <c r="C5196">
        <v>89</v>
      </c>
      <c r="E5196" t="s">
        <v>25</v>
      </c>
      <c r="F5196">
        <v>8432.86</v>
      </c>
      <c r="G5196">
        <v>2.6</v>
      </c>
      <c r="K5196">
        <v>0.1</v>
      </c>
      <c r="L5196">
        <v>7</v>
      </c>
      <c r="M5196">
        <v>112</v>
      </c>
    </row>
    <row r="5197" spans="2:13" x14ac:dyDescent="0.2">
      <c r="C5197" t="s">
        <v>27</v>
      </c>
    </row>
    <row r="5198" spans="2:13" x14ac:dyDescent="0.2">
      <c r="C5198" t="s">
        <v>28</v>
      </c>
      <c r="D5198" t="s">
        <v>16</v>
      </c>
      <c r="E5198" t="s">
        <v>29</v>
      </c>
      <c r="F5198" t="s">
        <v>18</v>
      </c>
    </row>
    <row r="5199" spans="2:13" x14ac:dyDescent="0.2">
      <c r="C5199" t="b">
        <v>0</v>
      </c>
      <c r="D5199">
        <v>7982.51</v>
      </c>
      <c r="E5199" t="s">
        <v>30</v>
      </c>
    </row>
    <row r="5200" spans="2:13" x14ac:dyDescent="0.2">
      <c r="C5200" t="b">
        <v>0</v>
      </c>
      <c r="D5200">
        <v>8442.89</v>
      </c>
      <c r="E5200" t="s">
        <v>30</v>
      </c>
    </row>
    <row r="5201" spans="1:13" x14ac:dyDescent="0.2">
      <c r="C5201" t="b">
        <v>0</v>
      </c>
      <c r="D5201">
        <v>8342.7999999999993</v>
      </c>
      <c r="E5201" t="s">
        <v>30</v>
      </c>
    </row>
    <row r="5202" spans="1:13" x14ac:dyDescent="0.2">
      <c r="C5202" t="b">
        <v>0</v>
      </c>
      <c r="D5202">
        <v>8612.98</v>
      </c>
      <c r="E5202" t="s">
        <v>30</v>
      </c>
    </row>
    <row r="5203" spans="1:13" x14ac:dyDescent="0.2">
      <c r="C5203" t="b">
        <v>0</v>
      </c>
      <c r="D5203">
        <v>8502.9500000000007</v>
      </c>
      <c r="E5203" t="s">
        <v>30</v>
      </c>
    </row>
    <row r="5204" spans="1:13" x14ac:dyDescent="0.2">
      <c r="C5204" t="b">
        <v>0</v>
      </c>
      <c r="D5204">
        <v>8512.9</v>
      </c>
      <c r="E5204" t="s">
        <v>30</v>
      </c>
    </row>
    <row r="5205" spans="1:13" x14ac:dyDescent="0.2">
      <c r="C5205" t="b">
        <v>0</v>
      </c>
      <c r="D5205">
        <v>8632.98</v>
      </c>
      <c r="E5205" t="s">
        <v>30</v>
      </c>
    </row>
    <row r="5206" spans="1:13" x14ac:dyDescent="0.2">
      <c r="A5206" t="s">
        <v>0</v>
      </c>
    </row>
    <row r="5207" spans="1:13" x14ac:dyDescent="0.2">
      <c r="B5207" t="s">
        <v>1</v>
      </c>
      <c r="C5207" t="s">
        <v>2</v>
      </c>
      <c r="D5207" t="s">
        <v>3</v>
      </c>
      <c r="E5207" t="s">
        <v>4</v>
      </c>
      <c r="F5207" t="s">
        <v>5</v>
      </c>
      <c r="G5207" t="s">
        <v>6</v>
      </c>
    </row>
    <row r="5208" spans="1:13" x14ac:dyDescent="0.2">
      <c r="B5208" t="b">
        <v>0</v>
      </c>
      <c r="C5208" t="s">
        <v>158</v>
      </c>
      <c r="D5208" t="s">
        <v>362</v>
      </c>
      <c r="E5208" t="s">
        <v>0</v>
      </c>
      <c r="G5208" t="s">
        <v>363</v>
      </c>
    </row>
    <row r="5209" spans="1:13" x14ac:dyDescent="0.2">
      <c r="B5209" t="s">
        <v>11</v>
      </c>
    </row>
    <row r="5210" spans="1:13" x14ac:dyDescent="0.2">
      <c r="B5210" t="s">
        <v>12</v>
      </c>
      <c r="C5210" t="s">
        <v>13</v>
      </c>
      <c r="D5210" t="s">
        <v>14</v>
      </c>
      <c r="E5210" t="s">
        <v>15</v>
      </c>
      <c r="F5210" t="s">
        <v>16</v>
      </c>
      <c r="G5210" t="s">
        <v>17</v>
      </c>
      <c r="H5210" t="s">
        <v>18</v>
      </c>
      <c r="I5210" t="s">
        <v>19</v>
      </c>
      <c r="J5210" t="s">
        <v>20</v>
      </c>
      <c r="K5210" t="s">
        <v>21</v>
      </c>
      <c r="L5210" t="s">
        <v>22</v>
      </c>
      <c r="M5210" t="s">
        <v>23</v>
      </c>
    </row>
    <row r="5211" spans="1:13" x14ac:dyDescent="0.2">
      <c r="B5211" t="s">
        <v>24</v>
      </c>
      <c r="C5211">
        <v>59</v>
      </c>
      <c r="E5211" t="s">
        <v>25</v>
      </c>
      <c r="F5211">
        <v>15483837.27</v>
      </c>
      <c r="G5211">
        <v>1.6</v>
      </c>
      <c r="H5211">
        <v>4.7720000000000002</v>
      </c>
      <c r="I5211" t="s">
        <v>26</v>
      </c>
      <c r="J5211">
        <v>1.6</v>
      </c>
      <c r="K5211">
        <v>0.1</v>
      </c>
      <c r="L5211">
        <v>7</v>
      </c>
    </row>
    <row r="5212" spans="1:13" x14ac:dyDescent="0.2">
      <c r="C5212" t="s">
        <v>27</v>
      </c>
    </row>
    <row r="5213" spans="1:13" x14ac:dyDescent="0.2">
      <c r="C5213" t="s">
        <v>28</v>
      </c>
      <c r="D5213" t="s">
        <v>16</v>
      </c>
      <c r="E5213" t="s">
        <v>29</v>
      </c>
      <c r="F5213" t="s">
        <v>18</v>
      </c>
    </row>
    <row r="5214" spans="1:13" x14ac:dyDescent="0.2">
      <c r="C5214" t="b">
        <v>0</v>
      </c>
      <c r="D5214">
        <v>15571714.77</v>
      </c>
      <c r="E5214" t="s">
        <v>67</v>
      </c>
      <c r="F5214">
        <v>4.7990000000000004</v>
      </c>
    </row>
    <row r="5215" spans="1:13" x14ac:dyDescent="0.2">
      <c r="C5215" t="b">
        <v>0</v>
      </c>
      <c r="D5215">
        <v>15160598.52</v>
      </c>
      <c r="E5215" t="s">
        <v>67</v>
      </c>
      <c r="F5215">
        <v>4.6719999999999997</v>
      </c>
    </row>
    <row r="5216" spans="1:13" x14ac:dyDescent="0.2">
      <c r="C5216" t="b">
        <v>0</v>
      </c>
      <c r="D5216">
        <v>15690302.27</v>
      </c>
      <c r="E5216" t="s">
        <v>67</v>
      </c>
      <c r="F5216">
        <v>4.8360000000000003</v>
      </c>
    </row>
    <row r="5217" spans="2:13" x14ac:dyDescent="0.2">
      <c r="C5217" t="b">
        <v>0</v>
      </c>
      <c r="D5217">
        <v>15211402.27</v>
      </c>
      <c r="E5217" t="s">
        <v>67</v>
      </c>
      <c r="F5217">
        <v>4.6879999999999997</v>
      </c>
    </row>
    <row r="5218" spans="2:13" x14ac:dyDescent="0.2">
      <c r="C5218" t="b">
        <v>0</v>
      </c>
      <c r="D5218">
        <v>15441712.27</v>
      </c>
      <c r="E5218" t="s">
        <v>67</v>
      </c>
      <c r="F5218">
        <v>4.7590000000000003</v>
      </c>
    </row>
    <row r="5219" spans="2:13" x14ac:dyDescent="0.2">
      <c r="C5219" t="b">
        <v>0</v>
      </c>
      <c r="D5219">
        <v>15451107.27</v>
      </c>
      <c r="E5219" t="s">
        <v>67</v>
      </c>
      <c r="F5219">
        <v>4.7619999999999996</v>
      </c>
    </row>
    <row r="5220" spans="2:13" x14ac:dyDescent="0.2">
      <c r="C5220" t="b">
        <v>0</v>
      </c>
      <c r="D5220">
        <v>15860023.51</v>
      </c>
      <c r="E5220" t="s">
        <v>67</v>
      </c>
      <c r="F5220">
        <v>4.8879999999999999</v>
      </c>
    </row>
    <row r="5221" spans="2:13" x14ac:dyDescent="0.2">
      <c r="B5221" t="s">
        <v>11</v>
      </c>
    </row>
    <row r="5222" spans="2:13" x14ac:dyDescent="0.2">
      <c r="B5222" t="s">
        <v>12</v>
      </c>
      <c r="C5222" t="s">
        <v>13</v>
      </c>
      <c r="D5222" t="s">
        <v>14</v>
      </c>
      <c r="E5222" t="s">
        <v>15</v>
      </c>
      <c r="F5222" t="s">
        <v>16</v>
      </c>
      <c r="G5222" t="s">
        <v>17</v>
      </c>
      <c r="H5222" t="s">
        <v>18</v>
      </c>
      <c r="I5222" t="s">
        <v>19</v>
      </c>
      <c r="J5222" t="s">
        <v>20</v>
      </c>
      <c r="K5222" t="s">
        <v>21</v>
      </c>
      <c r="L5222" t="s">
        <v>22</v>
      </c>
      <c r="M5222" t="s">
        <v>23</v>
      </c>
    </row>
    <row r="5223" spans="2:13" x14ac:dyDescent="0.2">
      <c r="B5223" t="s">
        <v>31</v>
      </c>
      <c r="C5223">
        <v>45</v>
      </c>
      <c r="E5223" t="s">
        <v>25</v>
      </c>
      <c r="F5223">
        <v>1072.93</v>
      </c>
      <c r="G5223">
        <v>10.3</v>
      </c>
      <c r="K5223">
        <v>0.1</v>
      </c>
      <c r="L5223">
        <v>7</v>
      </c>
      <c r="M5223">
        <v>82.7</v>
      </c>
    </row>
    <row r="5224" spans="2:13" x14ac:dyDescent="0.2">
      <c r="C5224" t="s">
        <v>27</v>
      </c>
    </row>
    <row r="5225" spans="2:13" x14ac:dyDescent="0.2">
      <c r="C5225" t="s">
        <v>28</v>
      </c>
      <c r="D5225" t="s">
        <v>16</v>
      </c>
      <c r="E5225" t="s">
        <v>29</v>
      </c>
      <c r="F5225" t="s">
        <v>18</v>
      </c>
    </row>
    <row r="5226" spans="2:13" x14ac:dyDescent="0.2">
      <c r="C5226" t="b">
        <v>0</v>
      </c>
      <c r="D5226">
        <v>1170.0899999999999</v>
      </c>
      <c r="E5226" t="s">
        <v>30</v>
      </c>
    </row>
    <row r="5227" spans="2:13" x14ac:dyDescent="0.2">
      <c r="C5227" t="b">
        <v>0</v>
      </c>
      <c r="D5227">
        <v>870.06</v>
      </c>
      <c r="E5227" t="s">
        <v>30</v>
      </c>
    </row>
    <row r="5228" spans="2:13" x14ac:dyDescent="0.2">
      <c r="C5228" t="b">
        <v>0</v>
      </c>
      <c r="D5228">
        <v>1170.0899999999999</v>
      </c>
      <c r="E5228" t="s">
        <v>30</v>
      </c>
    </row>
    <row r="5229" spans="2:13" x14ac:dyDescent="0.2">
      <c r="C5229" t="b">
        <v>0</v>
      </c>
      <c r="D5229">
        <v>1100.07</v>
      </c>
      <c r="E5229" t="s">
        <v>30</v>
      </c>
    </row>
    <row r="5230" spans="2:13" x14ac:dyDescent="0.2">
      <c r="C5230" t="b">
        <v>0</v>
      </c>
      <c r="D5230">
        <v>1020.07</v>
      </c>
      <c r="E5230" t="s">
        <v>30</v>
      </c>
    </row>
    <row r="5231" spans="2:13" x14ac:dyDescent="0.2">
      <c r="C5231" t="b">
        <v>0</v>
      </c>
      <c r="D5231">
        <v>1020.07</v>
      </c>
      <c r="E5231" t="s">
        <v>30</v>
      </c>
    </row>
    <row r="5232" spans="2:13" x14ac:dyDescent="0.2">
      <c r="C5232" t="b">
        <v>0</v>
      </c>
      <c r="D5232">
        <v>1160.08</v>
      </c>
      <c r="E5232" t="s">
        <v>30</v>
      </c>
    </row>
    <row r="5233" spans="2:13" x14ac:dyDescent="0.2">
      <c r="B5233" t="s">
        <v>11</v>
      </c>
    </row>
    <row r="5234" spans="2:13" x14ac:dyDescent="0.2">
      <c r="B5234" t="s">
        <v>12</v>
      </c>
      <c r="C5234" t="s">
        <v>13</v>
      </c>
      <c r="D5234" t="s">
        <v>14</v>
      </c>
      <c r="E5234" t="s">
        <v>15</v>
      </c>
      <c r="F5234" t="s">
        <v>16</v>
      </c>
      <c r="G5234" t="s">
        <v>17</v>
      </c>
      <c r="H5234" t="s">
        <v>18</v>
      </c>
      <c r="I5234" t="s">
        <v>19</v>
      </c>
      <c r="J5234" t="s">
        <v>20</v>
      </c>
      <c r="K5234" t="s">
        <v>21</v>
      </c>
      <c r="L5234" t="s">
        <v>22</v>
      </c>
      <c r="M5234" t="s">
        <v>23</v>
      </c>
    </row>
    <row r="5235" spans="2:13" x14ac:dyDescent="0.2">
      <c r="B5235" t="s">
        <v>32</v>
      </c>
      <c r="C5235">
        <v>72</v>
      </c>
      <c r="E5235" t="s">
        <v>25</v>
      </c>
      <c r="F5235">
        <v>1254.3900000000001</v>
      </c>
      <c r="G5235">
        <v>10.3</v>
      </c>
      <c r="K5235">
        <v>0.1</v>
      </c>
      <c r="L5235">
        <v>7</v>
      </c>
      <c r="M5235">
        <v>90.9</v>
      </c>
    </row>
    <row r="5236" spans="2:13" x14ac:dyDescent="0.2">
      <c r="C5236" t="s">
        <v>27</v>
      </c>
    </row>
    <row r="5237" spans="2:13" x14ac:dyDescent="0.2">
      <c r="C5237" t="s">
        <v>28</v>
      </c>
      <c r="D5237" t="s">
        <v>16</v>
      </c>
      <c r="E5237" t="s">
        <v>29</v>
      </c>
      <c r="F5237" t="s">
        <v>18</v>
      </c>
    </row>
    <row r="5238" spans="2:13" x14ac:dyDescent="0.2">
      <c r="C5238" t="b">
        <v>0</v>
      </c>
      <c r="D5238">
        <v>1180.0899999999999</v>
      </c>
      <c r="E5238" t="s">
        <v>30</v>
      </c>
    </row>
    <row r="5239" spans="2:13" x14ac:dyDescent="0.2">
      <c r="C5239" t="b">
        <v>0</v>
      </c>
      <c r="D5239">
        <v>1170.0899999999999</v>
      </c>
      <c r="E5239" t="s">
        <v>30</v>
      </c>
    </row>
    <row r="5240" spans="2:13" x14ac:dyDescent="0.2">
      <c r="C5240" t="b">
        <v>0</v>
      </c>
      <c r="D5240">
        <v>1300.1099999999999</v>
      </c>
      <c r="E5240" t="s">
        <v>30</v>
      </c>
    </row>
    <row r="5241" spans="2:13" x14ac:dyDescent="0.2">
      <c r="C5241" t="b">
        <v>0</v>
      </c>
      <c r="D5241">
        <v>1320.11</v>
      </c>
      <c r="E5241" t="s">
        <v>30</v>
      </c>
    </row>
    <row r="5242" spans="2:13" x14ac:dyDescent="0.2">
      <c r="C5242" t="b">
        <v>0</v>
      </c>
      <c r="D5242">
        <v>1320.11</v>
      </c>
      <c r="E5242" t="s">
        <v>30</v>
      </c>
    </row>
    <row r="5243" spans="2:13" x14ac:dyDescent="0.2">
      <c r="C5243" t="b">
        <v>0</v>
      </c>
      <c r="D5243">
        <v>1050.07</v>
      </c>
      <c r="E5243" t="s">
        <v>30</v>
      </c>
    </row>
    <row r="5244" spans="2:13" x14ac:dyDescent="0.2">
      <c r="C5244" t="b">
        <v>0</v>
      </c>
      <c r="D5244">
        <v>1440.13</v>
      </c>
      <c r="E5244" t="s">
        <v>30</v>
      </c>
    </row>
    <row r="5245" spans="2:13" x14ac:dyDescent="0.2">
      <c r="B5245" t="s">
        <v>11</v>
      </c>
    </row>
    <row r="5246" spans="2:13" x14ac:dyDescent="0.2">
      <c r="B5246" t="s">
        <v>12</v>
      </c>
      <c r="C5246" t="s">
        <v>13</v>
      </c>
      <c r="D5246" t="s">
        <v>14</v>
      </c>
      <c r="E5246" t="s">
        <v>15</v>
      </c>
      <c r="F5246" t="s">
        <v>16</v>
      </c>
      <c r="G5246" t="s">
        <v>17</v>
      </c>
      <c r="H5246" t="s">
        <v>18</v>
      </c>
      <c r="I5246" t="s">
        <v>19</v>
      </c>
      <c r="J5246" t="s">
        <v>20</v>
      </c>
      <c r="K5246" t="s">
        <v>21</v>
      </c>
      <c r="L5246" t="s">
        <v>22</v>
      </c>
      <c r="M5246" t="s">
        <v>23</v>
      </c>
    </row>
    <row r="5247" spans="2:13" x14ac:dyDescent="0.2">
      <c r="B5247" t="s">
        <v>33</v>
      </c>
      <c r="C5247">
        <v>89</v>
      </c>
      <c r="E5247" t="s">
        <v>25</v>
      </c>
      <c r="F5247">
        <v>7303.63</v>
      </c>
      <c r="G5247">
        <v>4</v>
      </c>
      <c r="K5247">
        <v>0.1</v>
      </c>
      <c r="L5247">
        <v>7</v>
      </c>
      <c r="M5247">
        <v>97</v>
      </c>
    </row>
    <row r="5248" spans="2:13" x14ac:dyDescent="0.2">
      <c r="C5248" t="s">
        <v>27</v>
      </c>
    </row>
    <row r="5249" spans="1:13" x14ac:dyDescent="0.2">
      <c r="C5249" t="s">
        <v>28</v>
      </c>
      <c r="D5249" t="s">
        <v>16</v>
      </c>
      <c r="E5249" t="s">
        <v>29</v>
      </c>
      <c r="F5249" t="s">
        <v>18</v>
      </c>
    </row>
    <row r="5250" spans="1:13" x14ac:dyDescent="0.2">
      <c r="C5250" t="b">
        <v>0</v>
      </c>
      <c r="D5250">
        <v>7382.28</v>
      </c>
      <c r="E5250" t="s">
        <v>30</v>
      </c>
    </row>
    <row r="5251" spans="1:13" x14ac:dyDescent="0.2">
      <c r="C5251" t="b">
        <v>0</v>
      </c>
      <c r="D5251">
        <v>7062.17</v>
      </c>
      <c r="E5251" t="s">
        <v>30</v>
      </c>
    </row>
    <row r="5252" spans="1:13" x14ac:dyDescent="0.2">
      <c r="C5252" t="b">
        <v>0</v>
      </c>
      <c r="D5252">
        <v>7472.22</v>
      </c>
      <c r="E5252" t="s">
        <v>30</v>
      </c>
    </row>
    <row r="5253" spans="1:13" x14ac:dyDescent="0.2">
      <c r="C5253" t="b">
        <v>0</v>
      </c>
      <c r="D5253">
        <v>7272.15</v>
      </c>
      <c r="E5253" t="s">
        <v>30</v>
      </c>
    </row>
    <row r="5254" spans="1:13" x14ac:dyDescent="0.2">
      <c r="C5254" t="b">
        <v>0</v>
      </c>
      <c r="D5254">
        <v>7132.06</v>
      </c>
      <c r="E5254" t="s">
        <v>30</v>
      </c>
    </row>
    <row r="5255" spans="1:13" x14ac:dyDescent="0.2">
      <c r="C5255" t="b">
        <v>0</v>
      </c>
      <c r="D5255">
        <v>6972.03</v>
      </c>
      <c r="E5255" t="s">
        <v>30</v>
      </c>
    </row>
    <row r="5256" spans="1:13" x14ac:dyDescent="0.2">
      <c r="C5256" t="b">
        <v>0</v>
      </c>
      <c r="D5256">
        <v>7832.5</v>
      </c>
      <c r="E5256" t="s">
        <v>30</v>
      </c>
    </row>
    <row r="5257" spans="1:13" x14ac:dyDescent="0.2">
      <c r="A5257" t="s">
        <v>0</v>
      </c>
    </row>
    <row r="5258" spans="1:13" x14ac:dyDescent="0.2">
      <c r="B5258" t="s">
        <v>1</v>
      </c>
      <c r="C5258" t="s">
        <v>2</v>
      </c>
      <c r="D5258" t="s">
        <v>3</v>
      </c>
      <c r="E5258" t="s">
        <v>4</v>
      </c>
      <c r="F5258" t="s">
        <v>5</v>
      </c>
      <c r="G5258" t="s">
        <v>6</v>
      </c>
    </row>
    <row r="5259" spans="1:13" x14ac:dyDescent="0.2">
      <c r="B5259" t="b">
        <v>0</v>
      </c>
      <c r="C5259" t="s">
        <v>161</v>
      </c>
      <c r="D5259" t="s">
        <v>364</v>
      </c>
      <c r="E5259" t="s">
        <v>0</v>
      </c>
      <c r="G5259" t="s">
        <v>365</v>
      </c>
    </row>
    <row r="5260" spans="1:13" x14ac:dyDescent="0.2">
      <c r="B5260" t="s">
        <v>11</v>
      </c>
    </row>
    <row r="5261" spans="1:13" x14ac:dyDescent="0.2">
      <c r="B5261" t="s">
        <v>12</v>
      </c>
      <c r="C5261" t="s">
        <v>13</v>
      </c>
      <c r="D5261" t="s">
        <v>14</v>
      </c>
      <c r="E5261" t="s">
        <v>15</v>
      </c>
      <c r="F5261" t="s">
        <v>16</v>
      </c>
      <c r="G5261" t="s">
        <v>17</v>
      </c>
      <c r="H5261" t="s">
        <v>18</v>
      </c>
      <c r="I5261" t="s">
        <v>19</v>
      </c>
      <c r="J5261" t="s">
        <v>20</v>
      </c>
      <c r="K5261" t="s">
        <v>21</v>
      </c>
      <c r="L5261" t="s">
        <v>22</v>
      </c>
      <c r="M5261" t="s">
        <v>23</v>
      </c>
    </row>
    <row r="5262" spans="1:13" x14ac:dyDescent="0.2">
      <c r="B5262" t="s">
        <v>24</v>
      </c>
      <c r="C5262">
        <v>59</v>
      </c>
      <c r="E5262" t="s">
        <v>25</v>
      </c>
      <c r="F5262">
        <v>14467728.18</v>
      </c>
      <c r="G5262">
        <v>0.8</v>
      </c>
      <c r="H5262">
        <v>4.4589999999999996</v>
      </c>
      <c r="I5262" t="s">
        <v>26</v>
      </c>
      <c r="J5262">
        <v>0.8</v>
      </c>
      <c r="K5262">
        <v>0.1</v>
      </c>
      <c r="L5262">
        <v>7</v>
      </c>
    </row>
    <row r="5263" spans="1:13" x14ac:dyDescent="0.2">
      <c r="C5263" t="s">
        <v>27</v>
      </c>
    </row>
    <row r="5264" spans="1:13" x14ac:dyDescent="0.2">
      <c r="C5264" t="s">
        <v>28</v>
      </c>
      <c r="D5264" t="s">
        <v>16</v>
      </c>
      <c r="E5264" t="s">
        <v>29</v>
      </c>
      <c r="F5264" t="s">
        <v>18</v>
      </c>
    </row>
    <row r="5265" spans="2:13" x14ac:dyDescent="0.2">
      <c r="C5265" t="b">
        <v>0</v>
      </c>
      <c r="D5265">
        <v>14347298.539999999</v>
      </c>
      <c r="E5265" t="s">
        <v>67</v>
      </c>
      <c r="F5265">
        <v>4.4219999999999997</v>
      </c>
    </row>
    <row r="5266" spans="2:13" x14ac:dyDescent="0.2">
      <c r="C5266" t="b">
        <v>0</v>
      </c>
      <c r="D5266">
        <v>14532532.279999999</v>
      </c>
      <c r="E5266" t="s">
        <v>67</v>
      </c>
      <c r="F5266">
        <v>4.4790000000000001</v>
      </c>
    </row>
    <row r="5267" spans="2:13" x14ac:dyDescent="0.2">
      <c r="C5267" t="b">
        <v>0</v>
      </c>
      <c r="D5267">
        <v>14421259.789999999</v>
      </c>
      <c r="E5267" t="s">
        <v>67</v>
      </c>
      <c r="F5267">
        <v>4.4450000000000003</v>
      </c>
    </row>
    <row r="5268" spans="2:13" x14ac:dyDescent="0.2">
      <c r="C5268" t="b">
        <v>0</v>
      </c>
      <c r="D5268">
        <v>14344829.789999999</v>
      </c>
      <c r="E5268" t="s">
        <v>67</v>
      </c>
      <c r="F5268">
        <v>4.4210000000000003</v>
      </c>
    </row>
    <row r="5269" spans="2:13" x14ac:dyDescent="0.2">
      <c r="C5269" t="b">
        <v>0</v>
      </c>
      <c r="D5269">
        <v>14395409.789999999</v>
      </c>
      <c r="E5269" t="s">
        <v>67</v>
      </c>
      <c r="F5269">
        <v>4.4370000000000003</v>
      </c>
    </row>
    <row r="5270" spans="2:13" x14ac:dyDescent="0.2">
      <c r="C5270" t="b">
        <v>0</v>
      </c>
      <c r="D5270">
        <v>14581841.029999999</v>
      </c>
      <c r="E5270" t="s">
        <v>67</v>
      </c>
      <c r="F5270">
        <v>4.4939999999999998</v>
      </c>
    </row>
    <row r="5271" spans="2:13" x14ac:dyDescent="0.2">
      <c r="C5271" t="b">
        <v>0</v>
      </c>
      <c r="D5271">
        <v>14650926.029999999</v>
      </c>
      <c r="E5271" t="s">
        <v>67</v>
      </c>
      <c r="F5271">
        <v>4.5149999999999997</v>
      </c>
    </row>
    <row r="5272" spans="2:13" x14ac:dyDescent="0.2">
      <c r="B5272" t="s">
        <v>11</v>
      </c>
    </row>
    <row r="5273" spans="2:13" x14ac:dyDescent="0.2">
      <c r="B5273" t="s">
        <v>12</v>
      </c>
      <c r="C5273" t="s">
        <v>13</v>
      </c>
      <c r="D5273" t="s">
        <v>14</v>
      </c>
      <c r="E5273" t="s">
        <v>15</v>
      </c>
      <c r="F5273" t="s">
        <v>16</v>
      </c>
      <c r="G5273" t="s">
        <v>17</v>
      </c>
      <c r="H5273" t="s">
        <v>18</v>
      </c>
      <c r="I5273" t="s">
        <v>19</v>
      </c>
      <c r="J5273" t="s">
        <v>20</v>
      </c>
      <c r="K5273" t="s">
        <v>21</v>
      </c>
      <c r="L5273" t="s">
        <v>22</v>
      </c>
      <c r="M5273" t="s">
        <v>23</v>
      </c>
    </row>
    <row r="5274" spans="2:13" x14ac:dyDescent="0.2">
      <c r="B5274" t="s">
        <v>31</v>
      </c>
      <c r="C5274">
        <v>45</v>
      </c>
      <c r="E5274" t="s">
        <v>25</v>
      </c>
      <c r="F5274">
        <v>1268.67</v>
      </c>
      <c r="G5274">
        <v>15.7</v>
      </c>
      <c r="K5274">
        <v>0.1</v>
      </c>
      <c r="L5274">
        <v>7</v>
      </c>
      <c r="M5274">
        <v>97.8</v>
      </c>
    </row>
    <row r="5275" spans="2:13" x14ac:dyDescent="0.2">
      <c r="C5275" t="s">
        <v>27</v>
      </c>
    </row>
    <row r="5276" spans="2:13" x14ac:dyDescent="0.2">
      <c r="C5276" t="s">
        <v>28</v>
      </c>
      <c r="D5276" t="s">
        <v>16</v>
      </c>
      <c r="E5276" t="s">
        <v>29</v>
      </c>
      <c r="F5276" t="s">
        <v>18</v>
      </c>
    </row>
    <row r="5277" spans="2:13" x14ac:dyDescent="0.2">
      <c r="C5277" t="b">
        <v>0</v>
      </c>
      <c r="D5277">
        <v>1220.0899999999999</v>
      </c>
      <c r="E5277" t="s">
        <v>30</v>
      </c>
    </row>
    <row r="5278" spans="2:13" x14ac:dyDescent="0.2">
      <c r="C5278" t="b">
        <v>0</v>
      </c>
      <c r="D5278">
        <v>990.08</v>
      </c>
      <c r="E5278" t="s">
        <v>30</v>
      </c>
    </row>
    <row r="5279" spans="2:13" x14ac:dyDescent="0.2">
      <c r="C5279" t="b">
        <v>0</v>
      </c>
      <c r="D5279">
        <v>1310.1099999999999</v>
      </c>
      <c r="E5279" t="s">
        <v>30</v>
      </c>
    </row>
    <row r="5280" spans="2:13" x14ac:dyDescent="0.2">
      <c r="C5280" t="b">
        <v>0</v>
      </c>
      <c r="D5280">
        <v>1150.08</v>
      </c>
      <c r="E5280" t="s">
        <v>30</v>
      </c>
    </row>
    <row r="5281" spans="2:13" x14ac:dyDescent="0.2">
      <c r="C5281" t="b">
        <v>0</v>
      </c>
      <c r="D5281">
        <v>1600.14</v>
      </c>
      <c r="E5281" t="s">
        <v>30</v>
      </c>
    </row>
    <row r="5282" spans="2:13" x14ac:dyDescent="0.2">
      <c r="C5282" t="b">
        <v>0</v>
      </c>
      <c r="D5282">
        <v>1430.11</v>
      </c>
      <c r="E5282" t="s">
        <v>30</v>
      </c>
    </row>
    <row r="5283" spans="2:13" x14ac:dyDescent="0.2">
      <c r="C5283" t="b">
        <v>0</v>
      </c>
      <c r="D5283">
        <v>1180.08</v>
      </c>
      <c r="E5283" t="s">
        <v>30</v>
      </c>
    </row>
    <row r="5284" spans="2:13" x14ac:dyDescent="0.2">
      <c r="B5284" t="s">
        <v>11</v>
      </c>
    </row>
    <row r="5285" spans="2:13" x14ac:dyDescent="0.2">
      <c r="B5285" t="s">
        <v>12</v>
      </c>
      <c r="C5285" t="s">
        <v>13</v>
      </c>
      <c r="D5285" t="s">
        <v>14</v>
      </c>
      <c r="E5285" t="s">
        <v>15</v>
      </c>
      <c r="F5285" t="s">
        <v>16</v>
      </c>
      <c r="G5285" t="s">
        <v>17</v>
      </c>
      <c r="H5285" t="s">
        <v>18</v>
      </c>
      <c r="I5285" t="s">
        <v>19</v>
      </c>
      <c r="J5285" t="s">
        <v>20</v>
      </c>
      <c r="K5285" t="s">
        <v>21</v>
      </c>
      <c r="L5285" t="s">
        <v>22</v>
      </c>
      <c r="M5285" t="s">
        <v>23</v>
      </c>
    </row>
    <row r="5286" spans="2:13" x14ac:dyDescent="0.2">
      <c r="B5286" t="s">
        <v>32</v>
      </c>
      <c r="C5286">
        <v>72</v>
      </c>
      <c r="E5286" t="s">
        <v>25</v>
      </c>
      <c r="F5286">
        <v>1212.95</v>
      </c>
      <c r="G5286">
        <v>9.3000000000000007</v>
      </c>
      <c r="K5286">
        <v>0.1</v>
      </c>
      <c r="L5286">
        <v>7</v>
      </c>
      <c r="M5286">
        <v>87.9</v>
      </c>
    </row>
    <row r="5287" spans="2:13" x14ac:dyDescent="0.2">
      <c r="C5287" t="s">
        <v>27</v>
      </c>
    </row>
    <row r="5288" spans="2:13" x14ac:dyDescent="0.2">
      <c r="C5288" t="s">
        <v>28</v>
      </c>
      <c r="D5288" t="s">
        <v>16</v>
      </c>
      <c r="E5288" t="s">
        <v>29</v>
      </c>
      <c r="F5288" t="s">
        <v>18</v>
      </c>
    </row>
    <row r="5289" spans="2:13" x14ac:dyDescent="0.2">
      <c r="C5289" t="b">
        <v>0</v>
      </c>
      <c r="D5289">
        <v>1110.08</v>
      </c>
      <c r="E5289" t="s">
        <v>30</v>
      </c>
    </row>
    <row r="5290" spans="2:13" x14ac:dyDescent="0.2">
      <c r="C5290" t="b">
        <v>0</v>
      </c>
      <c r="D5290">
        <v>1340.12</v>
      </c>
      <c r="E5290" t="s">
        <v>30</v>
      </c>
    </row>
    <row r="5291" spans="2:13" x14ac:dyDescent="0.2">
      <c r="C5291" t="b">
        <v>0</v>
      </c>
      <c r="D5291">
        <v>1070.0899999999999</v>
      </c>
      <c r="E5291" t="s">
        <v>30</v>
      </c>
    </row>
    <row r="5292" spans="2:13" x14ac:dyDescent="0.2">
      <c r="C5292" t="b">
        <v>0</v>
      </c>
      <c r="D5292">
        <v>1270.0999999999999</v>
      </c>
      <c r="E5292" t="s">
        <v>30</v>
      </c>
    </row>
    <row r="5293" spans="2:13" x14ac:dyDescent="0.2">
      <c r="C5293" t="b">
        <v>0</v>
      </c>
      <c r="D5293">
        <v>1130.08</v>
      </c>
      <c r="E5293" t="s">
        <v>30</v>
      </c>
    </row>
    <row r="5294" spans="2:13" x14ac:dyDescent="0.2">
      <c r="C5294" t="b">
        <v>0</v>
      </c>
      <c r="D5294">
        <v>1220.0899999999999</v>
      </c>
      <c r="E5294" t="s">
        <v>30</v>
      </c>
    </row>
    <row r="5295" spans="2:13" x14ac:dyDescent="0.2">
      <c r="C5295" t="b">
        <v>0</v>
      </c>
      <c r="D5295">
        <v>1350.11</v>
      </c>
      <c r="E5295" t="s">
        <v>30</v>
      </c>
    </row>
    <row r="5296" spans="2:13" x14ac:dyDescent="0.2">
      <c r="B5296" t="s">
        <v>11</v>
      </c>
    </row>
    <row r="5297" spans="1:13" x14ac:dyDescent="0.2">
      <c r="B5297" t="s">
        <v>12</v>
      </c>
      <c r="C5297" t="s">
        <v>13</v>
      </c>
      <c r="D5297" t="s">
        <v>14</v>
      </c>
      <c r="E5297" t="s">
        <v>15</v>
      </c>
      <c r="F5297" t="s">
        <v>16</v>
      </c>
      <c r="G5297" t="s">
        <v>17</v>
      </c>
      <c r="H5297" t="s">
        <v>18</v>
      </c>
      <c r="I5297" t="s">
        <v>19</v>
      </c>
      <c r="J5297" t="s">
        <v>20</v>
      </c>
      <c r="K5297" t="s">
        <v>21</v>
      </c>
      <c r="L5297" t="s">
        <v>22</v>
      </c>
      <c r="M5297" t="s">
        <v>23</v>
      </c>
    </row>
    <row r="5298" spans="1:13" x14ac:dyDescent="0.2">
      <c r="B5298" t="s">
        <v>33</v>
      </c>
      <c r="C5298">
        <v>89</v>
      </c>
      <c r="E5298" t="s">
        <v>25</v>
      </c>
      <c r="F5298">
        <v>7302.22</v>
      </c>
      <c r="G5298">
        <v>6.8</v>
      </c>
      <c r="K5298">
        <v>0.1</v>
      </c>
      <c r="L5298">
        <v>7</v>
      </c>
      <c r="M5298">
        <v>96.9</v>
      </c>
    </row>
    <row r="5299" spans="1:13" x14ac:dyDescent="0.2">
      <c r="C5299" t="s">
        <v>27</v>
      </c>
    </row>
    <row r="5300" spans="1:13" x14ac:dyDescent="0.2">
      <c r="C5300" t="s">
        <v>28</v>
      </c>
      <c r="D5300" t="s">
        <v>16</v>
      </c>
      <c r="E5300" t="s">
        <v>29</v>
      </c>
      <c r="F5300" t="s">
        <v>18</v>
      </c>
    </row>
    <row r="5301" spans="1:13" x14ac:dyDescent="0.2">
      <c r="C5301" t="b">
        <v>0</v>
      </c>
      <c r="D5301">
        <v>7012.07</v>
      </c>
      <c r="E5301" t="s">
        <v>30</v>
      </c>
    </row>
    <row r="5302" spans="1:13" x14ac:dyDescent="0.2">
      <c r="C5302" t="b">
        <v>0</v>
      </c>
      <c r="D5302">
        <v>6771.91</v>
      </c>
      <c r="E5302" t="s">
        <v>30</v>
      </c>
    </row>
    <row r="5303" spans="1:13" x14ac:dyDescent="0.2">
      <c r="C5303" t="b">
        <v>0</v>
      </c>
      <c r="D5303">
        <v>7342.26</v>
      </c>
      <c r="E5303" t="s">
        <v>30</v>
      </c>
    </row>
    <row r="5304" spans="1:13" x14ac:dyDescent="0.2">
      <c r="C5304" t="b">
        <v>0</v>
      </c>
      <c r="D5304">
        <v>7292.19</v>
      </c>
      <c r="E5304" t="s">
        <v>30</v>
      </c>
    </row>
    <row r="5305" spans="1:13" x14ac:dyDescent="0.2">
      <c r="C5305" t="b">
        <v>0</v>
      </c>
      <c r="D5305">
        <v>7522.4</v>
      </c>
      <c r="E5305" t="s">
        <v>30</v>
      </c>
    </row>
    <row r="5306" spans="1:13" x14ac:dyDescent="0.2">
      <c r="C5306" t="b">
        <v>0</v>
      </c>
      <c r="D5306">
        <v>8262.66</v>
      </c>
      <c r="E5306" t="s">
        <v>30</v>
      </c>
    </row>
    <row r="5307" spans="1:13" x14ac:dyDescent="0.2">
      <c r="C5307" t="b">
        <v>0</v>
      </c>
      <c r="D5307">
        <v>6912.02</v>
      </c>
      <c r="E5307" t="s">
        <v>30</v>
      </c>
    </row>
    <row r="5308" spans="1:13" x14ac:dyDescent="0.2">
      <c r="A5308" t="s">
        <v>0</v>
      </c>
    </row>
    <row r="5309" spans="1:13" x14ac:dyDescent="0.2">
      <c r="B5309" t="s">
        <v>1</v>
      </c>
      <c r="C5309" t="s">
        <v>2</v>
      </c>
      <c r="D5309" t="s">
        <v>3</v>
      </c>
      <c r="E5309" t="s">
        <v>4</v>
      </c>
      <c r="F5309" t="s">
        <v>5</v>
      </c>
      <c r="G5309" t="s">
        <v>6</v>
      </c>
    </row>
    <row r="5310" spans="1:13" x14ac:dyDescent="0.2">
      <c r="B5310" t="b">
        <v>0</v>
      </c>
      <c r="C5310" t="s">
        <v>366</v>
      </c>
      <c r="D5310" t="s">
        <v>367</v>
      </c>
      <c r="E5310" t="s">
        <v>9</v>
      </c>
      <c r="G5310" t="s">
        <v>194</v>
      </c>
    </row>
    <row r="5311" spans="1:13" x14ac:dyDescent="0.2">
      <c r="B5311" t="s">
        <v>11</v>
      </c>
    </row>
    <row r="5312" spans="1:13" x14ac:dyDescent="0.2">
      <c r="B5312" t="s">
        <v>12</v>
      </c>
      <c r="C5312" t="s">
        <v>13</v>
      </c>
      <c r="D5312" t="s">
        <v>14</v>
      </c>
      <c r="E5312" t="s">
        <v>15</v>
      </c>
      <c r="F5312" t="s">
        <v>16</v>
      </c>
      <c r="G5312" t="s">
        <v>17</v>
      </c>
      <c r="H5312" t="s">
        <v>18</v>
      </c>
      <c r="I5312" t="s">
        <v>19</v>
      </c>
      <c r="J5312" t="s">
        <v>20</v>
      </c>
      <c r="K5312" t="s">
        <v>21</v>
      </c>
      <c r="L5312" t="s">
        <v>22</v>
      </c>
      <c r="M5312" t="s">
        <v>23</v>
      </c>
    </row>
    <row r="5313" spans="2:13" x14ac:dyDescent="0.2">
      <c r="B5313" t="s">
        <v>24</v>
      </c>
      <c r="C5313">
        <v>59</v>
      </c>
      <c r="E5313" t="s">
        <v>25</v>
      </c>
      <c r="F5313">
        <v>302.87</v>
      </c>
      <c r="G5313">
        <v>31</v>
      </c>
      <c r="H5313">
        <v>0</v>
      </c>
      <c r="I5313" t="s">
        <v>26</v>
      </c>
      <c r="J5313">
        <v>35.5</v>
      </c>
      <c r="K5313">
        <v>0.1</v>
      </c>
      <c r="L5313">
        <v>7</v>
      </c>
    </row>
    <row r="5314" spans="2:13" x14ac:dyDescent="0.2">
      <c r="C5314" t="s">
        <v>27</v>
      </c>
    </row>
    <row r="5315" spans="2:13" x14ac:dyDescent="0.2">
      <c r="C5315" t="s">
        <v>28</v>
      </c>
      <c r="D5315" t="s">
        <v>16</v>
      </c>
      <c r="E5315" t="s">
        <v>29</v>
      </c>
      <c r="F5315" t="s">
        <v>18</v>
      </c>
    </row>
    <row r="5316" spans="2:13" x14ac:dyDescent="0.2">
      <c r="C5316" t="b">
        <v>0</v>
      </c>
      <c r="D5316">
        <v>390.02</v>
      </c>
      <c r="E5316" t="s">
        <v>30</v>
      </c>
      <c r="F5316">
        <v>0</v>
      </c>
    </row>
    <row r="5317" spans="2:13" x14ac:dyDescent="0.2">
      <c r="C5317" t="b">
        <v>0</v>
      </c>
      <c r="D5317">
        <v>240.01</v>
      </c>
      <c r="E5317" t="s">
        <v>30</v>
      </c>
      <c r="F5317">
        <v>0</v>
      </c>
    </row>
    <row r="5318" spans="2:13" x14ac:dyDescent="0.2">
      <c r="C5318" t="b">
        <v>0</v>
      </c>
      <c r="D5318">
        <v>330.02</v>
      </c>
      <c r="E5318" t="s">
        <v>30</v>
      </c>
      <c r="F5318">
        <v>0</v>
      </c>
    </row>
    <row r="5319" spans="2:13" x14ac:dyDescent="0.2">
      <c r="C5319" t="b">
        <v>0</v>
      </c>
      <c r="D5319">
        <v>140.01</v>
      </c>
      <c r="E5319" t="s">
        <v>30</v>
      </c>
      <c r="F5319">
        <v>0</v>
      </c>
    </row>
    <row r="5320" spans="2:13" x14ac:dyDescent="0.2">
      <c r="C5320" t="b">
        <v>0</v>
      </c>
      <c r="D5320">
        <v>420.02</v>
      </c>
      <c r="E5320" t="s">
        <v>30</v>
      </c>
      <c r="F5320">
        <v>0</v>
      </c>
    </row>
    <row r="5321" spans="2:13" x14ac:dyDescent="0.2">
      <c r="C5321" t="b">
        <v>0</v>
      </c>
      <c r="D5321">
        <v>290.01</v>
      </c>
      <c r="E5321" t="s">
        <v>30</v>
      </c>
      <c r="F5321">
        <v>0</v>
      </c>
    </row>
    <row r="5322" spans="2:13" x14ac:dyDescent="0.2">
      <c r="C5322" t="b">
        <v>0</v>
      </c>
      <c r="D5322">
        <v>310.01</v>
      </c>
      <c r="E5322" t="s">
        <v>30</v>
      </c>
      <c r="F5322">
        <v>0</v>
      </c>
    </row>
    <row r="5323" spans="2:13" x14ac:dyDescent="0.2">
      <c r="B5323" t="s">
        <v>11</v>
      </c>
    </row>
    <row r="5324" spans="2:13" x14ac:dyDescent="0.2">
      <c r="B5324" t="s">
        <v>12</v>
      </c>
      <c r="C5324" t="s">
        <v>13</v>
      </c>
      <c r="D5324" t="s">
        <v>14</v>
      </c>
      <c r="E5324" t="s">
        <v>15</v>
      </c>
      <c r="F5324" t="s">
        <v>16</v>
      </c>
      <c r="G5324" t="s">
        <v>17</v>
      </c>
      <c r="H5324" t="s">
        <v>18</v>
      </c>
      <c r="I5324" t="s">
        <v>19</v>
      </c>
      <c r="J5324" t="s">
        <v>20</v>
      </c>
      <c r="K5324" t="s">
        <v>21</v>
      </c>
      <c r="L5324" t="s">
        <v>22</v>
      </c>
      <c r="M5324" t="s">
        <v>23</v>
      </c>
    </row>
    <row r="5325" spans="2:13" x14ac:dyDescent="0.2">
      <c r="B5325" t="s">
        <v>31</v>
      </c>
      <c r="C5325">
        <v>45</v>
      </c>
      <c r="E5325" t="s">
        <v>25</v>
      </c>
      <c r="F5325">
        <v>1367.27</v>
      </c>
      <c r="G5325">
        <v>11.9</v>
      </c>
      <c r="K5325">
        <v>0.1</v>
      </c>
      <c r="L5325">
        <v>7</v>
      </c>
      <c r="M5325">
        <v>105.4</v>
      </c>
    </row>
    <row r="5326" spans="2:13" x14ac:dyDescent="0.2">
      <c r="C5326" t="s">
        <v>27</v>
      </c>
    </row>
    <row r="5327" spans="2:13" x14ac:dyDescent="0.2">
      <c r="C5327" t="s">
        <v>28</v>
      </c>
      <c r="D5327" t="s">
        <v>16</v>
      </c>
      <c r="E5327" t="s">
        <v>29</v>
      </c>
      <c r="F5327" t="s">
        <v>18</v>
      </c>
    </row>
    <row r="5328" spans="2:13" x14ac:dyDescent="0.2">
      <c r="C5328" t="b">
        <v>0</v>
      </c>
      <c r="D5328">
        <v>1080.0899999999999</v>
      </c>
      <c r="E5328" t="s">
        <v>30</v>
      </c>
    </row>
    <row r="5329" spans="2:13" x14ac:dyDescent="0.2">
      <c r="C5329" t="b">
        <v>0</v>
      </c>
      <c r="D5329">
        <v>1400.13</v>
      </c>
      <c r="E5329" t="s">
        <v>30</v>
      </c>
    </row>
    <row r="5330" spans="2:13" x14ac:dyDescent="0.2">
      <c r="C5330" t="b">
        <v>0</v>
      </c>
      <c r="D5330">
        <v>1460.14</v>
      </c>
      <c r="E5330" t="s">
        <v>30</v>
      </c>
    </row>
    <row r="5331" spans="2:13" x14ac:dyDescent="0.2">
      <c r="C5331" t="b">
        <v>0</v>
      </c>
      <c r="D5331">
        <v>1400.14</v>
      </c>
      <c r="E5331" t="s">
        <v>30</v>
      </c>
    </row>
    <row r="5332" spans="2:13" x14ac:dyDescent="0.2">
      <c r="C5332" t="b">
        <v>0</v>
      </c>
      <c r="D5332">
        <v>1560.15</v>
      </c>
      <c r="E5332" t="s">
        <v>30</v>
      </c>
    </row>
    <row r="5333" spans="2:13" x14ac:dyDescent="0.2">
      <c r="C5333" t="b">
        <v>0</v>
      </c>
      <c r="D5333">
        <v>1450.14</v>
      </c>
      <c r="E5333" t="s">
        <v>30</v>
      </c>
    </row>
    <row r="5334" spans="2:13" x14ac:dyDescent="0.2">
      <c r="C5334" t="b">
        <v>0</v>
      </c>
      <c r="D5334">
        <v>1220.0899999999999</v>
      </c>
      <c r="E5334" t="s">
        <v>30</v>
      </c>
    </row>
    <row r="5335" spans="2:13" x14ac:dyDescent="0.2">
      <c r="B5335" t="s">
        <v>11</v>
      </c>
    </row>
    <row r="5336" spans="2:13" x14ac:dyDescent="0.2">
      <c r="B5336" t="s">
        <v>12</v>
      </c>
      <c r="C5336" t="s">
        <v>13</v>
      </c>
      <c r="D5336" t="s">
        <v>14</v>
      </c>
      <c r="E5336" t="s">
        <v>15</v>
      </c>
      <c r="F5336" t="s">
        <v>16</v>
      </c>
      <c r="G5336" t="s">
        <v>17</v>
      </c>
      <c r="H5336" t="s">
        <v>18</v>
      </c>
      <c r="I5336" t="s">
        <v>19</v>
      </c>
      <c r="J5336" t="s">
        <v>20</v>
      </c>
      <c r="K5336" t="s">
        <v>21</v>
      </c>
      <c r="L5336" t="s">
        <v>22</v>
      </c>
      <c r="M5336" t="s">
        <v>23</v>
      </c>
    </row>
    <row r="5337" spans="2:13" x14ac:dyDescent="0.2">
      <c r="B5337" t="s">
        <v>32</v>
      </c>
      <c r="C5337">
        <v>72</v>
      </c>
      <c r="E5337" t="s">
        <v>25</v>
      </c>
      <c r="F5337">
        <v>1360.12</v>
      </c>
      <c r="G5337">
        <v>7.7</v>
      </c>
      <c r="K5337">
        <v>0.1</v>
      </c>
      <c r="L5337">
        <v>7</v>
      </c>
      <c r="M5337">
        <v>98.6</v>
      </c>
    </row>
    <row r="5338" spans="2:13" x14ac:dyDescent="0.2">
      <c r="C5338" t="s">
        <v>27</v>
      </c>
    </row>
    <row r="5339" spans="2:13" x14ac:dyDescent="0.2">
      <c r="C5339" t="s">
        <v>28</v>
      </c>
      <c r="D5339" t="s">
        <v>16</v>
      </c>
      <c r="E5339" t="s">
        <v>29</v>
      </c>
      <c r="F5339" t="s">
        <v>18</v>
      </c>
    </row>
    <row r="5340" spans="2:13" x14ac:dyDescent="0.2">
      <c r="C5340" t="b">
        <v>0</v>
      </c>
      <c r="D5340">
        <v>1210.0899999999999</v>
      </c>
      <c r="E5340" t="s">
        <v>30</v>
      </c>
    </row>
    <row r="5341" spans="2:13" x14ac:dyDescent="0.2">
      <c r="C5341" t="b">
        <v>0</v>
      </c>
      <c r="D5341">
        <v>1460.13</v>
      </c>
      <c r="E5341" t="s">
        <v>30</v>
      </c>
    </row>
    <row r="5342" spans="2:13" x14ac:dyDescent="0.2">
      <c r="C5342" t="b">
        <v>0</v>
      </c>
      <c r="D5342">
        <v>1320.12</v>
      </c>
      <c r="E5342" t="s">
        <v>30</v>
      </c>
    </row>
    <row r="5343" spans="2:13" x14ac:dyDescent="0.2">
      <c r="C5343" t="b">
        <v>0</v>
      </c>
      <c r="D5343">
        <v>1350.11</v>
      </c>
      <c r="E5343" t="s">
        <v>30</v>
      </c>
    </row>
    <row r="5344" spans="2:13" x14ac:dyDescent="0.2">
      <c r="C5344" t="b">
        <v>0</v>
      </c>
      <c r="D5344">
        <v>1530.15</v>
      </c>
      <c r="E5344" t="s">
        <v>30</v>
      </c>
    </row>
    <row r="5345" spans="1:13" x14ac:dyDescent="0.2">
      <c r="C5345" t="b">
        <v>0</v>
      </c>
      <c r="D5345">
        <v>1310.1099999999999</v>
      </c>
      <c r="E5345" t="s">
        <v>30</v>
      </c>
    </row>
    <row r="5346" spans="1:13" x14ac:dyDescent="0.2">
      <c r="C5346" t="b">
        <v>0</v>
      </c>
      <c r="D5346">
        <v>1340.11</v>
      </c>
      <c r="E5346" t="s">
        <v>30</v>
      </c>
    </row>
    <row r="5347" spans="1:13" x14ac:dyDescent="0.2">
      <c r="B5347" t="s">
        <v>11</v>
      </c>
    </row>
    <row r="5348" spans="1:13" x14ac:dyDescent="0.2">
      <c r="B5348" t="s">
        <v>12</v>
      </c>
      <c r="C5348" t="s">
        <v>13</v>
      </c>
      <c r="D5348" t="s">
        <v>14</v>
      </c>
      <c r="E5348" t="s">
        <v>15</v>
      </c>
      <c r="F5348" t="s">
        <v>16</v>
      </c>
      <c r="G5348" t="s">
        <v>17</v>
      </c>
      <c r="H5348" t="s">
        <v>18</v>
      </c>
      <c r="I5348" t="s">
        <v>19</v>
      </c>
      <c r="J5348" t="s">
        <v>20</v>
      </c>
      <c r="K5348" t="s">
        <v>21</v>
      </c>
      <c r="L5348" t="s">
        <v>22</v>
      </c>
      <c r="M5348" t="s">
        <v>23</v>
      </c>
    </row>
    <row r="5349" spans="1:13" x14ac:dyDescent="0.2">
      <c r="B5349" t="s">
        <v>33</v>
      </c>
      <c r="C5349">
        <v>89</v>
      </c>
      <c r="E5349" t="s">
        <v>25</v>
      </c>
      <c r="F5349">
        <v>8188.44</v>
      </c>
      <c r="G5349">
        <v>9.1999999999999993</v>
      </c>
      <c r="K5349">
        <v>0.1</v>
      </c>
      <c r="L5349">
        <v>7</v>
      </c>
      <c r="M5349">
        <v>108.7</v>
      </c>
    </row>
    <row r="5350" spans="1:13" x14ac:dyDescent="0.2">
      <c r="C5350" t="s">
        <v>27</v>
      </c>
    </row>
    <row r="5351" spans="1:13" x14ac:dyDescent="0.2">
      <c r="C5351" t="s">
        <v>28</v>
      </c>
      <c r="D5351" t="s">
        <v>16</v>
      </c>
      <c r="E5351" t="s">
        <v>29</v>
      </c>
      <c r="F5351" t="s">
        <v>18</v>
      </c>
    </row>
    <row r="5352" spans="1:13" x14ac:dyDescent="0.2">
      <c r="C5352" t="b">
        <v>0</v>
      </c>
      <c r="D5352">
        <v>7272.16</v>
      </c>
      <c r="E5352" t="s">
        <v>30</v>
      </c>
    </row>
    <row r="5353" spans="1:13" x14ac:dyDescent="0.2">
      <c r="C5353" t="b">
        <v>0</v>
      </c>
      <c r="D5353">
        <v>7752.45</v>
      </c>
      <c r="E5353" t="s">
        <v>30</v>
      </c>
    </row>
    <row r="5354" spans="1:13" x14ac:dyDescent="0.2">
      <c r="C5354" t="b">
        <v>0</v>
      </c>
      <c r="D5354">
        <v>8332.7900000000009</v>
      </c>
      <c r="E5354" t="s">
        <v>30</v>
      </c>
    </row>
    <row r="5355" spans="1:13" x14ac:dyDescent="0.2">
      <c r="C5355" t="b">
        <v>0</v>
      </c>
      <c r="D5355">
        <v>9063.2900000000009</v>
      </c>
      <c r="E5355" t="s">
        <v>30</v>
      </c>
    </row>
    <row r="5356" spans="1:13" x14ac:dyDescent="0.2">
      <c r="C5356" t="b">
        <v>0</v>
      </c>
      <c r="D5356">
        <v>9183.3799999999992</v>
      </c>
      <c r="E5356" t="s">
        <v>30</v>
      </c>
    </row>
    <row r="5357" spans="1:13" x14ac:dyDescent="0.2">
      <c r="C5357" t="b">
        <v>0</v>
      </c>
      <c r="D5357">
        <v>8282.81</v>
      </c>
      <c r="E5357" t="s">
        <v>30</v>
      </c>
    </row>
    <row r="5358" spans="1:13" x14ac:dyDescent="0.2">
      <c r="C5358" t="b">
        <v>0</v>
      </c>
      <c r="D5358">
        <v>7432.21</v>
      </c>
      <c r="E5358" t="s">
        <v>30</v>
      </c>
    </row>
    <row r="5359" spans="1:13" x14ac:dyDescent="0.2">
      <c r="A5359" t="s">
        <v>0</v>
      </c>
    </row>
    <row r="5360" spans="1:13" x14ac:dyDescent="0.2">
      <c r="B5360" t="s">
        <v>1</v>
      </c>
      <c r="C5360" t="s">
        <v>2</v>
      </c>
      <c r="D5360" t="s">
        <v>3</v>
      </c>
      <c r="E5360" t="s">
        <v>4</v>
      </c>
      <c r="F5360" t="s">
        <v>5</v>
      </c>
      <c r="G5360" t="s">
        <v>6</v>
      </c>
    </row>
    <row r="5361" spans="2:13" x14ac:dyDescent="0.2">
      <c r="B5361" t="b">
        <v>0</v>
      </c>
      <c r="C5361" t="s">
        <v>368</v>
      </c>
      <c r="D5361" t="s">
        <v>369</v>
      </c>
      <c r="E5361" t="s">
        <v>9</v>
      </c>
      <c r="G5361" t="s">
        <v>194</v>
      </c>
    </row>
    <row r="5362" spans="2:13" x14ac:dyDescent="0.2">
      <c r="B5362" t="s">
        <v>11</v>
      </c>
    </row>
    <row r="5363" spans="2:13" x14ac:dyDescent="0.2">
      <c r="B5363" t="s">
        <v>12</v>
      </c>
      <c r="C5363" t="s">
        <v>13</v>
      </c>
      <c r="D5363" t="s">
        <v>14</v>
      </c>
      <c r="E5363" t="s">
        <v>15</v>
      </c>
      <c r="F5363" t="s">
        <v>16</v>
      </c>
      <c r="G5363" t="s">
        <v>17</v>
      </c>
      <c r="H5363" t="s">
        <v>18</v>
      </c>
      <c r="I5363" t="s">
        <v>19</v>
      </c>
      <c r="J5363" t="s">
        <v>20</v>
      </c>
      <c r="K5363" t="s">
        <v>21</v>
      </c>
      <c r="L5363" t="s">
        <v>22</v>
      </c>
      <c r="M5363" t="s">
        <v>23</v>
      </c>
    </row>
    <row r="5364" spans="2:13" x14ac:dyDescent="0.2">
      <c r="B5364" t="s">
        <v>24</v>
      </c>
      <c r="C5364">
        <v>59</v>
      </c>
      <c r="E5364" t="s">
        <v>25</v>
      </c>
      <c r="F5364">
        <v>218.58</v>
      </c>
      <c r="G5364">
        <v>16.399999999999999</v>
      </c>
      <c r="H5364">
        <v>0</v>
      </c>
      <c r="I5364" t="s">
        <v>26</v>
      </c>
      <c r="J5364">
        <v>19.899999999999999</v>
      </c>
      <c r="K5364">
        <v>0.1</v>
      </c>
      <c r="L5364">
        <v>7</v>
      </c>
    </row>
    <row r="5365" spans="2:13" x14ac:dyDescent="0.2">
      <c r="C5365" t="s">
        <v>27</v>
      </c>
    </row>
    <row r="5366" spans="2:13" x14ac:dyDescent="0.2">
      <c r="C5366" t="s">
        <v>28</v>
      </c>
      <c r="D5366" t="s">
        <v>16</v>
      </c>
      <c r="E5366" t="s">
        <v>29</v>
      </c>
      <c r="F5366" t="s">
        <v>18</v>
      </c>
    </row>
    <row r="5367" spans="2:13" x14ac:dyDescent="0.2">
      <c r="C5367" t="b">
        <v>0</v>
      </c>
      <c r="D5367">
        <v>230.01</v>
      </c>
      <c r="E5367" t="s">
        <v>30</v>
      </c>
      <c r="F5367">
        <v>0</v>
      </c>
    </row>
    <row r="5368" spans="2:13" x14ac:dyDescent="0.2">
      <c r="C5368" t="b">
        <v>0</v>
      </c>
      <c r="D5368">
        <v>210.01</v>
      </c>
      <c r="E5368" t="s">
        <v>30</v>
      </c>
      <c r="F5368">
        <v>0</v>
      </c>
    </row>
    <row r="5369" spans="2:13" x14ac:dyDescent="0.2">
      <c r="C5369" t="b">
        <v>0</v>
      </c>
      <c r="D5369">
        <v>250.01</v>
      </c>
      <c r="E5369" t="s">
        <v>30</v>
      </c>
      <c r="F5369">
        <v>0</v>
      </c>
    </row>
    <row r="5370" spans="2:13" x14ac:dyDescent="0.2">
      <c r="C5370" t="b">
        <v>0</v>
      </c>
      <c r="D5370">
        <v>160.01</v>
      </c>
      <c r="E5370" t="s">
        <v>30</v>
      </c>
      <c r="F5370">
        <v>0</v>
      </c>
    </row>
    <row r="5371" spans="2:13" x14ac:dyDescent="0.2">
      <c r="C5371" t="b">
        <v>0</v>
      </c>
      <c r="D5371">
        <v>210.01</v>
      </c>
      <c r="E5371" t="s">
        <v>30</v>
      </c>
      <c r="F5371">
        <v>0</v>
      </c>
    </row>
    <row r="5372" spans="2:13" x14ac:dyDescent="0.2">
      <c r="C5372" t="b">
        <v>0</v>
      </c>
      <c r="D5372">
        <v>270.01</v>
      </c>
      <c r="E5372" t="s">
        <v>30</v>
      </c>
      <c r="F5372">
        <v>0</v>
      </c>
    </row>
    <row r="5373" spans="2:13" x14ac:dyDescent="0.2">
      <c r="C5373" t="b">
        <v>0</v>
      </c>
      <c r="D5373">
        <v>200.01</v>
      </c>
      <c r="E5373" t="s">
        <v>30</v>
      </c>
      <c r="F5373">
        <v>0</v>
      </c>
    </row>
    <row r="5374" spans="2:13" x14ac:dyDescent="0.2">
      <c r="B5374" t="s">
        <v>11</v>
      </c>
    </row>
    <row r="5375" spans="2:13" x14ac:dyDescent="0.2">
      <c r="B5375" t="s">
        <v>12</v>
      </c>
      <c r="C5375" t="s">
        <v>13</v>
      </c>
      <c r="D5375" t="s">
        <v>14</v>
      </c>
      <c r="E5375" t="s">
        <v>15</v>
      </c>
      <c r="F5375" t="s">
        <v>16</v>
      </c>
      <c r="G5375" t="s">
        <v>17</v>
      </c>
      <c r="H5375" t="s">
        <v>18</v>
      </c>
      <c r="I5375" t="s">
        <v>19</v>
      </c>
      <c r="J5375" t="s">
        <v>20</v>
      </c>
      <c r="K5375" t="s">
        <v>21</v>
      </c>
      <c r="L5375" t="s">
        <v>22</v>
      </c>
      <c r="M5375" t="s">
        <v>23</v>
      </c>
    </row>
    <row r="5376" spans="2:13" x14ac:dyDescent="0.2">
      <c r="B5376" t="s">
        <v>31</v>
      </c>
      <c r="C5376">
        <v>45</v>
      </c>
      <c r="E5376" t="s">
        <v>25</v>
      </c>
      <c r="F5376">
        <v>1414.41</v>
      </c>
      <c r="G5376">
        <v>7.1</v>
      </c>
      <c r="K5376">
        <v>0.1</v>
      </c>
      <c r="L5376">
        <v>7</v>
      </c>
      <c r="M5376">
        <v>109</v>
      </c>
    </row>
    <row r="5377" spans="2:13" x14ac:dyDescent="0.2">
      <c r="C5377" t="s">
        <v>27</v>
      </c>
    </row>
    <row r="5378" spans="2:13" x14ac:dyDescent="0.2">
      <c r="C5378" t="s">
        <v>28</v>
      </c>
      <c r="D5378" t="s">
        <v>16</v>
      </c>
      <c r="E5378" t="s">
        <v>29</v>
      </c>
      <c r="F5378" t="s">
        <v>18</v>
      </c>
    </row>
    <row r="5379" spans="2:13" x14ac:dyDescent="0.2">
      <c r="C5379" t="b">
        <v>0</v>
      </c>
      <c r="D5379">
        <v>1280.0999999999999</v>
      </c>
      <c r="E5379" t="s">
        <v>30</v>
      </c>
    </row>
    <row r="5380" spans="2:13" x14ac:dyDescent="0.2">
      <c r="C5380" t="b">
        <v>0</v>
      </c>
      <c r="D5380">
        <v>1520.14</v>
      </c>
      <c r="E5380" t="s">
        <v>30</v>
      </c>
    </row>
    <row r="5381" spans="2:13" x14ac:dyDescent="0.2">
      <c r="C5381" t="b">
        <v>0</v>
      </c>
      <c r="D5381">
        <v>1510.13</v>
      </c>
      <c r="E5381" t="s">
        <v>30</v>
      </c>
    </row>
    <row r="5382" spans="2:13" x14ac:dyDescent="0.2">
      <c r="C5382" t="b">
        <v>0</v>
      </c>
      <c r="D5382">
        <v>1470.13</v>
      </c>
      <c r="E5382" t="s">
        <v>30</v>
      </c>
    </row>
    <row r="5383" spans="2:13" x14ac:dyDescent="0.2">
      <c r="C5383" t="b">
        <v>0</v>
      </c>
      <c r="D5383">
        <v>1280.1099999999999</v>
      </c>
      <c r="E5383" t="s">
        <v>30</v>
      </c>
    </row>
    <row r="5384" spans="2:13" x14ac:dyDescent="0.2">
      <c r="C5384" t="b">
        <v>0</v>
      </c>
      <c r="D5384">
        <v>1400.12</v>
      </c>
      <c r="E5384" t="s">
        <v>30</v>
      </c>
    </row>
    <row r="5385" spans="2:13" x14ac:dyDescent="0.2">
      <c r="C5385" t="b">
        <v>0</v>
      </c>
      <c r="D5385">
        <v>1440.13</v>
      </c>
      <c r="E5385" t="s">
        <v>30</v>
      </c>
    </row>
    <row r="5386" spans="2:13" x14ac:dyDescent="0.2">
      <c r="B5386" t="s">
        <v>11</v>
      </c>
    </row>
    <row r="5387" spans="2:13" x14ac:dyDescent="0.2">
      <c r="B5387" t="s">
        <v>12</v>
      </c>
      <c r="C5387" t="s">
        <v>13</v>
      </c>
      <c r="D5387" t="s">
        <v>14</v>
      </c>
      <c r="E5387" t="s">
        <v>15</v>
      </c>
      <c r="F5387" t="s">
        <v>16</v>
      </c>
      <c r="G5387" t="s">
        <v>17</v>
      </c>
      <c r="H5387" t="s">
        <v>18</v>
      </c>
      <c r="I5387" t="s">
        <v>19</v>
      </c>
      <c r="J5387" t="s">
        <v>20</v>
      </c>
      <c r="K5387" t="s">
        <v>21</v>
      </c>
      <c r="L5387" t="s">
        <v>22</v>
      </c>
      <c r="M5387" t="s">
        <v>23</v>
      </c>
    </row>
    <row r="5388" spans="2:13" x14ac:dyDescent="0.2">
      <c r="B5388" t="s">
        <v>32</v>
      </c>
      <c r="C5388">
        <v>72</v>
      </c>
      <c r="E5388" t="s">
        <v>25</v>
      </c>
      <c r="F5388">
        <v>1357.26</v>
      </c>
      <c r="G5388">
        <v>4</v>
      </c>
      <c r="K5388">
        <v>0.1</v>
      </c>
      <c r="L5388">
        <v>7</v>
      </c>
      <c r="M5388">
        <v>98.3</v>
      </c>
    </row>
    <row r="5389" spans="2:13" x14ac:dyDescent="0.2">
      <c r="C5389" t="s">
        <v>27</v>
      </c>
    </row>
    <row r="5390" spans="2:13" x14ac:dyDescent="0.2">
      <c r="C5390" t="s">
        <v>28</v>
      </c>
      <c r="D5390" t="s">
        <v>16</v>
      </c>
      <c r="E5390" t="s">
        <v>29</v>
      </c>
      <c r="F5390" t="s">
        <v>18</v>
      </c>
    </row>
    <row r="5391" spans="2:13" x14ac:dyDescent="0.2">
      <c r="C5391" t="b">
        <v>0</v>
      </c>
      <c r="D5391">
        <v>1280.1199999999999</v>
      </c>
      <c r="E5391" t="s">
        <v>30</v>
      </c>
    </row>
    <row r="5392" spans="2:13" x14ac:dyDescent="0.2">
      <c r="C5392" t="b">
        <v>0</v>
      </c>
      <c r="D5392">
        <v>1330.12</v>
      </c>
      <c r="E5392" t="s">
        <v>30</v>
      </c>
    </row>
    <row r="5393" spans="2:13" x14ac:dyDescent="0.2">
      <c r="C5393" t="b">
        <v>0</v>
      </c>
      <c r="D5393">
        <v>1450.12</v>
      </c>
      <c r="E5393" t="s">
        <v>30</v>
      </c>
    </row>
    <row r="5394" spans="2:13" x14ac:dyDescent="0.2">
      <c r="C5394" t="b">
        <v>0</v>
      </c>
      <c r="D5394">
        <v>1390.11</v>
      </c>
      <c r="E5394" t="s">
        <v>30</v>
      </c>
    </row>
    <row r="5395" spans="2:13" x14ac:dyDescent="0.2">
      <c r="C5395" t="b">
        <v>0</v>
      </c>
      <c r="D5395">
        <v>1340.12</v>
      </c>
      <c r="E5395" t="s">
        <v>30</v>
      </c>
    </row>
    <row r="5396" spans="2:13" x14ac:dyDescent="0.2">
      <c r="C5396" t="b">
        <v>0</v>
      </c>
      <c r="D5396">
        <v>1330.12</v>
      </c>
      <c r="E5396" t="s">
        <v>30</v>
      </c>
    </row>
    <row r="5397" spans="2:13" x14ac:dyDescent="0.2">
      <c r="C5397" t="b">
        <v>0</v>
      </c>
      <c r="D5397">
        <v>1380.11</v>
      </c>
      <c r="E5397" t="s">
        <v>30</v>
      </c>
    </row>
    <row r="5398" spans="2:13" x14ac:dyDescent="0.2">
      <c r="B5398" t="s">
        <v>11</v>
      </c>
    </row>
    <row r="5399" spans="2:13" x14ac:dyDescent="0.2">
      <c r="B5399" t="s">
        <v>12</v>
      </c>
      <c r="C5399" t="s">
        <v>13</v>
      </c>
      <c r="D5399" t="s">
        <v>14</v>
      </c>
      <c r="E5399" t="s">
        <v>15</v>
      </c>
      <c r="F5399" t="s">
        <v>16</v>
      </c>
      <c r="G5399" t="s">
        <v>17</v>
      </c>
      <c r="H5399" t="s">
        <v>18</v>
      </c>
      <c r="I5399" t="s">
        <v>19</v>
      </c>
      <c r="J5399" t="s">
        <v>20</v>
      </c>
      <c r="K5399" t="s">
        <v>21</v>
      </c>
      <c r="L5399" t="s">
        <v>22</v>
      </c>
      <c r="M5399" t="s">
        <v>23</v>
      </c>
    </row>
    <row r="5400" spans="2:13" x14ac:dyDescent="0.2">
      <c r="B5400" t="s">
        <v>33</v>
      </c>
      <c r="C5400">
        <v>89</v>
      </c>
      <c r="E5400" t="s">
        <v>25</v>
      </c>
      <c r="F5400">
        <v>7679.54</v>
      </c>
      <c r="G5400">
        <v>5.0999999999999996</v>
      </c>
      <c r="K5400">
        <v>0.1</v>
      </c>
      <c r="L5400">
        <v>7</v>
      </c>
      <c r="M5400">
        <v>102</v>
      </c>
    </row>
    <row r="5401" spans="2:13" x14ac:dyDescent="0.2">
      <c r="C5401" t="s">
        <v>27</v>
      </c>
    </row>
    <row r="5402" spans="2:13" x14ac:dyDescent="0.2">
      <c r="C5402" t="s">
        <v>28</v>
      </c>
      <c r="D5402" t="s">
        <v>16</v>
      </c>
      <c r="E5402" t="s">
        <v>29</v>
      </c>
      <c r="F5402" t="s">
        <v>18</v>
      </c>
    </row>
    <row r="5403" spans="2:13" x14ac:dyDescent="0.2">
      <c r="C5403" t="b">
        <v>0</v>
      </c>
      <c r="D5403">
        <v>7902.51</v>
      </c>
      <c r="E5403" t="s">
        <v>30</v>
      </c>
    </row>
    <row r="5404" spans="2:13" x14ac:dyDescent="0.2">
      <c r="C5404" t="b">
        <v>0</v>
      </c>
      <c r="D5404">
        <v>7762.43</v>
      </c>
      <c r="E5404" t="s">
        <v>30</v>
      </c>
    </row>
    <row r="5405" spans="2:13" x14ac:dyDescent="0.2">
      <c r="C5405" t="b">
        <v>0</v>
      </c>
      <c r="D5405">
        <v>7852.41</v>
      </c>
      <c r="E5405" t="s">
        <v>30</v>
      </c>
    </row>
    <row r="5406" spans="2:13" x14ac:dyDescent="0.2">
      <c r="C5406" t="b">
        <v>0</v>
      </c>
      <c r="D5406">
        <v>6881.9</v>
      </c>
      <c r="E5406" t="s">
        <v>30</v>
      </c>
    </row>
    <row r="5407" spans="2:13" x14ac:dyDescent="0.2">
      <c r="C5407" t="b">
        <v>0</v>
      </c>
      <c r="D5407">
        <v>7522.32</v>
      </c>
      <c r="E5407" t="s">
        <v>30</v>
      </c>
    </row>
    <row r="5408" spans="2:13" x14ac:dyDescent="0.2">
      <c r="C5408" t="b">
        <v>0</v>
      </c>
      <c r="D5408">
        <v>7742.48</v>
      </c>
      <c r="E5408" t="s">
        <v>30</v>
      </c>
    </row>
    <row r="5409" spans="1:13" x14ac:dyDescent="0.2">
      <c r="C5409" t="b">
        <v>0</v>
      </c>
      <c r="D5409">
        <v>8092.76</v>
      </c>
      <c r="E5409" t="s">
        <v>30</v>
      </c>
    </row>
    <row r="5410" spans="1:13" x14ac:dyDescent="0.2">
      <c r="A5410" t="s">
        <v>0</v>
      </c>
    </row>
    <row r="5411" spans="1:13" x14ac:dyDescent="0.2">
      <c r="B5411" t="s">
        <v>1</v>
      </c>
      <c r="C5411" t="s">
        <v>2</v>
      </c>
      <c r="D5411" t="s">
        <v>3</v>
      </c>
      <c r="E5411" t="s">
        <v>4</v>
      </c>
      <c r="F5411" t="s">
        <v>5</v>
      </c>
      <c r="G5411" t="s">
        <v>6</v>
      </c>
    </row>
    <row r="5412" spans="1:13" x14ac:dyDescent="0.2">
      <c r="B5412" t="b">
        <v>0</v>
      </c>
      <c r="C5412" t="s">
        <v>171</v>
      </c>
      <c r="D5412" t="s">
        <v>370</v>
      </c>
      <c r="E5412" t="s">
        <v>0</v>
      </c>
      <c r="G5412" t="s">
        <v>371</v>
      </c>
    </row>
    <row r="5413" spans="1:13" x14ac:dyDescent="0.2">
      <c r="B5413" t="s">
        <v>11</v>
      </c>
    </row>
    <row r="5414" spans="1:13" x14ac:dyDescent="0.2">
      <c r="B5414" t="s">
        <v>12</v>
      </c>
      <c r="C5414" t="s">
        <v>13</v>
      </c>
      <c r="D5414" t="s">
        <v>14</v>
      </c>
      <c r="E5414" t="s">
        <v>15</v>
      </c>
      <c r="F5414" t="s">
        <v>16</v>
      </c>
      <c r="G5414" t="s">
        <v>17</v>
      </c>
      <c r="H5414" t="s">
        <v>18</v>
      </c>
      <c r="I5414" t="s">
        <v>19</v>
      </c>
      <c r="J5414" t="s">
        <v>20</v>
      </c>
      <c r="K5414" t="s">
        <v>21</v>
      </c>
      <c r="L5414" t="s">
        <v>22</v>
      </c>
      <c r="M5414" t="s">
        <v>23</v>
      </c>
    </row>
    <row r="5415" spans="1:13" x14ac:dyDescent="0.2">
      <c r="B5415" t="s">
        <v>24</v>
      </c>
      <c r="C5415">
        <v>59</v>
      </c>
      <c r="E5415" t="s">
        <v>25</v>
      </c>
      <c r="F5415">
        <v>25735.64</v>
      </c>
      <c r="G5415">
        <v>2.7</v>
      </c>
      <c r="H5415">
        <v>8.0000000000000002E-3</v>
      </c>
      <c r="I5415" t="s">
        <v>26</v>
      </c>
      <c r="J5415">
        <v>2.7</v>
      </c>
      <c r="K5415">
        <v>0.1</v>
      </c>
      <c r="L5415">
        <v>7</v>
      </c>
    </row>
    <row r="5416" spans="1:13" x14ac:dyDescent="0.2">
      <c r="C5416" t="s">
        <v>27</v>
      </c>
    </row>
    <row r="5417" spans="1:13" x14ac:dyDescent="0.2">
      <c r="C5417" t="s">
        <v>28</v>
      </c>
      <c r="D5417" t="s">
        <v>16</v>
      </c>
      <c r="E5417" t="s">
        <v>29</v>
      </c>
      <c r="F5417" t="s">
        <v>18</v>
      </c>
    </row>
    <row r="5418" spans="1:13" x14ac:dyDescent="0.2">
      <c r="C5418" t="b">
        <v>0</v>
      </c>
      <c r="D5418">
        <v>26054.76</v>
      </c>
      <c r="E5418" t="s">
        <v>30</v>
      </c>
      <c r="F5418">
        <v>8.0000000000000002E-3</v>
      </c>
    </row>
    <row r="5419" spans="1:13" x14ac:dyDescent="0.2">
      <c r="C5419" t="b">
        <v>0</v>
      </c>
      <c r="D5419">
        <v>26555.61</v>
      </c>
      <c r="E5419" t="s">
        <v>30</v>
      </c>
      <c r="F5419">
        <v>8.0000000000000002E-3</v>
      </c>
    </row>
    <row r="5420" spans="1:13" x14ac:dyDescent="0.2">
      <c r="C5420" t="b">
        <v>0</v>
      </c>
      <c r="D5420">
        <v>25844.46</v>
      </c>
      <c r="E5420" t="s">
        <v>30</v>
      </c>
      <c r="F5420">
        <v>8.0000000000000002E-3</v>
      </c>
    </row>
    <row r="5421" spans="1:13" x14ac:dyDescent="0.2">
      <c r="C5421" t="b">
        <v>0</v>
      </c>
      <c r="D5421">
        <v>24431.96</v>
      </c>
      <c r="E5421" t="s">
        <v>30</v>
      </c>
      <c r="F5421">
        <v>8.0000000000000002E-3</v>
      </c>
    </row>
    <row r="5422" spans="1:13" x14ac:dyDescent="0.2">
      <c r="C5422" t="b">
        <v>0</v>
      </c>
      <c r="D5422">
        <v>25393.599999999999</v>
      </c>
      <c r="E5422" t="s">
        <v>30</v>
      </c>
      <c r="F5422">
        <v>8.0000000000000002E-3</v>
      </c>
    </row>
    <row r="5423" spans="1:13" x14ac:dyDescent="0.2">
      <c r="C5423" t="b">
        <v>0</v>
      </c>
      <c r="D5423">
        <v>26235.09</v>
      </c>
      <c r="E5423" t="s">
        <v>30</v>
      </c>
      <c r="F5423">
        <v>8.0000000000000002E-3</v>
      </c>
    </row>
    <row r="5424" spans="1:13" x14ac:dyDescent="0.2">
      <c r="C5424" t="b">
        <v>0</v>
      </c>
      <c r="D5424">
        <v>25634.02</v>
      </c>
      <c r="E5424" t="s">
        <v>30</v>
      </c>
      <c r="F5424">
        <v>8.0000000000000002E-3</v>
      </c>
    </row>
    <row r="5425" spans="2:13" x14ac:dyDescent="0.2">
      <c r="B5425" t="s">
        <v>11</v>
      </c>
    </row>
    <row r="5426" spans="2:13" x14ac:dyDescent="0.2">
      <c r="B5426" t="s">
        <v>12</v>
      </c>
      <c r="C5426" t="s">
        <v>13</v>
      </c>
      <c r="D5426" t="s">
        <v>14</v>
      </c>
      <c r="E5426" t="s">
        <v>15</v>
      </c>
      <c r="F5426" t="s">
        <v>16</v>
      </c>
      <c r="G5426" t="s">
        <v>17</v>
      </c>
      <c r="H5426" t="s">
        <v>18</v>
      </c>
      <c r="I5426" t="s">
        <v>19</v>
      </c>
      <c r="J5426" t="s">
        <v>20</v>
      </c>
      <c r="K5426" t="s">
        <v>21</v>
      </c>
      <c r="L5426" t="s">
        <v>22</v>
      </c>
      <c r="M5426" t="s">
        <v>23</v>
      </c>
    </row>
    <row r="5427" spans="2:13" x14ac:dyDescent="0.2">
      <c r="B5427" t="s">
        <v>31</v>
      </c>
      <c r="C5427">
        <v>45</v>
      </c>
      <c r="E5427" t="s">
        <v>25</v>
      </c>
      <c r="F5427">
        <v>1227.24</v>
      </c>
      <c r="G5427">
        <v>12.8</v>
      </c>
      <c r="K5427">
        <v>0.1</v>
      </c>
      <c r="L5427">
        <v>7</v>
      </c>
      <c r="M5427">
        <v>94.6</v>
      </c>
    </row>
    <row r="5428" spans="2:13" x14ac:dyDescent="0.2">
      <c r="C5428" t="s">
        <v>27</v>
      </c>
    </row>
    <row r="5429" spans="2:13" x14ac:dyDescent="0.2">
      <c r="C5429" t="s">
        <v>28</v>
      </c>
      <c r="D5429" t="s">
        <v>16</v>
      </c>
      <c r="E5429" t="s">
        <v>29</v>
      </c>
      <c r="F5429" t="s">
        <v>18</v>
      </c>
    </row>
    <row r="5430" spans="2:13" x14ac:dyDescent="0.2">
      <c r="C5430" t="b">
        <v>0</v>
      </c>
      <c r="D5430">
        <v>1480.12</v>
      </c>
      <c r="E5430" t="s">
        <v>30</v>
      </c>
    </row>
    <row r="5431" spans="2:13" x14ac:dyDescent="0.2">
      <c r="C5431" t="b">
        <v>0</v>
      </c>
      <c r="D5431">
        <v>1350.11</v>
      </c>
      <c r="E5431" t="s">
        <v>30</v>
      </c>
    </row>
    <row r="5432" spans="2:13" x14ac:dyDescent="0.2">
      <c r="C5432" t="b">
        <v>0</v>
      </c>
      <c r="D5432">
        <v>1210.1099999999999</v>
      </c>
      <c r="E5432" t="s">
        <v>30</v>
      </c>
    </row>
    <row r="5433" spans="2:13" x14ac:dyDescent="0.2">
      <c r="C5433" t="b">
        <v>0</v>
      </c>
      <c r="D5433">
        <v>1190.0899999999999</v>
      </c>
      <c r="E5433" t="s">
        <v>30</v>
      </c>
    </row>
    <row r="5434" spans="2:13" x14ac:dyDescent="0.2">
      <c r="C5434" t="b">
        <v>0</v>
      </c>
      <c r="D5434">
        <v>1120.08</v>
      </c>
      <c r="E5434" t="s">
        <v>30</v>
      </c>
    </row>
    <row r="5435" spans="2:13" x14ac:dyDescent="0.2">
      <c r="C5435" t="b">
        <v>0</v>
      </c>
      <c r="D5435">
        <v>1250.0999999999999</v>
      </c>
      <c r="E5435" t="s">
        <v>30</v>
      </c>
    </row>
    <row r="5436" spans="2:13" x14ac:dyDescent="0.2">
      <c r="C5436" t="b">
        <v>0</v>
      </c>
      <c r="D5436">
        <v>990.07</v>
      </c>
      <c r="E5436" t="s">
        <v>30</v>
      </c>
    </row>
    <row r="5437" spans="2:13" x14ac:dyDescent="0.2">
      <c r="B5437" t="s">
        <v>11</v>
      </c>
    </row>
    <row r="5438" spans="2:13" x14ac:dyDescent="0.2">
      <c r="B5438" t="s">
        <v>12</v>
      </c>
      <c r="C5438" t="s">
        <v>13</v>
      </c>
      <c r="D5438" t="s">
        <v>14</v>
      </c>
      <c r="E5438" t="s">
        <v>15</v>
      </c>
      <c r="F5438" t="s">
        <v>16</v>
      </c>
      <c r="G5438" t="s">
        <v>17</v>
      </c>
      <c r="H5438" t="s">
        <v>18</v>
      </c>
      <c r="I5438" t="s">
        <v>19</v>
      </c>
      <c r="J5438" t="s">
        <v>20</v>
      </c>
      <c r="K5438" t="s">
        <v>21</v>
      </c>
      <c r="L5438" t="s">
        <v>22</v>
      </c>
      <c r="M5438" t="s">
        <v>23</v>
      </c>
    </row>
    <row r="5439" spans="2:13" x14ac:dyDescent="0.2">
      <c r="B5439" t="s">
        <v>32</v>
      </c>
      <c r="C5439">
        <v>72</v>
      </c>
      <c r="E5439" t="s">
        <v>25</v>
      </c>
      <c r="F5439">
        <v>1201.53</v>
      </c>
      <c r="G5439">
        <v>5.8</v>
      </c>
      <c r="K5439">
        <v>0.1</v>
      </c>
      <c r="L5439">
        <v>7</v>
      </c>
      <c r="M5439">
        <v>87.1</v>
      </c>
    </row>
    <row r="5440" spans="2:13" x14ac:dyDescent="0.2">
      <c r="C5440" t="s">
        <v>27</v>
      </c>
    </row>
    <row r="5441" spans="2:13" x14ac:dyDescent="0.2">
      <c r="C5441" t="s">
        <v>28</v>
      </c>
      <c r="D5441" t="s">
        <v>16</v>
      </c>
      <c r="E5441" t="s">
        <v>29</v>
      </c>
      <c r="F5441" t="s">
        <v>18</v>
      </c>
    </row>
    <row r="5442" spans="2:13" x14ac:dyDescent="0.2">
      <c r="C5442" t="b">
        <v>0</v>
      </c>
      <c r="D5442">
        <v>1300.1099999999999</v>
      </c>
      <c r="E5442" t="s">
        <v>30</v>
      </c>
    </row>
    <row r="5443" spans="2:13" x14ac:dyDescent="0.2">
      <c r="C5443" t="b">
        <v>0</v>
      </c>
      <c r="D5443">
        <v>1230.1099999999999</v>
      </c>
      <c r="E5443" t="s">
        <v>30</v>
      </c>
    </row>
    <row r="5444" spans="2:13" x14ac:dyDescent="0.2">
      <c r="C5444" t="b">
        <v>0</v>
      </c>
      <c r="D5444">
        <v>1100.08</v>
      </c>
      <c r="E5444" t="s">
        <v>30</v>
      </c>
    </row>
    <row r="5445" spans="2:13" x14ac:dyDescent="0.2">
      <c r="C5445" t="b">
        <v>0</v>
      </c>
      <c r="D5445">
        <v>1130.0999999999999</v>
      </c>
      <c r="E5445" t="s">
        <v>30</v>
      </c>
    </row>
    <row r="5446" spans="2:13" x14ac:dyDescent="0.2">
      <c r="C5446" t="b">
        <v>0</v>
      </c>
      <c r="D5446">
        <v>1180.0899999999999</v>
      </c>
      <c r="E5446" t="s">
        <v>30</v>
      </c>
    </row>
    <row r="5447" spans="2:13" x14ac:dyDescent="0.2">
      <c r="C5447" t="b">
        <v>0</v>
      </c>
      <c r="D5447">
        <v>1240.0999999999999</v>
      </c>
      <c r="E5447" t="s">
        <v>30</v>
      </c>
    </row>
    <row r="5448" spans="2:13" x14ac:dyDescent="0.2">
      <c r="C5448" t="b">
        <v>0</v>
      </c>
      <c r="D5448">
        <v>1230.0999999999999</v>
      </c>
      <c r="E5448" t="s">
        <v>30</v>
      </c>
    </row>
    <row r="5449" spans="2:13" x14ac:dyDescent="0.2">
      <c r="B5449" t="s">
        <v>11</v>
      </c>
    </row>
    <row r="5450" spans="2:13" x14ac:dyDescent="0.2">
      <c r="B5450" t="s">
        <v>12</v>
      </c>
      <c r="C5450" t="s">
        <v>13</v>
      </c>
      <c r="D5450" t="s">
        <v>14</v>
      </c>
      <c r="E5450" t="s">
        <v>15</v>
      </c>
      <c r="F5450" t="s">
        <v>16</v>
      </c>
      <c r="G5450" t="s">
        <v>17</v>
      </c>
      <c r="H5450" t="s">
        <v>18</v>
      </c>
      <c r="I5450" t="s">
        <v>19</v>
      </c>
      <c r="J5450" t="s">
        <v>20</v>
      </c>
      <c r="K5450" t="s">
        <v>21</v>
      </c>
      <c r="L5450" t="s">
        <v>22</v>
      </c>
      <c r="M5450" t="s">
        <v>23</v>
      </c>
    </row>
    <row r="5451" spans="2:13" x14ac:dyDescent="0.2">
      <c r="B5451" t="s">
        <v>33</v>
      </c>
      <c r="C5451">
        <v>89</v>
      </c>
      <c r="E5451" t="s">
        <v>25</v>
      </c>
      <c r="F5451">
        <v>6721.88</v>
      </c>
      <c r="G5451">
        <v>8.9</v>
      </c>
      <c r="K5451">
        <v>0.1</v>
      </c>
      <c r="L5451">
        <v>7</v>
      </c>
      <c r="M5451">
        <v>89.2</v>
      </c>
    </row>
    <row r="5452" spans="2:13" x14ac:dyDescent="0.2">
      <c r="C5452" t="s">
        <v>27</v>
      </c>
    </row>
    <row r="5453" spans="2:13" x14ac:dyDescent="0.2">
      <c r="C5453" t="s">
        <v>28</v>
      </c>
      <c r="D5453" t="s">
        <v>16</v>
      </c>
      <c r="E5453" t="s">
        <v>29</v>
      </c>
      <c r="F5453" t="s">
        <v>18</v>
      </c>
    </row>
    <row r="5454" spans="2:13" x14ac:dyDescent="0.2">
      <c r="C5454" t="b">
        <v>0</v>
      </c>
      <c r="D5454">
        <v>7482.26</v>
      </c>
      <c r="E5454" t="s">
        <v>30</v>
      </c>
    </row>
    <row r="5455" spans="2:13" x14ac:dyDescent="0.2">
      <c r="C5455" t="b">
        <v>0</v>
      </c>
      <c r="D5455">
        <v>6911.94</v>
      </c>
      <c r="E5455" t="s">
        <v>30</v>
      </c>
    </row>
    <row r="5456" spans="2:13" x14ac:dyDescent="0.2">
      <c r="C5456" t="b">
        <v>0</v>
      </c>
      <c r="D5456">
        <v>7152.11</v>
      </c>
      <c r="E5456" t="s">
        <v>30</v>
      </c>
    </row>
    <row r="5457" spans="1:13" x14ac:dyDescent="0.2">
      <c r="C5457" t="b">
        <v>0</v>
      </c>
      <c r="D5457">
        <v>6771.95</v>
      </c>
      <c r="E5457" t="s">
        <v>30</v>
      </c>
    </row>
    <row r="5458" spans="1:13" x14ac:dyDescent="0.2">
      <c r="C5458" t="b">
        <v>0</v>
      </c>
      <c r="D5458">
        <v>5651.35</v>
      </c>
      <c r="E5458" t="s">
        <v>30</v>
      </c>
    </row>
    <row r="5459" spans="1:13" x14ac:dyDescent="0.2">
      <c r="C5459" t="b">
        <v>0</v>
      </c>
      <c r="D5459">
        <v>6301.67</v>
      </c>
      <c r="E5459" t="s">
        <v>30</v>
      </c>
    </row>
    <row r="5460" spans="1:13" x14ac:dyDescent="0.2">
      <c r="C5460" t="b">
        <v>0</v>
      </c>
      <c r="D5460">
        <v>6781.91</v>
      </c>
      <c r="E5460" t="s">
        <v>30</v>
      </c>
    </row>
    <row r="5461" spans="1:13" x14ac:dyDescent="0.2">
      <c r="A5461" t="s">
        <v>0</v>
      </c>
    </row>
    <row r="5462" spans="1:13" x14ac:dyDescent="0.2">
      <c r="B5462" t="s">
        <v>1</v>
      </c>
      <c r="C5462" t="s">
        <v>2</v>
      </c>
      <c r="D5462" t="s">
        <v>3</v>
      </c>
      <c r="E5462" t="s">
        <v>4</v>
      </c>
      <c r="F5462" t="s">
        <v>5</v>
      </c>
      <c r="G5462" t="s">
        <v>6</v>
      </c>
    </row>
    <row r="5463" spans="1:13" x14ac:dyDescent="0.2">
      <c r="A5463" t="s">
        <v>372</v>
      </c>
      <c r="B5463" t="b">
        <v>0</v>
      </c>
      <c r="C5463" t="s">
        <v>174</v>
      </c>
      <c r="D5463" t="s">
        <v>373</v>
      </c>
      <c r="E5463" t="s">
        <v>0</v>
      </c>
      <c r="G5463" t="s">
        <v>374</v>
      </c>
    </row>
    <row r="5464" spans="1:13" x14ac:dyDescent="0.2">
      <c r="B5464" t="s">
        <v>11</v>
      </c>
    </row>
    <row r="5465" spans="1:13" x14ac:dyDescent="0.2">
      <c r="B5465" t="s">
        <v>12</v>
      </c>
      <c r="C5465" t="s">
        <v>13</v>
      </c>
      <c r="D5465" t="s">
        <v>14</v>
      </c>
      <c r="E5465" t="s">
        <v>15</v>
      </c>
      <c r="F5465" t="s">
        <v>16</v>
      </c>
      <c r="G5465" t="s">
        <v>17</v>
      </c>
      <c r="H5465" t="s">
        <v>18</v>
      </c>
      <c r="I5465" t="s">
        <v>19</v>
      </c>
      <c r="J5465" t="s">
        <v>20</v>
      </c>
      <c r="K5465" t="s">
        <v>21</v>
      </c>
      <c r="L5465" t="s">
        <v>22</v>
      </c>
      <c r="M5465" t="s">
        <v>23</v>
      </c>
    </row>
    <row r="5466" spans="1:13" x14ac:dyDescent="0.2">
      <c r="B5466" t="s">
        <v>24</v>
      </c>
      <c r="C5466">
        <v>59</v>
      </c>
      <c r="E5466" t="s">
        <v>25</v>
      </c>
      <c r="F5466">
        <v>25981.88</v>
      </c>
      <c r="G5466">
        <v>1.8</v>
      </c>
      <c r="H5466">
        <v>8.0000000000000002E-3</v>
      </c>
      <c r="I5466" t="s">
        <v>26</v>
      </c>
      <c r="J5466">
        <v>1.8</v>
      </c>
      <c r="K5466">
        <v>0.1</v>
      </c>
      <c r="L5466">
        <v>7</v>
      </c>
    </row>
    <row r="5467" spans="1:13" x14ac:dyDescent="0.2">
      <c r="C5467" t="s">
        <v>27</v>
      </c>
    </row>
    <row r="5468" spans="1:13" x14ac:dyDescent="0.2">
      <c r="C5468" t="s">
        <v>28</v>
      </c>
      <c r="D5468" t="s">
        <v>16</v>
      </c>
      <c r="E5468" t="s">
        <v>29</v>
      </c>
      <c r="F5468" t="s">
        <v>18</v>
      </c>
    </row>
    <row r="5469" spans="1:13" x14ac:dyDescent="0.2">
      <c r="C5469" t="b">
        <v>0</v>
      </c>
      <c r="D5469">
        <v>25393.56</v>
      </c>
      <c r="E5469" t="s">
        <v>30</v>
      </c>
      <c r="F5469">
        <v>8.0000000000000002E-3</v>
      </c>
    </row>
    <row r="5470" spans="1:13" x14ac:dyDescent="0.2">
      <c r="C5470" t="b">
        <v>0</v>
      </c>
      <c r="D5470">
        <v>25694.12</v>
      </c>
      <c r="E5470" t="s">
        <v>30</v>
      </c>
      <c r="F5470">
        <v>8.0000000000000002E-3</v>
      </c>
    </row>
    <row r="5471" spans="1:13" x14ac:dyDescent="0.2">
      <c r="C5471" t="b">
        <v>0</v>
      </c>
      <c r="D5471">
        <v>26476.06</v>
      </c>
      <c r="E5471" t="s">
        <v>30</v>
      </c>
      <c r="F5471">
        <v>8.0000000000000002E-3</v>
      </c>
    </row>
    <row r="5472" spans="1:13" x14ac:dyDescent="0.2">
      <c r="C5472" t="b">
        <v>0</v>
      </c>
      <c r="D5472">
        <v>25423.49</v>
      </c>
      <c r="E5472" t="s">
        <v>30</v>
      </c>
      <c r="F5472">
        <v>8.0000000000000002E-3</v>
      </c>
    </row>
    <row r="5473" spans="2:13" x14ac:dyDescent="0.2">
      <c r="C5473" t="b">
        <v>0</v>
      </c>
      <c r="D5473">
        <v>26275.06</v>
      </c>
      <c r="E5473" t="s">
        <v>30</v>
      </c>
      <c r="F5473">
        <v>8.0000000000000002E-3</v>
      </c>
    </row>
    <row r="5474" spans="2:13" x14ac:dyDescent="0.2">
      <c r="C5474" t="b">
        <v>0</v>
      </c>
      <c r="D5474">
        <v>26415.39</v>
      </c>
      <c r="E5474" t="s">
        <v>30</v>
      </c>
      <c r="F5474">
        <v>8.0000000000000002E-3</v>
      </c>
    </row>
    <row r="5475" spans="2:13" x14ac:dyDescent="0.2">
      <c r="C5475" t="b">
        <v>0</v>
      </c>
      <c r="D5475">
        <v>26195.46</v>
      </c>
      <c r="E5475" t="s">
        <v>30</v>
      </c>
      <c r="F5475">
        <v>8.0000000000000002E-3</v>
      </c>
    </row>
    <row r="5476" spans="2:13" x14ac:dyDescent="0.2">
      <c r="B5476" t="s">
        <v>11</v>
      </c>
    </row>
    <row r="5477" spans="2:13" x14ac:dyDescent="0.2">
      <c r="B5477" t="s">
        <v>12</v>
      </c>
      <c r="C5477" t="s">
        <v>13</v>
      </c>
      <c r="D5477" t="s">
        <v>14</v>
      </c>
      <c r="E5477" t="s">
        <v>15</v>
      </c>
      <c r="F5477" t="s">
        <v>16</v>
      </c>
      <c r="G5477" t="s">
        <v>17</v>
      </c>
      <c r="H5477" t="s">
        <v>18</v>
      </c>
      <c r="I5477" t="s">
        <v>19</v>
      </c>
      <c r="J5477" t="s">
        <v>20</v>
      </c>
      <c r="K5477" t="s">
        <v>21</v>
      </c>
      <c r="L5477" t="s">
        <v>22</v>
      </c>
      <c r="M5477" t="s">
        <v>23</v>
      </c>
    </row>
    <row r="5478" spans="2:13" x14ac:dyDescent="0.2">
      <c r="B5478" t="s">
        <v>31</v>
      </c>
      <c r="C5478">
        <v>45</v>
      </c>
      <c r="E5478" t="s">
        <v>25</v>
      </c>
      <c r="F5478">
        <v>1568.71</v>
      </c>
      <c r="G5478">
        <v>6.9</v>
      </c>
      <c r="K5478">
        <v>0.1</v>
      </c>
      <c r="L5478">
        <v>7</v>
      </c>
      <c r="M5478">
        <v>120.9</v>
      </c>
    </row>
    <row r="5479" spans="2:13" x14ac:dyDescent="0.2">
      <c r="C5479" t="s">
        <v>27</v>
      </c>
    </row>
    <row r="5480" spans="2:13" x14ac:dyDescent="0.2">
      <c r="C5480" t="s">
        <v>28</v>
      </c>
      <c r="D5480" t="s">
        <v>16</v>
      </c>
      <c r="E5480" t="s">
        <v>29</v>
      </c>
      <c r="F5480" t="s">
        <v>18</v>
      </c>
    </row>
    <row r="5481" spans="2:13" x14ac:dyDescent="0.2">
      <c r="C5481" t="b">
        <v>0</v>
      </c>
      <c r="D5481">
        <v>1560.15</v>
      </c>
      <c r="E5481" t="s">
        <v>30</v>
      </c>
    </row>
    <row r="5482" spans="2:13" x14ac:dyDescent="0.2">
      <c r="C5482" t="b">
        <v>0</v>
      </c>
      <c r="D5482">
        <v>1780.17</v>
      </c>
      <c r="E5482" t="s">
        <v>30</v>
      </c>
    </row>
    <row r="5483" spans="2:13" x14ac:dyDescent="0.2">
      <c r="C5483" t="b">
        <v>0</v>
      </c>
      <c r="D5483">
        <v>1490.12</v>
      </c>
      <c r="E5483" t="s">
        <v>30</v>
      </c>
    </row>
    <row r="5484" spans="2:13" x14ac:dyDescent="0.2">
      <c r="C5484" t="b">
        <v>0</v>
      </c>
      <c r="D5484">
        <v>1460.12</v>
      </c>
      <c r="E5484" t="s">
        <v>30</v>
      </c>
    </row>
    <row r="5485" spans="2:13" x14ac:dyDescent="0.2">
      <c r="C5485" t="b">
        <v>0</v>
      </c>
      <c r="D5485">
        <v>1560.14</v>
      </c>
      <c r="E5485" t="s">
        <v>30</v>
      </c>
    </row>
    <row r="5486" spans="2:13" x14ac:dyDescent="0.2">
      <c r="C5486" t="b">
        <v>0</v>
      </c>
      <c r="D5486">
        <v>1630.15</v>
      </c>
      <c r="E5486" t="s">
        <v>30</v>
      </c>
    </row>
    <row r="5487" spans="2:13" x14ac:dyDescent="0.2">
      <c r="C5487" t="b">
        <v>0</v>
      </c>
      <c r="D5487">
        <v>1500.14</v>
      </c>
      <c r="E5487" t="s">
        <v>30</v>
      </c>
    </row>
    <row r="5488" spans="2:13" x14ac:dyDescent="0.2">
      <c r="B5488" t="s">
        <v>11</v>
      </c>
    </row>
    <row r="5489" spans="2:13" x14ac:dyDescent="0.2">
      <c r="B5489" t="s">
        <v>12</v>
      </c>
      <c r="C5489" t="s">
        <v>13</v>
      </c>
      <c r="D5489" t="s">
        <v>14</v>
      </c>
      <c r="E5489" t="s">
        <v>15</v>
      </c>
      <c r="F5489" t="s">
        <v>16</v>
      </c>
      <c r="G5489" t="s">
        <v>17</v>
      </c>
      <c r="H5489" t="s">
        <v>18</v>
      </c>
      <c r="I5489" t="s">
        <v>19</v>
      </c>
      <c r="J5489" t="s">
        <v>20</v>
      </c>
      <c r="K5489" t="s">
        <v>21</v>
      </c>
      <c r="L5489" t="s">
        <v>22</v>
      </c>
      <c r="M5489" t="s">
        <v>23</v>
      </c>
    </row>
    <row r="5490" spans="2:13" x14ac:dyDescent="0.2">
      <c r="B5490" t="s">
        <v>32</v>
      </c>
      <c r="C5490">
        <v>72</v>
      </c>
      <c r="E5490" t="s">
        <v>25</v>
      </c>
      <c r="F5490">
        <v>1524.43</v>
      </c>
      <c r="G5490">
        <v>6.2</v>
      </c>
      <c r="K5490">
        <v>0.1</v>
      </c>
      <c r="L5490">
        <v>7</v>
      </c>
      <c r="M5490">
        <v>110.5</v>
      </c>
    </row>
    <row r="5491" spans="2:13" x14ac:dyDescent="0.2">
      <c r="C5491" t="s">
        <v>27</v>
      </c>
    </row>
    <row r="5492" spans="2:13" x14ac:dyDescent="0.2">
      <c r="C5492" t="s">
        <v>28</v>
      </c>
      <c r="D5492" t="s">
        <v>16</v>
      </c>
      <c r="E5492" t="s">
        <v>29</v>
      </c>
      <c r="F5492" t="s">
        <v>18</v>
      </c>
    </row>
    <row r="5493" spans="2:13" x14ac:dyDescent="0.2">
      <c r="C5493" t="b">
        <v>0</v>
      </c>
      <c r="D5493">
        <v>1630.15</v>
      </c>
      <c r="E5493" t="s">
        <v>30</v>
      </c>
    </row>
    <row r="5494" spans="2:13" x14ac:dyDescent="0.2">
      <c r="C5494" t="b">
        <v>0</v>
      </c>
      <c r="D5494">
        <v>1610.15</v>
      </c>
      <c r="E5494" t="s">
        <v>30</v>
      </c>
    </row>
    <row r="5495" spans="2:13" x14ac:dyDescent="0.2">
      <c r="C5495" t="b">
        <v>0</v>
      </c>
      <c r="D5495">
        <v>1630.15</v>
      </c>
      <c r="E5495" t="s">
        <v>30</v>
      </c>
    </row>
    <row r="5496" spans="2:13" x14ac:dyDescent="0.2">
      <c r="C5496" t="b">
        <v>0</v>
      </c>
      <c r="D5496">
        <v>1480.13</v>
      </c>
      <c r="E5496" t="s">
        <v>30</v>
      </c>
    </row>
    <row r="5497" spans="2:13" x14ac:dyDescent="0.2">
      <c r="C5497" t="b">
        <v>0</v>
      </c>
      <c r="D5497">
        <v>1420.14</v>
      </c>
      <c r="E5497" t="s">
        <v>30</v>
      </c>
    </row>
    <row r="5498" spans="2:13" x14ac:dyDescent="0.2">
      <c r="C5498" t="b">
        <v>0</v>
      </c>
      <c r="D5498">
        <v>1430.13</v>
      </c>
      <c r="E5498" t="s">
        <v>30</v>
      </c>
    </row>
    <row r="5499" spans="2:13" x14ac:dyDescent="0.2">
      <c r="C5499" t="b">
        <v>0</v>
      </c>
      <c r="D5499">
        <v>1470.14</v>
      </c>
      <c r="E5499" t="s">
        <v>30</v>
      </c>
    </row>
    <row r="5500" spans="2:13" x14ac:dyDescent="0.2">
      <c r="B5500" t="s">
        <v>11</v>
      </c>
    </row>
    <row r="5501" spans="2:13" x14ac:dyDescent="0.2">
      <c r="B5501" t="s">
        <v>12</v>
      </c>
      <c r="C5501" t="s">
        <v>13</v>
      </c>
      <c r="D5501" t="s">
        <v>14</v>
      </c>
      <c r="E5501" t="s">
        <v>15</v>
      </c>
      <c r="F5501" t="s">
        <v>16</v>
      </c>
      <c r="G5501" t="s">
        <v>17</v>
      </c>
      <c r="H5501" t="s">
        <v>18</v>
      </c>
      <c r="I5501" t="s">
        <v>19</v>
      </c>
      <c r="J5501" t="s">
        <v>20</v>
      </c>
      <c r="K5501" t="s">
        <v>21</v>
      </c>
      <c r="L5501" t="s">
        <v>22</v>
      </c>
      <c r="M5501" t="s">
        <v>23</v>
      </c>
    </row>
    <row r="5502" spans="2:13" x14ac:dyDescent="0.2">
      <c r="B5502" t="s">
        <v>33</v>
      </c>
      <c r="C5502">
        <v>89</v>
      </c>
      <c r="E5502" t="s">
        <v>25</v>
      </c>
      <c r="F5502">
        <v>8301.31</v>
      </c>
      <c r="G5502">
        <v>3.7</v>
      </c>
      <c r="K5502">
        <v>0.1</v>
      </c>
      <c r="L5502">
        <v>7</v>
      </c>
      <c r="M5502">
        <v>110.2</v>
      </c>
    </row>
    <row r="5503" spans="2:13" x14ac:dyDescent="0.2">
      <c r="C5503" t="s">
        <v>27</v>
      </c>
    </row>
    <row r="5504" spans="2:13" x14ac:dyDescent="0.2">
      <c r="C5504" t="s">
        <v>28</v>
      </c>
      <c r="D5504" t="s">
        <v>16</v>
      </c>
      <c r="E5504" t="s">
        <v>29</v>
      </c>
      <c r="F5504" t="s">
        <v>18</v>
      </c>
    </row>
    <row r="5505" spans="1:13" x14ac:dyDescent="0.2">
      <c r="C5505" t="b">
        <v>0</v>
      </c>
      <c r="D5505">
        <v>8032.59</v>
      </c>
      <c r="E5505" t="s">
        <v>30</v>
      </c>
    </row>
    <row r="5506" spans="1:13" x14ac:dyDescent="0.2">
      <c r="C5506" t="b">
        <v>0</v>
      </c>
      <c r="D5506">
        <v>8442.8799999999992</v>
      </c>
      <c r="E5506" t="s">
        <v>30</v>
      </c>
    </row>
    <row r="5507" spans="1:13" x14ac:dyDescent="0.2">
      <c r="C5507" t="b">
        <v>0</v>
      </c>
      <c r="D5507">
        <v>8042.57</v>
      </c>
      <c r="E5507" t="s">
        <v>30</v>
      </c>
    </row>
    <row r="5508" spans="1:13" x14ac:dyDescent="0.2">
      <c r="C5508" t="b">
        <v>0</v>
      </c>
      <c r="D5508">
        <v>8372.75</v>
      </c>
      <c r="E5508" t="s">
        <v>30</v>
      </c>
    </row>
    <row r="5509" spans="1:13" x14ac:dyDescent="0.2">
      <c r="C5509" t="b">
        <v>0</v>
      </c>
      <c r="D5509">
        <v>8272.7000000000007</v>
      </c>
      <c r="E5509" t="s">
        <v>30</v>
      </c>
    </row>
    <row r="5510" spans="1:13" x14ac:dyDescent="0.2">
      <c r="C5510" t="b">
        <v>0</v>
      </c>
      <c r="D5510">
        <v>8883.11</v>
      </c>
      <c r="E5510" t="s">
        <v>30</v>
      </c>
    </row>
    <row r="5511" spans="1:13" x14ac:dyDescent="0.2">
      <c r="C5511" t="b">
        <v>0</v>
      </c>
      <c r="D5511">
        <v>8062.57</v>
      </c>
      <c r="E5511" t="s">
        <v>30</v>
      </c>
    </row>
    <row r="5512" spans="1:13" x14ac:dyDescent="0.2">
      <c r="A5512" t="s">
        <v>0</v>
      </c>
    </row>
    <row r="5513" spans="1:13" x14ac:dyDescent="0.2">
      <c r="B5513" t="s">
        <v>1</v>
      </c>
      <c r="C5513" t="s">
        <v>2</v>
      </c>
      <c r="D5513" t="s">
        <v>3</v>
      </c>
      <c r="E5513" t="s">
        <v>4</v>
      </c>
      <c r="F5513" t="s">
        <v>5</v>
      </c>
      <c r="G5513" t="s">
        <v>6</v>
      </c>
    </row>
    <row r="5514" spans="1:13" x14ac:dyDescent="0.2">
      <c r="A5514" t="s">
        <v>375</v>
      </c>
      <c r="B5514" t="b">
        <v>0</v>
      </c>
      <c r="C5514" t="s">
        <v>177</v>
      </c>
      <c r="D5514" t="s">
        <v>376</v>
      </c>
      <c r="E5514" t="s">
        <v>0</v>
      </c>
      <c r="G5514" t="s">
        <v>377</v>
      </c>
    </row>
    <row r="5515" spans="1:13" x14ac:dyDescent="0.2">
      <c r="B5515" t="s">
        <v>11</v>
      </c>
    </row>
    <row r="5516" spans="1:13" x14ac:dyDescent="0.2">
      <c r="B5516" t="s">
        <v>12</v>
      </c>
      <c r="C5516" t="s">
        <v>13</v>
      </c>
      <c r="D5516" t="s">
        <v>14</v>
      </c>
      <c r="E5516" t="s">
        <v>15</v>
      </c>
      <c r="F5516" t="s">
        <v>16</v>
      </c>
      <c r="G5516" t="s">
        <v>17</v>
      </c>
      <c r="H5516" t="s">
        <v>18</v>
      </c>
      <c r="I5516" t="s">
        <v>19</v>
      </c>
      <c r="J5516" t="s">
        <v>20</v>
      </c>
      <c r="K5516" t="s">
        <v>21</v>
      </c>
      <c r="L5516" t="s">
        <v>22</v>
      </c>
      <c r="M5516" t="s">
        <v>23</v>
      </c>
    </row>
    <row r="5517" spans="1:13" x14ac:dyDescent="0.2">
      <c r="B5517" t="s">
        <v>24</v>
      </c>
      <c r="C5517">
        <v>59</v>
      </c>
      <c r="E5517" t="s">
        <v>25</v>
      </c>
      <c r="F5517">
        <v>26311.15</v>
      </c>
      <c r="G5517">
        <v>1.6</v>
      </c>
      <c r="H5517">
        <v>8.0000000000000002E-3</v>
      </c>
      <c r="I5517" t="s">
        <v>26</v>
      </c>
      <c r="J5517">
        <v>1.6</v>
      </c>
      <c r="K5517">
        <v>0.1</v>
      </c>
      <c r="L5517">
        <v>7</v>
      </c>
    </row>
    <row r="5518" spans="1:13" x14ac:dyDescent="0.2">
      <c r="C5518" t="s">
        <v>27</v>
      </c>
    </row>
    <row r="5519" spans="1:13" x14ac:dyDescent="0.2">
      <c r="C5519" t="s">
        <v>28</v>
      </c>
      <c r="D5519" t="s">
        <v>16</v>
      </c>
      <c r="E5519" t="s">
        <v>29</v>
      </c>
      <c r="F5519" t="s">
        <v>18</v>
      </c>
    </row>
    <row r="5520" spans="1:13" x14ac:dyDescent="0.2">
      <c r="C5520" t="b">
        <v>0</v>
      </c>
      <c r="D5520">
        <v>26585.96</v>
      </c>
      <c r="E5520" t="s">
        <v>30</v>
      </c>
      <c r="F5520">
        <v>8.0000000000000002E-3</v>
      </c>
    </row>
    <row r="5521" spans="2:13" x14ac:dyDescent="0.2">
      <c r="C5521" t="b">
        <v>0</v>
      </c>
      <c r="D5521">
        <v>26335.7</v>
      </c>
      <c r="E5521" t="s">
        <v>30</v>
      </c>
      <c r="F5521">
        <v>8.0000000000000002E-3</v>
      </c>
    </row>
    <row r="5522" spans="2:13" x14ac:dyDescent="0.2">
      <c r="C5522" t="b">
        <v>0</v>
      </c>
      <c r="D5522">
        <v>26746.17</v>
      </c>
      <c r="E5522" t="s">
        <v>30</v>
      </c>
      <c r="F5522">
        <v>8.0000000000000002E-3</v>
      </c>
    </row>
    <row r="5523" spans="2:13" x14ac:dyDescent="0.2">
      <c r="C5523" t="b">
        <v>0</v>
      </c>
      <c r="D5523">
        <v>26676.02</v>
      </c>
      <c r="E5523" t="s">
        <v>30</v>
      </c>
      <c r="F5523">
        <v>8.0000000000000002E-3</v>
      </c>
    </row>
    <row r="5524" spans="2:13" x14ac:dyDescent="0.2">
      <c r="C5524" t="b">
        <v>0</v>
      </c>
      <c r="D5524">
        <v>25584.03</v>
      </c>
      <c r="E5524" t="s">
        <v>30</v>
      </c>
      <c r="F5524">
        <v>8.0000000000000002E-3</v>
      </c>
    </row>
    <row r="5525" spans="2:13" x14ac:dyDescent="0.2">
      <c r="C5525" t="b">
        <v>0</v>
      </c>
      <c r="D5525">
        <v>26014.66</v>
      </c>
      <c r="E5525" t="s">
        <v>30</v>
      </c>
      <c r="F5525">
        <v>8.0000000000000002E-3</v>
      </c>
    </row>
    <row r="5526" spans="2:13" x14ac:dyDescent="0.2">
      <c r="C5526" t="b">
        <v>0</v>
      </c>
      <c r="D5526">
        <v>26235.5</v>
      </c>
      <c r="E5526" t="s">
        <v>30</v>
      </c>
      <c r="F5526">
        <v>8.0000000000000002E-3</v>
      </c>
    </row>
    <row r="5527" spans="2:13" x14ac:dyDescent="0.2">
      <c r="B5527" t="s">
        <v>11</v>
      </c>
    </row>
    <row r="5528" spans="2:13" x14ac:dyDescent="0.2">
      <c r="B5528" t="s">
        <v>12</v>
      </c>
      <c r="C5528" t="s">
        <v>13</v>
      </c>
      <c r="D5528" t="s">
        <v>14</v>
      </c>
      <c r="E5528" t="s">
        <v>15</v>
      </c>
      <c r="F5528" t="s">
        <v>16</v>
      </c>
      <c r="G5528" t="s">
        <v>17</v>
      </c>
      <c r="H5528" t="s">
        <v>18</v>
      </c>
      <c r="I5528" t="s">
        <v>19</v>
      </c>
      <c r="J5528" t="s">
        <v>20</v>
      </c>
      <c r="K5528" t="s">
        <v>21</v>
      </c>
      <c r="L5528" t="s">
        <v>22</v>
      </c>
      <c r="M5528" t="s">
        <v>23</v>
      </c>
    </row>
    <row r="5529" spans="2:13" x14ac:dyDescent="0.2">
      <c r="B5529" t="s">
        <v>31</v>
      </c>
      <c r="C5529">
        <v>45</v>
      </c>
      <c r="E5529" t="s">
        <v>25</v>
      </c>
      <c r="F5529">
        <v>1727.31</v>
      </c>
      <c r="G5529">
        <v>9.3000000000000007</v>
      </c>
      <c r="K5529">
        <v>0.1</v>
      </c>
      <c r="L5529">
        <v>7</v>
      </c>
      <c r="M5529">
        <v>133.19999999999999</v>
      </c>
    </row>
    <row r="5530" spans="2:13" x14ac:dyDescent="0.2">
      <c r="C5530" t="s">
        <v>27</v>
      </c>
    </row>
    <row r="5531" spans="2:13" x14ac:dyDescent="0.2">
      <c r="C5531" t="s">
        <v>28</v>
      </c>
      <c r="D5531" t="s">
        <v>16</v>
      </c>
      <c r="E5531" t="s">
        <v>29</v>
      </c>
      <c r="F5531" t="s">
        <v>18</v>
      </c>
    </row>
    <row r="5532" spans="2:13" x14ac:dyDescent="0.2">
      <c r="C5532" t="b">
        <v>0</v>
      </c>
      <c r="D5532">
        <v>1900.2</v>
      </c>
      <c r="E5532" t="s">
        <v>30</v>
      </c>
    </row>
    <row r="5533" spans="2:13" x14ac:dyDescent="0.2">
      <c r="C5533" t="b">
        <v>0</v>
      </c>
      <c r="D5533">
        <v>1840.18</v>
      </c>
      <c r="E5533" t="s">
        <v>30</v>
      </c>
    </row>
    <row r="5534" spans="2:13" x14ac:dyDescent="0.2">
      <c r="C5534" t="b">
        <v>0</v>
      </c>
      <c r="D5534">
        <v>1620.15</v>
      </c>
      <c r="E5534" t="s">
        <v>30</v>
      </c>
    </row>
    <row r="5535" spans="2:13" x14ac:dyDescent="0.2">
      <c r="C5535" t="b">
        <v>0</v>
      </c>
      <c r="D5535">
        <v>1680.15</v>
      </c>
      <c r="E5535" t="s">
        <v>30</v>
      </c>
    </row>
    <row r="5536" spans="2:13" x14ac:dyDescent="0.2">
      <c r="C5536" t="b">
        <v>0</v>
      </c>
      <c r="D5536">
        <v>1900.19</v>
      </c>
      <c r="E5536" t="s">
        <v>30</v>
      </c>
    </row>
    <row r="5537" spans="2:13" x14ac:dyDescent="0.2">
      <c r="C5537" t="b">
        <v>0</v>
      </c>
      <c r="D5537">
        <v>1470.13</v>
      </c>
      <c r="E5537" t="s">
        <v>30</v>
      </c>
    </row>
    <row r="5538" spans="2:13" x14ac:dyDescent="0.2">
      <c r="C5538" t="b">
        <v>0</v>
      </c>
      <c r="D5538">
        <v>1680.16</v>
      </c>
      <c r="E5538" t="s">
        <v>30</v>
      </c>
    </row>
    <row r="5539" spans="2:13" x14ac:dyDescent="0.2">
      <c r="B5539" t="s">
        <v>11</v>
      </c>
    </row>
    <row r="5540" spans="2:13" x14ac:dyDescent="0.2">
      <c r="B5540" t="s">
        <v>12</v>
      </c>
      <c r="C5540" t="s">
        <v>13</v>
      </c>
      <c r="D5540" t="s">
        <v>14</v>
      </c>
      <c r="E5540" t="s">
        <v>15</v>
      </c>
      <c r="F5540" t="s">
        <v>16</v>
      </c>
      <c r="G5540" t="s">
        <v>17</v>
      </c>
      <c r="H5540" t="s">
        <v>18</v>
      </c>
      <c r="I5540" t="s">
        <v>19</v>
      </c>
      <c r="J5540" t="s">
        <v>20</v>
      </c>
      <c r="K5540" t="s">
        <v>21</v>
      </c>
      <c r="L5540" t="s">
        <v>22</v>
      </c>
      <c r="M5540" t="s">
        <v>23</v>
      </c>
    </row>
    <row r="5541" spans="2:13" x14ac:dyDescent="0.2">
      <c r="B5541" t="s">
        <v>32</v>
      </c>
      <c r="C5541">
        <v>72</v>
      </c>
      <c r="E5541" t="s">
        <v>25</v>
      </c>
      <c r="F5541">
        <v>1511.57</v>
      </c>
      <c r="G5541">
        <v>8.1999999999999993</v>
      </c>
      <c r="K5541">
        <v>0.1</v>
      </c>
      <c r="L5541">
        <v>7</v>
      </c>
      <c r="M5541">
        <v>109.5</v>
      </c>
    </row>
    <row r="5542" spans="2:13" x14ac:dyDescent="0.2">
      <c r="C5542" t="s">
        <v>27</v>
      </c>
    </row>
    <row r="5543" spans="2:13" x14ac:dyDescent="0.2">
      <c r="C5543" t="s">
        <v>28</v>
      </c>
      <c r="D5543" t="s">
        <v>16</v>
      </c>
      <c r="E5543" t="s">
        <v>29</v>
      </c>
      <c r="F5543" t="s">
        <v>18</v>
      </c>
    </row>
    <row r="5544" spans="2:13" x14ac:dyDescent="0.2">
      <c r="C5544" t="b">
        <v>0</v>
      </c>
      <c r="D5544">
        <v>1320.11</v>
      </c>
      <c r="E5544" t="s">
        <v>30</v>
      </c>
    </row>
    <row r="5545" spans="2:13" x14ac:dyDescent="0.2">
      <c r="C5545" t="b">
        <v>0</v>
      </c>
      <c r="D5545">
        <v>1580.15</v>
      </c>
      <c r="E5545" t="s">
        <v>30</v>
      </c>
    </row>
    <row r="5546" spans="2:13" x14ac:dyDescent="0.2">
      <c r="C5546" t="b">
        <v>0</v>
      </c>
      <c r="D5546">
        <v>1390.12</v>
      </c>
      <c r="E5546" t="s">
        <v>30</v>
      </c>
    </row>
    <row r="5547" spans="2:13" x14ac:dyDescent="0.2">
      <c r="C5547" t="b">
        <v>0</v>
      </c>
      <c r="D5547">
        <v>1560.14</v>
      </c>
      <c r="E5547" t="s">
        <v>30</v>
      </c>
    </row>
    <row r="5548" spans="2:13" x14ac:dyDescent="0.2">
      <c r="C5548" t="b">
        <v>0</v>
      </c>
      <c r="D5548">
        <v>1660.17</v>
      </c>
      <c r="E5548" t="s">
        <v>30</v>
      </c>
    </row>
    <row r="5549" spans="2:13" x14ac:dyDescent="0.2">
      <c r="C5549" t="b">
        <v>0</v>
      </c>
      <c r="D5549">
        <v>1460.13</v>
      </c>
      <c r="E5549" t="s">
        <v>30</v>
      </c>
    </row>
    <row r="5550" spans="2:13" x14ac:dyDescent="0.2">
      <c r="C5550" t="b">
        <v>0</v>
      </c>
      <c r="D5550">
        <v>1610.15</v>
      </c>
      <c r="E5550" t="s">
        <v>30</v>
      </c>
    </row>
    <row r="5551" spans="2:13" x14ac:dyDescent="0.2">
      <c r="B5551" t="s">
        <v>11</v>
      </c>
    </row>
    <row r="5552" spans="2:13" x14ac:dyDescent="0.2">
      <c r="B5552" t="s">
        <v>12</v>
      </c>
      <c r="C5552" t="s">
        <v>13</v>
      </c>
      <c r="D5552" t="s">
        <v>14</v>
      </c>
      <c r="E5552" t="s">
        <v>15</v>
      </c>
      <c r="F5552" t="s">
        <v>16</v>
      </c>
      <c r="G5552" t="s">
        <v>17</v>
      </c>
      <c r="H5552" t="s">
        <v>18</v>
      </c>
      <c r="I5552" t="s">
        <v>19</v>
      </c>
      <c r="J5552" t="s">
        <v>20</v>
      </c>
      <c r="K5552" t="s">
        <v>21</v>
      </c>
      <c r="L5552" t="s">
        <v>22</v>
      </c>
      <c r="M5552" t="s">
        <v>23</v>
      </c>
    </row>
    <row r="5553" spans="1:13" x14ac:dyDescent="0.2">
      <c r="B5553" t="s">
        <v>33</v>
      </c>
      <c r="C5553">
        <v>89</v>
      </c>
      <c r="E5553" t="s">
        <v>25</v>
      </c>
      <c r="F5553">
        <v>9390.68</v>
      </c>
      <c r="G5553">
        <v>5.2</v>
      </c>
      <c r="K5553">
        <v>0.1</v>
      </c>
      <c r="L5553">
        <v>7</v>
      </c>
      <c r="M5553">
        <v>124.7</v>
      </c>
    </row>
    <row r="5554" spans="1:13" x14ac:dyDescent="0.2">
      <c r="C5554" t="s">
        <v>27</v>
      </c>
    </row>
    <row r="5555" spans="1:13" x14ac:dyDescent="0.2">
      <c r="C5555" t="s">
        <v>28</v>
      </c>
      <c r="D5555" t="s">
        <v>16</v>
      </c>
      <c r="E5555" t="s">
        <v>29</v>
      </c>
      <c r="F5555" t="s">
        <v>18</v>
      </c>
    </row>
    <row r="5556" spans="1:13" x14ac:dyDescent="0.2">
      <c r="C5556" t="b">
        <v>0</v>
      </c>
      <c r="D5556">
        <v>8873.15</v>
      </c>
      <c r="E5556" t="s">
        <v>30</v>
      </c>
    </row>
    <row r="5557" spans="1:13" x14ac:dyDescent="0.2">
      <c r="C5557" t="b">
        <v>0</v>
      </c>
      <c r="D5557">
        <v>8663.0400000000009</v>
      </c>
      <c r="E5557" t="s">
        <v>30</v>
      </c>
    </row>
    <row r="5558" spans="1:13" x14ac:dyDescent="0.2">
      <c r="C5558" t="b">
        <v>0</v>
      </c>
      <c r="D5558">
        <v>9843.85</v>
      </c>
      <c r="E5558" t="s">
        <v>30</v>
      </c>
    </row>
    <row r="5559" spans="1:13" x14ac:dyDescent="0.2">
      <c r="C5559" t="b">
        <v>0</v>
      </c>
      <c r="D5559">
        <v>9223.3799999999992</v>
      </c>
      <c r="E5559" t="s">
        <v>30</v>
      </c>
    </row>
    <row r="5560" spans="1:13" x14ac:dyDescent="0.2">
      <c r="C5560" t="b">
        <v>0</v>
      </c>
      <c r="D5560">
        <v>9763.83</v>
      </c>
      <c r="E5560" t="s">
        <v>30</v>
      </c>
    </row>
    <row r="5561" spans="1:13" x14ac:dyDescent="0.2">
      <c r="C5561" t="b">
        <v>0</v>
      </c>
      <c r="D5561">
        <v>9443.6</v>
      </c>
      <c r="E5561" t="s">
        <v>30</v>
      </c>
    </row>
    <row r="5562" spans="1:13" x14ac:dyDescent="0.2">
      <c r="C5562" t="b">
        <v>0</v>
      </c>
      <c r="D5562">
        <v>9923.89</v>
      </c>
      <c r="E5562" t="s">
        <v>30</v>
      </c>
    </row>
    <row r="5563" spans="1:13" x14ac:dyDescent="0.2">
      <c r="A5563" t="s">
        <v>0</v>
      </c>
    </row>
    <row r="5564" spans="1:13" x14ac:dyDescent="0.2">
      <c r="B5564" t="s">
        <v>1</v>
      </c>
      <c r="C5564" t="s">
        <v>2</v>
      </c>
      <c r="D5564" t="s">
        <v>3</v>
      </c>
      <c r="E5564" t="s">
        <v>4</v>
      </c>
      <c r="F5564" t="s">
        <v>5</v>
      </c>
      <c r="G5564" t="s">
        <v>6</v>
      </c>
    </row>
    <row r="5565" spans="1:13" x14ac:dyDescent="0.2">
      <c r="B5565" t="b">
        <v>0</v>
      </c>
      <c r="C5565" t="s">
        <v>180</v>
      </c>
      <c r="D5565" t="s">
        <v>378</v>
      </c>
      <c r="E5565" t="s">
        <v>0</v>
      </c>
      <c r="G5565" t="s">
        <v>379</v>
      </c>
    </row>
    <row r="5566" spans="1:13" x14ac:dyDescent="0.2">
      <c r="B5566" t="s">
        <v>11</v>
      </c>
    </row>
    <row r="5567" spans="1:13" x14ac:dyDescent="0.2">
      <c r="B5567" t="s">
        <v>12</v>
      </c>
      <c r="C5567" t="s">
        <v>13</v>
      </c>
      <c r="D5567" t="s">
        <v>14</v>
      </c>
      <c r="E5567" t="s">
        <v>15</v>
      </c>
      <c r="F5567" t="s">
        <v>16</v>
      </c>
      <c r="G5567" t="s">
        <v>17</v>
      </c>
      <c r="H5567" t="s">
        <v>18</v>
      </c>
      <c r="I5567" t="s">
        <v>19</v>
      </c>
      <c r="J5567" t="s">
        <v>20</v>
      </c>
      <c r="K5567" t="s">
        <v>21</v>
      </c>
      <c r="L5567" t="s">
        <v>22</v>
      </c>
      <c r="M5567" t="s">
        <v>23</v>
      </c>
    </row>
    <row r="5568" spans="1:13" x14ac:dyDescent="0.2">
      <c r="B5568" t="s">
        <v>24</v>
      </c>
      <c r="C5568">
        <v>59</v>
      </c>
      <c r="E5568" t="s">
        <v>25</v>
      </c>
      <c r="F5568">
        <v>26202.09</v>
      </c>
      <c r="G5568">
        <v>1.9</v>
      </c>
      <c r="H5568">
        <v>8.0000000000000002E-3</v>
      </c>
      <c r="I5568" t="s">
        <v>26</v>
      </c>
      <c r="J5568">
        <v>1.9</v>
      </c>
      <c r="K5568">
        <v>0.1</v>
      </c>
      <c r="L5568">
        <v>7</v>
      </c>
    </row>
    <row r="5569" spans="2:13" x14ac:dyDescent="0.2">
      <c r="C5569" t="s">
        <v>27</v>
      </c>
    </row>
    <row r="5570" spans="2:13" x14ac:dyDescent="0.2">
      <c r="C5570" t="s">
        <v>28</v>
      </c>
      <c r="D5570" t="s">
        <v>16</v>
      </c>
      <c r="E5570" t="s">
        <v>29</v>
      </c>
      <c r="F5570" t="s">
        <v>18</v>
      </c>
    </row>
    <row r="5571" spans="2:13" x14ac:dyDescent="0.2">
      <c r="C5571" t="b">
        <v>0</v>
      </c>
      <c r="D5571">
        <v>25974.35</v>
      </c>
      <c r="E5571" t="s">
        <v>30</v>
      </c>
      <c r="F5571">
        <v>8.0000000000000002E-3</v>
      </c>
    </row>
    <row r="5572" spans="2:13" x14ac:dyDescent="0.2">
      <c r="C5572" t="b">
        <v>0</v>
      </c>
      <c r="D5572">
        <v>26415.33</v>
      </c>
      <c r="E5572" t="s">
        <v>30</v>
      </c>
      <c r="F5572">
        <v>8.0000000000000002E-3</v>
      </c>
    </row>
    <row r="5573" spans="2:13" x14ac:dyDescent="0.2">
      <c r="C5573" t="b">
        <v>0</v>
      </c>
      <c r="D5573">
        <v>25854.42</v>
      </c>
      <c r="E5573" t="s">
        <v>30</v>
      </c>
      <c r="F5573">
        <v>8.0000000000000002E-3</v>
      </c>
    </row>
    <row r="5574" spans="2:13" x14ac:dyDescent="0.2">
      <c r="C5574" t="b">
        <v>0</v>
      </c>
      <c r="D5574">
        <v>27056.65</v>
      </c>
      <c r="E5574" t="s">
        <v>30</v>
      </c>
      <c r="F5574">
        <v>8.0000000000000002E-3</v>
      </c>
    </row>
    <row r="5575" spans="2:13" x14ac:dyDescent="0.2">
      <c r="C5575" t="b">
        <v>0</v>
      </c>
      <c r="D5575">
        <v>26545.56</v>
      </c>
      <c r="E5575" t="s">
        <v>30</v>
      </c>
      <c r="F5575">
        <v>8.0000000000000002E-3</v>
      </c>
    </row>
    <row r="5576" spans="2:13" x14ac:dyDescent="0.2">
      <c r="C5576" t="b">
        <v>0</v>
      </c>
      <c r="D5576">
        <v>25874.36</v>
      </c>
      <c r="E5576" t="s">
        <v>30</v>
      </c>
      <c r="F5576">
        <v>8.0000000000000002E-3</v>
      </c>
    </row>
    <row r="5577" spans="2:13" x14ac:dyDescent="0.2">
      <c r="C5577" t="b">
        <v>0</v>
      </c>
      <c r="D5577">
        <v>25693.94</v>
      </c>
      <c r="E5577" t="s">
        <v>30</v>
      </c>
      <c r="F5577">
        <v>8.0000000000000002E-3</v>
      </c>
    </row>
    <row r="5578" spans="2:13" x14ac:dyDescent="0.2">
      <c r="B5578" t="s">
        <v>11</v>
      </c>
    </row>
    <row r="5579" spans="2:13" x14ac:dyDescent="0.2">
      <c r="B5579" t="s">
        <v>12</v>
      </c>
      <c r="C5579" t="s">
        <v>13</v>
      </c>
      <c r="D5579" t="s">
        <v>14</v>
      </c>
      <c r="E5579" t="s">
        <v>15</v>
      </c>
      <c r="F5579" t="s">
        <v>16</v>
      </c>
      <c r="G5579" t="s">
        <v>17</v>
      </c>
      <c r="H5579" t="s">
        <v>18</v>
      </c>
      <c r="I5579" t="s">
        <v>19</v>
      </c>
      <c r="J5579" t="s">
        <v>20</v>
      </c>
      <c r="K5579" t="s">
        <v>21</v>
      </c>
      <c r="L5579" t="s">
        <v>22</v>
      </c>
      <c r="M5579" t="s">
        <v>23</v>
      </c>
    </row>
    <row r="5580" spans="2:13" x14ac:dyDescent="0.2">
      <c r="B5580" t="s">
        <v>31</v>
      </c>
      <c r="C5580">
        <v>45</v>
      </c>
      <c r="E5580" t="s">
        <v>25</v>
      </c>
      <c r="F5580">
        <v>1505.85</v>
      </c>
      <c r="G5580">
        <v>14.8</v>
      </c>
      <c r="K5580">
        <v>0.1</v>
      </c>
      <c r="L5580">
        <v>7</v>
      </c>
      <c r="M5580">
        <v>116.1</v>
      </c>
    </row>
    <row r="5581" spans="2:13" x14ac:dyDescent="0.2">
      <c r="C5581" t="s">
        <v>27</v>
      </c>
    </row>
    <row r="5582" spans="2:13" x14ac:dyDescent="0.2">
      <c r="C5582" t="s">
        <v>28</v>
      </c>
      <c r="D5582" t="s">
        <v>16</v>
      </c>
      <c r="E5582" t="s">
        <v>29</v>
      </c>
      <c r="F5582" t="s">
        <v>18</v>
      </c>
    </row>
    <row r="5583" spans="2:13" x14ac:dyDescent="0.2">
      <c r="C5583" t="b">
        <v>0</v>
      </c>
      <c r="D5583">
        <v>1470.13</v>
      </c>
      <c r="E5583" t="s">
        <v>30</v>
      </c>
    </row>
    <row r="5584" spans="2:13" x14ac:dyDescent="0.2">
      <c r="C5584" t="b">
        <v>0</v>
      </c>
      <c r="D5584">
        <v>1490.12</v>
      </c>
      <c r="E5584" t="s">
        <v>30</v>
      </c>
    </row>
    <row r="5585" spans="2:13" x14ac:dyDescent="0.2">
      <c r="C5585" t="b">
        <v>0</v>
      </c>
      <c r="D5585">
        <v>1330.1</v>
      </c>
      <c r="E5585" t="s">
        <v>30</v>
      </c>
    </row>
    <row r="5586" spans="2:13" x14ac:dyDescent="0.2">
      <c r="C5586" t="b">
        <v>0</v>
      </c>
      <c r="D5586">
        <v>1810.19</v>
      </c>
      <c r="E5586" t="s">
        <v>30</v>
      </c>
    </row>
    <row r="5587" spans="2:13" x14ac:dyDescent="0.2">
      <c r="C5587" t="b">
        <v>0</v>
      </c>
      <c r="D5587">
        <v>1550.14</v>
      </c>
      <c r="E5587" t="s">
        <v>30</v>
      </c>
    </row>
    <row r="5588" spans="2:13" x14ac:dyDescent="0.2">
      <c r="C5588" t="b">
        <v>0</v>
      </c>
      <c r="D5588">
        <v>1160.0899999999999</v>
      </c>
      <c r="E5588" t="s">
        <v>30</v>
      </c>
    </row>
    <row r="5589" spans="2:13" x14ac:dyDescent="0.2">
      <c r="C5589" t="b">
        <v>0</v>
      </c>
      <c r="D5589">
        <v>1730.17</v>
      </c>
      <c r="E5589" t="s">
        <v>30</v>
      </c>
    </row>
    <row r="5590" spans="2:13" x14ac:dyDescent="0.2">
      <c r="B5590" t="s">
        <v>11</v>
      </c>
    </row>
    <row r="5591" spans="2:13" x14ac:dyDescent="0.2">
      <c r="B5591" t="s">
        <v>12</v>
      </c>
      <c r="C5591" t="s">
        <v>13</v>
      </c>
      <c r="D5591" t="s">
        <v>14</v>
      </c>
      <c r="E5591" t="s">
        <v>15</v>
      </c>
      <c r="F5591" t="s">
        <v>16</v>
      </c>
      <c r="G5591" t="s">
        <v>17</v>
      </c>
      <c r="H5591" t="s">
        <v>18</v>
      </c>
      <c r="I5591" t="s">
        <v>19</v>
      </c>
      <c r="J5591" t="s">
        <v>20</v>
      </c>
      <c r="K5591" t="s">
        <v>21</v>
      </c>
      <c r="L5591" t="s">
        <v>22</v>
      </c>
      <c r="M5591" t="s">
        <v>23</v>
      </c>
    </row>
    <row r="5592" spans="2:13" x14ac:dyDescent="0.2">
      <c r="B5592" t="s">
        <v>32</v>
      </c>
      <c r="C5592">
        <v>72</v>
      </c>
      <c r="E5592" t="s">
        <v>25</v>
      </c>
      <c r="F5592">
        <v>1372.97</v>
      </c>
      <c r="G5592">
        <v>9.9</v>
      </c>
      <c r="K5592">
        <v>0.1</v>
      </c>
      <c r="L5592">
        <v>7</v>
      </c>
      <c r="M5592">
        <v>99.5</v>
      </c>
    </row>
    <row r="5593" spans="2:13" x14ac:dyDescent="0.2">
      <c r="C5593" t="s">
        <v>27</v>
      </c>
    </row>
    <row r="5594" spans="2:13" x14ac:dyDescent="0.2">
      <c r="C5594" t="s">
        <v>28</v>
      </c>
      <c r="D5594" t="s">
        <v>16</v>
      </c>
      <c r="E5594" t="s">
        <v>29</v>
      </c>
      <c r="F5594" t="s">
        <v>18</v>
      </c>
    </row>
    <row r="5595" spans="2:13" x14ac:dyDescent="0.2">
      <c r="C5595" t="b">
        <v>0</v>
      </c>
      <c r="D5595">
        <v>1200.0899999999999</v>
      </c>
      <c r="E5595" t="s">
        <v>30</v>
      </c>
    </row>
    <row r="5596" spans="2:13" x14ac:dyDescent="0.2">
      <c r="C5596" t="b">
        <v>0</v>
      </c>
      <c r="D5596">
        <v>1430.13</v>
      </c>
      <c r="E5596" t="s">
        <v>30</v>
      </c>
    </row>
    <row r="5597" spans="2:13" x14ac:dyDescent="0.2">
      <c r="C5597" t="b">
        <v>0</v>
      </c>
      <c r="D5597">
        <v>1410.12</v>
      </c>
      <c r="E5597" t="s">
        <v>30</v>
      </c>
    </row>
    <row r="5598" spans="2:13" x14ac:dyDescent="0.2">
      <c r="C5598" t="b">
        <v>0</v>
      </c>
      <c r="D5598">
        <v>1300.0999999999999</v>
      </c>
      <c r="E5598" t="s">
        <v>30</v>
      </c>
    </row>
    <row r="5599" spans="2:13" x14ac:dyDescent="0.2">
      <c r="C5599" t="b">
        <v>0</v>
      </c>
      <c r="D5599">
        <v>1490.12</v>
      </c>
      <c r="E5599" t="s">
        <v>30</v>
      </c>
    </row>
    <row r="5600" spans="2:13" x14ac:dyDescent="0.2">
      <c r="C5600" t="b">
        <v>0</v>
      </c>
      <c r="D5600">
        <v>1560.14</v>
      </c>
      <c r="E5600" t="s">
        <v>30</v>
      </c>
    </row>
    <row r="5601" spans="1:13" x14ac:dyDescent="0.2">
      <c r="C5601" t="b">
        <v>0</v>
      </c>
      <c r="D5601">
        <v>1220.0899999999999</v>
      </c>
      <c r="E5601" t="s">
        <v>30</v>
      </c>
    </row>
    <row r="5602" spans="1:13" x14ac:dyDescent="0.2">
      <c r="B5602" t="s">
        <v>11</v>
      </c>
    </row>
    <row r="5603" spans="1:13" x14ac:dyDescent="0.2">
      <c r="B5603" t="s">
        <v>12</v>
      </c>
      <c r="C5603" t="s">
        <v>13</v>
      </c>
      <c r="D5603" t="s">
        <v>14</v>
      </c>
      <c r="E5603" t="s">
        <v>15</v>
      </c>
      <c r="F5603" t="s">
        <v>16</v>
      </c>
      <c r="G5603" t="s">
        <v>17</v>
      </c>
      <c r="H5603" t="s">
        <v>18</v>
      </c>
      <c r="I5603" t="s">
        <v>19</v>
      </c>
      <c r="J5603" t="s">
        <v>20</v>
      </c>
      <c r="K5603" t="s">
        <v>21</v>
      </c>
      <c r="L5603" t="s">
        <v>22</v>
      </c>
      <c r="M5603" t="s">
        <v>23</v>
      </c>
    </row>
    <row r="5604" spans="1:13" x14ac:dyDescent="0.2">
      <c r="B5604" t="s">
        <v>33</v>
      </c>
      <c r="C5604">
        <v>89</v>
      </c>
      <c r="E5604" t="s">
        <v>25</v>
      </c>
      <c r="F5604">
        <v>7309.33</v>
      </c>
      <c r="G5604">
        <v>7.7</v>
      </c>
      <c r="K5604">
        <v>0.1</v>
      </c>
      <c r="L5604">
        <v>7</v>
      </c>
      <c r="M5604">
        <v>97</v>
      </c>
    </row>
    <row r="5605" spans="1:13" x14ac:dyDescent="0.2">
      <c r="C5605" t="s">
        <v>27</v>
      </c>
    </row>
    <row r="5606" spans="1:13" x14ac:dyDescent="0.2">
      <c r="C5606" t="s">
        <v>28</v>
      </c>
      <c r="D5606" t="s">
        <v>16</v>
      </c>
      <c r="E5606" t="s">
        <v>29</v>
      </c>
      <c r="F5606" t="s">
        <v>18</v>
      </c>
    </row>
    <row r="5607" spans="1:13" x14ac:dyDescent="0.2">
      <c r="C5607" t="b">
        <v>0</v>
      </c>
      <c r="D5607">
        <v>6671.82</v>
      </c>
      <c r="E5607" t="s">
        <v>30</v>
      </c>
    </row>
    <row r="5608" spans="1:13" x14ac:dyDescent="0.2">
      <c r="C5608" t="b">
        <v>0</v>
      </c>
      <c r="D5608">
        <v>7041.99</v>
      </c>
      <c r="E5608" t="s">
        <v>30</v>
      </c>
    </row>
    <row r="5609" spans="1:13" x14ac:dyDescent="0.2">
      <c r="C5609" t="b">
        <v>0</v>
      </c>
      <c r="D5609">
        <v>6982.05</v>
      </c>
      <c r="E5609" t="s">
        <v>30</v>
      </c>
    </row>
    <row r="5610" spans="1:13" x14ac:dyDescent="0.2">
      <c r="C5610" t="b">
        <v>0</v>
      </c>
      <c r="D5610">
        <v>7082.01</v>
      </c>
      <c r="E5610" t="s">
        <v>30</v>
      </c>
    </row>
    <row r="5611" spans="1:13" x14ac:dyDescent="0.2">
      <c r="C5611" t="b">
        <v>0</v>
      </c>
      <c r="D5611">
        <v>8122.68</v>
      </c>
      <c r="E5611" t="s">
        <v>30</v>
      </c>
    </row>
    <row r="5612" spans="1:13" x14ac:dyDescent="0.2">
      <c r="C5612" t="b">
        <v>0</v>
      </c>
      <c r="D5612">
        <v>7182.15</v>
      </c>
      <c r="E5612" t="s">
        <v>30</v>
      </c>
    </row>
    <row r="5613" spans="1:13" x14ac:dyDescent="0.2">
      <c r="C5613" t="b">
        <v>0</v>
      </c>
      <c r="D5613">
        <v>8082.6</v>
      </c>
      <c r="E5613" t="s">
        <v>30</v>
      </c>
    </row>
    <row r="5614" spans="1:13" x14ac:dyDescent="0.2">
      <c r="A5614" t="s">
        <v>0</v>
      </c>
    </row>
    <row r="5615" spans="1:13" x14ac:dyDescent="0.2">
      <c r="B5615" t="s">
        <v>1</v>
      </c>
      <c r="C5615" t="s">
        <v>2</v>
      </c>
      <c r="D5615" t="s">
        <v>3</v>
      </c>
      <c r="E5615" t="s">
        <v>4</v>
      </c>
      <c r="F5615" t="s">
        <v>5</v>
      </c>
      <c r="G5615" t="s">
        <v>6</v>
      </c>
    </row>
    <row r="5616" spans="1:13" x14ac:dyDescent="0.2">
      <c r="A5616" t="s">
        <v>380</v>
      </c>
      <c r="B5616" t="b">
        <v>0</v>
      </c>
      <c r="C5616" t="s">
        <v>183</v>
      </c>
      <c r="D5616" t="s">
        <v>381</v>
      </c>
      <c r="E5616" t="s">
        <v>0</v>
      </c>
      <c r="G5616" t="s">
        <v>382</v>
      </c>
    </row>
    <row r="5617" spans="2:13" x14ac:dyDescent="0.2">
      <c r="B5617" t="s">
        <v>11</v>
      </c>
    </row>
    <row r="5618" spans="2:13" x14ac:dyDescent="0.2">
      <c r="B5618" t="s">
        <v>12</v>
      </c>
      <c r="C5618" t="s">
        <v>13</v>
      </c>
      <c r="D5618" t="s">
        <v>14</v>
      </c>
      <c r="E5618" t="s">
        <v>15</v>
      </c>
      <c r="F5618" t="s">
        <v>16</v>
      </c>
      <c r="G5618" t="s">
        <v>17</v>
      </c>
      <c r="H5618" t="s">
        <v>18</v>
      </c>
      <c r="I5618" t="s">
        <v>19</v>
      </c>
      <c r="J5618" t="s">
        <v>20</v>
      </c>
      <c r="K5618" t="s">
        <v>21</v>
      </c>
      <c r="L5618" t="s">
        <v>22</v>
      </c>
      <c r="M5618" t="s">
        <v>23</v>
      </c>
    </row>
    <row r="5619" spans="2:13" x14ac:dyDescent="0.2">
      <c r="B5619" t="s">
        <v>24</v>
      </c>
      <c r="C5619">
        <v>59</v>
      </c>
      <c r="E5619" t="s">
        <v>25</v>
      </c>
      <c r="F5619">
        <v>52646.3</v>
      </c>
      <c r="G5619">
        <v>1.9</v>
      </c>
      <c r="H5619">
        <v>1.6E-2</v>
      </c>
      <c r="I5619" t="s">
        <v>26</v>
      </c>
      <c r="J5619">
        <v>1.9</v>
      </c>
      <c r="K5619">
        <v>0.1</v>
      </c>
      <c r="L5619">
        <v>7</v>
      </c>
    </row>
    <row r="5620" spans="2:13" x14ac:dyDescent="0.2">
      <c r="C5620" t="s">
        <v>27</v>
      </c>
    </row>
    <row r="5621" spans="2:13" x14ac:dyDescent="0.2">
      <c r="C5621" t="s">
        <v>28</v>
      </c>
      <c r="D5621" t="s">
        <v>16</v>
      </c>
      <c r="E5621" t="s">
        <v>29</v>
      </c>
      <c r="F5621" t="s">
        <v>18</v>
      </c>
    </row>
    <row r="5622" spans="2:13" x14ac:dyDescent="0.2">
      <c r="C5622" t="b">
        <v>0</v>
      </c>
      <c r="D5622">
        <v>53873.58</v>
      </c>
      <c r="E5622" t="s">
        <v>30</v>
      </c>
      <c r="F5622">
        <v>1.7000000000000001E-2</v>
      </c>
    </row>
    <row r="5623" spans="2:13" x14ac:dyDescent="0.2">
      <c r="C5623" t="b">
        <v>0</v>
      </c>
      <c r="D5623">
        <v>51805.56</v>
      </c>
      <c r="E5623" t="s">
        <v>30</v>
      </c>
      <c r="F5623">
        <v>1.6E-2</v>
      </c>
    </row>
    <row r="5624" spans="2:13" x14ac:dyDescent="0.2">
      <c r="C5624" t="b">
        <v>0</v>
      </c>
      <c r="D5624">
        <v>53733.85</v>
      </c>
      <c r="E5624" t="s">
        <v>30</v>
      </c>
      <c r="F5624">
        <v>1.7000000000000001E-2</v>
      </c>
    </row>
    <row r="5625" spans="2:13" x14ac:dyDescent="0.2">
      <c r="C5625" t="b">
        <v>0</v>
      </c>
      <c r="D5625">
        <v>51775.44</v>
      </c>
      <c r="E5625" t="s">
        <v>30</v>
      </c>
      <c r="F5625">
        <v>1.6E-2</v>
      </c>
    </row>
    <row r="5626" spans="2:13" x14ac:dyDescent="0.2">
      <c r="C5626" t="b">
        <v>0</v>
      </c>
      <c r="D5626">
        <v>52799.89</v>
      </c>
      <c r="E5626" t="s">
        <v>30</v>
      </c>
      <c r="F5626">
        <v>1.6E-2</v>
      </c>
    </row>
    <row r="5627" spans="2:13" x14ac:dyDescent="0.2">
      <c r="C5627" t="b">
        <v>0</v>
      </c>
      <c r="D5627">
        <v>51394.69</v>
      </c>
      <c r="E5627" t="s">
        <v>30</v>
      </c>
      <c r="F5627">
        <v>1.6E-2</v>
      </c>
    </row>
    <row r="5628" spans="2:13" x14ac:dyDescent="0.2">
      <c r="C5628" t="b">
        <v>0</v>
      </c>
      <c r="D5628">
        <v>53141.1</v>
      </c>
      <c r="E5628" t="s">
        <v>30</v>
      </c>
      <c r="F5628">
        <v>1.6E-2</v>
      </c>
    </row>
    <row r="5629" spans="2:13" x14ac:dyDescent="0.2">
      <c r="B5629" t="s">
        <v>11</v>
      </c>
    </row>
    <row r="5630" spans="2:13" x14ac:dyDescent="0.2">
      <c r="B5630" t="s">
        <v>12</v>
      </c>
      <c r="C5630" t="s">
        <v>13</v>
      </c>
      <c r="D5630" t="s">
        <v>14</v>
      </c>
      <c r="E5630" t="s">
        <v>15</v>
      </c>
      <c r="F5630" t="s">
        <v>16</v>
      </c>
      <c r="G5630" t="s">
        <v>17</v>
      </c>
      <c r="H5630" t="s">
        <v>18</v>
      </c>
      <c r="I5630" t="s">
        <v>19</v>
      </c>
      <c r="J5630" t="s">
        <v>20</v>
      </c>
      <c r="K5630" t="s">
        <v>21</v>
      </c>
      <c r="L5630" t="s">
        <v>22</v>
      </c>
      <c r="M5630" t="s">
        <v>23</v>
      </c>
    </row>
    <row r="5631" spans="2:13" x14ac:dyDescent="0.2">
      <c r="B5631" t="s">
        <v>31</v>
      </c>
      <c r="C5631">
        <v>45</v>
      </c>
      <c r="E5631" t="s">
        <v>25</v>
      </c>
      <c r="F5631">
        <v>1723.02</v>
      </c>
      <c r="G5631">
        <v>8.6</v>
      </c>
      <c r="K5631">
        <v>0.1</v>
      </c>
      <c r="L5631">
        <v>7</v>
      </c>
      <c r="M5631">
        <v>132.80000000000001</v>
      </c>
    </row>
    <row r="5632" spans="2:13" x14ac:dyDescent="0.2">
      <c r="C5632" t="s">
        <v>27</v>
      </c>
    </row>
    <row r="5633" spans="2:13" x14ac:dyDescent="0.2">
      <c r="C5633" t="s">
        <v>28</v>
      </c>
      <c r="D5633" t="s">
        <v>16</v>
      </c>
      <c r="E5633" t="s">
        <v>29</v>
      </c>
      <c r="F5633" t="s">
        <v>18</v>
      </c>
    </row>
    <row r="5634" spans="2:13" x14ac:dyDescent="0.2">
      <c r="C5634" t="b">
        <v>0</v>
      </c>
      <c r="D5634">
        <v>1810.19</v>
      </c>
      <c r="E5634" t="s">
        <v>30</v>
      </c>
    </row>
    <row r="5635" spans="2:13" x14ac:dyDescent="0.2">
      <c r="C5635" t="b">
        <v>0</v>
      </c>
      <c r="D5635">
        <v>1450.12</v>
      </c>
      <c r="E5635" t="s">
        <v>30</v>
      </c>
    </row>
    <row r="5636" spans="2:13" x14ac:dyDescent="0.2">
      <c r="C5636" t="b">
        <v>0</v>
      </c>
      <c r="D5636">
        <v>1840.19</v>
      </c>
      <c r="E5636" t="s">
        <v>30</v>
      </c>
    </row>
    <row r="5637" spans="2:13" x14ac:dyDescent="0.2">
      <c r="C5637" t="b">
        <v>0</v>
      </c>
      <c r="D5637">
        <v>1600.15</v>
      </c>
      <c r="E5637" t="s">
        <v>30</v>
      </c>
    </row>
    <row r="5638" spans="2:13" x14ac:dyDescent="0.2">
      <c r="C5638" t="b">
        <v>0</v>
      </c>
      <c r="D5638">
        <v>1810.18</v>
      </c>
      <c r="E5638" t="s">
        <v>30</v>
      </c>
    </row>
    <row r="5639" spans="2:13" x14ac:dyDescent="0.2">
      <c r="C5639" t="b">
        <v>0</v>
      </c>
      <c r="D5639">
        <v>1840.17</v>
      </c>
      <c r="E5639" t="s">
        <v>30</v>
      </c>
    </row>
    <row r="5640" spans="2:13" x14ac:dyDescent="0.2">
      <c r="C5640" t="b">
        <v>0</v>
      </c>
      <c r="D5640">
        <v>1710.16</v>
      </c>
      <c r="E5640" t="s">
        <v>30</v>
      </c>
    </row>
    <row r="5641" spans="2:13" x14ac:dyDescent="0.2">
      <c r="B5641" t="s">
        <v>11</v>
      </c>
    </row>
    <row r="5642" spans="2:13" x14ac:dyDescent="0.2">
      <c r="B5642" t="s">
        <v>12</v>
      </c>
      <c r="C5642" t="s">
        <v>13</v>
      </c>
      <c r="D5642" t="s">
        <v>14</v>
      </c>
      <c r="E5642" t="s">
        <v>15</v>
      </c>
      <c r="F5642" t="s">
        <v>16</v>
      </c>
      <c r="G5642" t="s">
        <v>17</v>
      </c>
      <c r="H5642" t="s">
        <v>18</v>
      </c>
      <c r="I5642" t="s">
        <v>19</v>
      </c>
      <c r="J5642" t="s">
        <v>20</v>
      </c>
      <c r="K5642" t="s">
        <v>21</v>
      </c>
      <c r="L5642" t="s">
        <v>22</v>
      </c>
      <c r="M5642" t="s">
        <v>23</v>
      </c>
    </row>
    <row r="5643" spans="2:13" x14ac:dyDescent="0.2">
      <c r="B5643" t="s">
        <v>32</v>
      </c>
      <c r="C5643">
        <v>72</v>
      </c>
      <c r="E5643" t="s">
        <v>25</v>
      </c>
      <c r="F5643">
        <v>1381.55</v>
      </c>
      <c r="G5643">
        <v>10.199999999999999</v>
      </c>
      <c r="K5643">
        <v>0.1</v>
      </c>
      <c r="L5643">
        <v>7</v>
      </c>
      <c r="M5643">
        <v>100.1</v>
      </c>
    </row>
    <row r="5644" spans="2:13" x14ac:dyDescent="0.2">
      <c r="C5644" t="s">
        <v>27</v>
      </c>
    </row>
    <row r="5645" spans="2:13" x14ac:dyDescent="0.2">
      <c r="C5645" t="s">
        <v>28</v>
      </c>
      <c r="D5645" t="s">
        <v>16</v>
      </c>
      <c r="E5645" t="s">
        <v>29</v>
      </c>
      <c r="F5645" t="s">
        <v>18</v>
      </c>
    </row>
    <row r="5646" spans="2:13" x14ac:dyDescent="0.2">
      <c r="C5646" t="b">
        <v>0</v>
      </c>
      <c r="D5646">
        <v>1400.13</v>
      </c>
      <c r="E5646" t="s">
        <v>30</v>
      </c>
    </row>
    <row r="5647" spans="2:13" x14ac:dyDescent="0.2">
      <c r="C5647" t="b">
        <v>0</v>
      </c>
      <c r="D5647">
        <v>1500.13</v>
      </c>
      <c r="E5647" t="s">
        <v>30</v>
      </c>
    </row>
    <row r="5648" spans="2:13" x14ac:dyDescent="0.2">
      <c r="C5648" t="b">
        <v>0</v>
      </c>
      <c r="D5648">
        <v>1400.11</v>
      </c>
      <c r="E5648" t="s">
        <v>30</v>
      </c>
    </row>
    <row r="5649" spans="2:13" x14ac:dyDescent="0.2">
      <c r="C5649" t="b">
        <v>0</v>
      </c>
      <c r="D5649">
        <v>1370.12</v>
      </c>
      <c r="E5649" t="s">
        <v>30</v>
      </c>
    </row>
    <row r="5650" spans="2:13" x14ac:dyDescent="0.2">
      <c r="C5650" t="b">
        <v>0</v>
      </c>
      <c r="D5650">
        <v>1340.11</v>
      </c>
      <c r="E5650" t="s">
        <v>30</v>
      </c>
    </row>
    <row r="5651" spans="2:13" x14ac:dyDescent="0.2">
      <c r="C5651" t="b">
        <v>0</v>
      </c>
      <c r="D5651">
        <v>1550.15</v>
      </c>
      <c r="E5651" t="s">
        <v>30</v>
      </c>
    </row>
    <row r="5652" spans="2:13" x14ac:dyDescent="0.2">
      <c r="C5652" t="b">
        <v>0</v>
      </c>
      <c r="D5652">
        <v>1110.0999999999999</v>
      </c>
      <c r="E5652" t="s">
        <v>30</v>
      </c>
    </row>
    <row r="5653" spans="2:13" x14ac:dyDescent="0.2">
      <c r="B5653" t="s">
        <v>11</v>
      </c>
    </row>
    <row r="5654" spans="2:13" x14ac:dyDescent="0.2">
      <c r="B5654" t="s">
        <v>12</v>
      </c>
      <c r="C5654" t="s">
        <v>13</v>
      </c>
      <c r="D5654" t="s">
        <v>14</v>
      </c>
      <c r="E5654" t="s">
        <v>15</v>
      </c>
      <c r="F5654" t="s">
        <v>16</v>
      </c>
      <c r="G5654" t="s">
        <v>17</v>
      </c>
      <c r="H5654" t="s">
        <v>18</v>
      </c>
      <c r="I5654" t="s">
        <v>19</v>
      </c>
      <c r="J5654" t="s">
        <v>20</v>
      </c>
      <c r="K5654" t="s">
        <v>21</v>
      </c>
      <c r="L5654" t="s">
        <v>22</v>
      </c>
      <c r="M5654" t="s">
        <v>23</v>
      </c>
    </row>
    <row r="5655" spans="2:13" x14ac:dyDescent="0.2">
      <c r="B5655" t="s">
        <v>33</v>
      </c>
      <c r="C5655">
        <v>89</v>
      </c>
      <c r="E5655" t="s">
        <v>25</v>
      </c>
      <c r="F5655">
        <v>7560.93</v>
      </c>
      <c r="G5655">
        <v>5.4</v>
      </c>
      <c r="K5655">
        <v>0.1</v>
      </c>
      <c r="L5655">
        <v>7</v>
      </c>
      <c r="M5655">
        <v>100.4</v>
      </c>
    </row>
    <row r="5656" spans="2:13" x14ac:dyDescent="0.2">
      <c r="C5656" t="s">
        <v>27</v>
      </c>
    </row>
    <row r="5657" spans="2:13" x14ac:dyDescent="0.2">
      <c r="C5657" t="s">
        <v>28</v>
      </c>
      <c r="D5657" t="s">
        <v>16</v>
      </c>
      <c r="E5657" t="s">
        <v>29</v>
      </c>
      <c r="F5657" t="s">
        <v>18</v>
      </c>
    </row>
    <row r="5658" spans="2:13" x14ac:dyDescent="0.2">
      <c r="C5658" t="b">
        <v>0</v>
      </c>
      <c r="D5658">
        <v>7612.39</v>
      </c>
      <c r="E5658" t="s">
        <v>30</v>
      </c>
    </row>
    <row r="5659" spans="2:13" x14ac:dyDescent="0.2">
      <c r="C5659" t="b">
        <v>0</v>
      </c>
      <c r="D5659">
        <v>6781.93</v>
      </c>
      <c r="E5659" t="s">
        <v>30</v>
      </c>
    </row>
    <row r="5660" spans="2:13" x14ac:dyDescent="0.2">
      <c r="C5660" t="b">
        <v>0</v>
      </c>
      <c r="D5660">
        <v>7342.17</v>
      </c>
      <c r="E5660" t="s">
        <v>30</v>
      </c>
    </row>
    <row r="5661" spans="2:13" x14ac:dyDescent="0.2">
      <c r="C5661" t="b">
        <v>0</v>
      </c>
      <c r="D5661">
        <v>7702.38</v>
      </c>
      <c r="E5661" t="s">
        <v>30</v>
      </c>
    </row>
    <row r="5662" spans="2:13" x14ac:dyDescent="0.2">
      <c r="C5662" t="b">
        <v>0</v>
      </c>
      <c r="D5662">
        <v>7682.46</v>
      </c>
      <c r="E5662" t="s">
        <v>30</v>
      </c>
    </row>
    <row r="5663" spans="2:13" x14ac:dyDescent="0.2">
      <c r="C5663" t="b">
        <v>0</v>
      </c>
      <c r="D5663">
        <v>7702.44</v>
      </c>
      <c r="E5663" t="s">
        <v>30</v>
      </c>
    </row>
    <row r="5664" spans="2:13" x14ac:dyDescent="0.2">
      <c r="C5664" t="b">
        <v>0</v>
      </c>
      <c r="D5664">
        <v>8102.71</v>
      </c>
      <c r="E5664" t="s">
        <v>30</v>
      </c>
    </row>
    <row r="5665" spans="1:13" x14ac:dyDescent="0.2">
      <c r="A5665" t="s">
        <v>0</v>
      </c>
    </row>
    <row r="5666" spans="1:13" x14ac:dyDescent="0.2">
      <c r="B5666" t="s">
        <v>1</v>
      </c>
      <c r="C5666" t="s">
        <v>2</v>
      </c>
      <c r="D5666" t="s">
        <v>3</v>
      </c>
      <c r="E5666" t="s">
        <v>4</v>
      </c>
      <c r="F5666" t="s">
        <v>5</v>
      </c>
      <c r="G5666" t="s">
        <v>6</v>
      </c>
    </row>
    <row r="5667" spans="1:13" x14ac:dyDescent="0.2">
      <c r="A5667" t="s">
        <v>383</v>
      </c>
      <c r="B5667" t="b">
        <v>0</v>
      </c>
      <c r="C5667" t="s">
        <v>186</v>
      </c>
      <c r="D5667" t="s">
        <v>384</v>
      </c>
      <c r="E5667" t="s">
        <v>0</v>
      </c>
      <c r="G5667" t="s">
        <v>385</v>
      </c>
    </row>
    <row r="5668" spans="1:13" x14ac:dyDescent="0.2">
      <c r="B5668" t="s">
        <v>11</v>
      </c>
    </row>
    <row r="5669" spans="1:13" x14ac:dyDescent="0.2">
      <c r="B5669" t="s">
        <v>12</v>
      </c>
      <c r="C5669" t="s">
        <v>13</v>
      </c>
      <c r="D5669" t="s">
        <v>14</v>
      </c>
      <c r="E5669" t="s">
        <v>15</v>
      </c>
      <c r="F5669" t="s">
        <v>16</v>
      </c>
      <c r="G5669" t="s">
        <v>17</v>
      </c>
      <c r="H5669" t="s">
        <v>18</v>
      </c>
      <c r="I5669" t="s">
        <v>19</v>
      </c>
      <c r="J5669" t="s">
        <v>20</v>
      </c>
      <c r="K5669" t="s">
        <v>21</v>
      </c>
      <c r="L5669" t="s">
        <v>22</v>
      </c>
      <c r="M5669" t="s">
        <v>23</v>
      </c>
    </row>
    <row r="5670" spans="1:13" x14ac:dyDescent="0.2">
      <c r="B5670" t="s">
        <v>24</v>
      </c>
      <c r="C5670">
        <v>59</v>
      </c>
      <c r="E5670" t="s">
        <v>25</v>
      </c>
      <c r="F5670">
        <v>55666.62</v>
      </c>
      <c r="G5670">
        <v>1.2</v>
      </c>
      <c r="H5670">
        <v>1.7000000000000001E-2</v>
      </c>
      <c r="I5670" t="s">
        <v>26</v>
      </c>
      <c r="J5670">
        <v>1.2</v>
      </c>
      <c r="K5670">
        <v>0.1</v>
      </c>
      <c r="L5670">
        <v>7</v>
      </c>
    </row>
    <row r="5671" spans="1:13" x14ac:dyDescent="0.2">
      <c r="C5671" t="s">
        <v>27</v>
      </c>
    </row>
    <row r="5672" spans="1:13" x14ac:dyDescent="0.2">
      <c r="C5672" t="s">
        <v>28</v>
      </c>
      <c r="D5672" t="s">
        <v>16</v>
      </c>
      <c r="E5672" t="s">
        <v>29</v>
      </c>
      <c r="F5672" t="s">
        <v>18</v>
      </c>
    </row>
    <row r="5673" spans="1:13" x14ac:dyDescent="0.2">
      <c r="C5673" t="b">
        <v>0</v>
      </c>
      <c r="D5673">
        <v>56113.07</v>
      </c>
      <c r="E5673" t="s">
        <v>30</v>
      </c>
      <c r="F5673">
        <v>1.7000000000000001E-2</v>
      </c>
    </row>
    <row r="5674" spans="1:13" x14ac:dyDescent="0.2">
      <c r="C5674" t="b">
        <v>0</v>
      </c>
      <c r="D5674">
        <v>55410.03</v>
      </c>
      <c r="E5674" t="s">
        <v>30</v>
      </c>
      <c r="F5674">
        <v>1.7000000000000001E-2</v>
      </c>
    </row>
    <row r="5675" spans="1:13" x14ac:dyDescent="0.2">
      <c r="C5675" t="b">
        <v>0</v>
      </c>
      <c r="D5675">
        <v>55419.95</v>
      </c>
      <c r="E5675" t="s">
        <v>30</v>
      </c>
      <c r="F5675">
        <v>1.7000000000000001E-2</v>
      </c>
    </row>
    <row r="5676" spans="1:13" x14ac:dyDescent="0.2">
      <c r="C5676" t="b">
        <v>0</v>
      </c>
      <c r="D5676">
        <v>55600.56</v>
      </c>
      <c r="E5676" t="s">
        <v>30</v>
      </c>
      <c r="F5676">
        <v>1.7000000000000001E-2</v>
      </c>
    </row>
    <row r="5677" spans="1:13" x14ac:dyDescent="0.2">
      <c r="C5677" t="b">
        <v>0</v>
      </c>
      <c r="D5677">
        <v>57005.760000000002</v>
      </c>
      <c r="E5677" t="s">
        <v>30</v>
      </c>
      <c r="F5677">
        <v>1.7999999999999999E-2</v>
      </c>
    </row>
    <row r="5678" spans="1:13" x14ac:dyDescent="0.2">
      <c r="C5678" t="b">
        <v>0</v>
      </c>
      <c r="D5678">
        <v>55158.81</v>
      </c>
      <c r="E5678" t="s">
        <v>30</v>
      </c>
      <c r="F5678">
        <v>1.7000000000000001E-2</v>
      </c>
    </row>
    <row r="5679" spans="1:13" x14ac:dyDescent="0.2">
      <c r="C5679" t="b">
        <v>0</v>
      </c>
      <c r="D5679">
        <v>54958.18</v>
      </c>
      <c r="E5679" t="s">
        <v>30</v>
      </c>
      <c r="F5679">
        <v>1.7000000000000001E-2</v>
      </c>
    </row>
    <row r="5680" spans="1:13" x14ac:dyDescent="0.2">
      <c r="B5680" t="s">
        <v>11</v>
      </c>
    </row>
    <row r="5681" spans="2:13" x14ac:dyDescent="0.2">
      <c r="B5681" t="s">
        <v>12</v>
      </c>
      <c r="C5681" t="s">
        <v>13</v>
      </c>
      <c r="D5681" t="s">
        <v>14</v>
      </c>
      <c r="E5681" t="s">
        <v>15</v>
      </c>
      <c r="F5681" t="s">
        <v>16</v>
      </c>
      <c r="G5681" t="s">
        <v>17</v>
      </c>
      <c r="H5681" t="s">
        <v>18</v>
      </c>
      <c r="I5681" t="s">
        <v>19</v>
      </c>
      <c r="J5681" t="s">
        <v>20</v>
      </c>
      <c r="K5681" t="s">
        <v>21</v>
      </c>
      <c r="L5681" t="s">
        <v>22</v>
      </c>
      <c r="M5681" t="s">
        <v>23</v>
      </c>
    </row>
    <row r="5682" spans="2:13" x14ac:dyDescent="0.2">
      <c r="B5682" t="s">
        <v>31</v>
      </c>
      <c r="C5682">
        <v>45</v>
      </c>
      <c r="E5682" t="s">
        <v>25</v>
      </c>
      <c r="F5682">
        <v>1861.62</v>
      </c>
      <c r="G5682">
        <v>22.7</v>
      </c>
      <c r="K5682">
        <v>0.1</v>
      </c>
      <c r="L5682">
        <v>7</v>
      </c>
      <c r="M5682">
        <v>143.5</v>
      </c>
    </row>
    <row r="5683" spans="2:13" x14ac:dyDescent="0.2">
      <c r="C5683" t="s">
        <v>27</v>
      </c>
    </row>
    <row r="5684" spans="2:13" x14ac:dyDescent="0.2">
      <c r="C5684" t="s">
        <v>28</v>
      </c>
      <c r="D5684" t="s">
        <v>16</v>
      </c>
      <c r="E5684" t="s">
        <v>29</v>
      </c>
      <c r="F5684" t="s">
        <v>18</v>
      </c>
    </row>
    <row r="5685" spans="2:13" x14ac:dyDescent="0.2">
      <c r="C5685" t="b">
        <v>0</v>
      </c>
      <c r="D5685">
        <v>1890.2</v>
      </c>
      <c r="E5685" t="s">
        <v>30</v>
      </c>
    </row>
    <row r="5686" spans="2:13" x14ac:dyDescent="0.2">
      <c r="C5686" t="b">
        <v>0</v>
      </c>
      <c r="D5686">
        <v>2050.21</v>
      </c>
      <c r="E5686" t="s">
        <v>30</v>
      </c>
    </row>
    <row r="5687" spans="2:13" x14ac:dyDescent="0.2">
      <c r="C5687" t="b">
        <v>0</v>
      </c>
      <c r="D5687">
        <v>2660.34</v>
      </c>
      <c r="E5687" t="s">
        <v>30</v>
      </c>
    </row>
    <row r="5688" spans="2:13" x14ac:dyDescent="0.2">
      <c r="C5688" t="b">
        <v>0</v>
      </c>
      <c r="D5688">
        <v>1720.17</v>
      </c>
      <c r="E5688" t="s">
        <v>30</v>
      </c>
    </row>
    <row r="5689" spans="2:13" x14ac:dyDescent="0.2">
      <c r="C5689" t="b">
        <v>0</v>
      </c>
      <c r="D5689">
        <v>1850.19</v>
      </c>
      <c r="E5689" t="s">
        <v>30</v>
      </c>
    </row>
    <row r="5690" spans="2:13" x14ac:dyDescent="0.2">
      <c r="C5690" t="b">
        <v>0</v>
      </c>
      <c r="D5690">
        <v>1380.12</v>
      </c>
      <c r="E5690" t="s">
        <v>30</v>
      </c>
    </row>
    <row r="5691" spans="2:13" x14ac:dyDescent="0.2">
      <c r="C5691" t="b">
        <v>0</v>
      </c>
      <c r="D5691">
        <v>1480.12</v>
      </c>
      <c r="E5691" t="s">
        <v>30</v>
      </c>
    </row>
    <row r="5692" spans="2:13" x14ac:dyDescent="0.2">
      <c r="B5692" t="s">
        <v>11</v>
      </c>
    </row>
    <row r="5693" spans="2:13" x14ac:dyDescent="0.2">
      <c r="B5693" t="s">
        <v>12</v>
      </c>
      <c r="C5693" t="s">
        <v>13</v>
      </c>
      <c r="D5693" t="s">
        <v>14</v>
      </c>
      <c r="E5693" t="s">
        <v>15</v>
      </c>
      <c r="F5693" t="s">
        <v>16</v>
      </c>
      <c r="G5693" t="s">
        <v>17</v>
      </c>
      <c r="H5693" t="s">
        <v>18</v>
      </c>
      <c r="I5693" t="s">
        <v>19</v>
      </c>
      <c r="J5693" t="s">
        <v>20</v>
      </c>
      <c r="K5693" t="s">
        <v>21</v>
      </c>
      <c r="L5693" t="s">
        <v>22</v>
      </c>
      <c r="M5693" t="s">
        <v>23</v>
      </c>
    </row>
    <row r="5694" spans="2:13" x14ac:dyDescent="0.2">
      <c r="B5694" t="s">
        <v>32</v>
      </c>
      <c r="C5694">
        <v>72</v>
      </c>
      <c r="E5694" t="s">
        <v>25</v>
      </c>
      <c r="F5694">
        <v>1294.4000000000001</v>
      </c>
      <c r="G5694">
        <v>10</v>
      </c>
      <c r="K5694">
        <v>0.1</v>
      </c>
      <c r="L5694">
        <v>7</v>
      </c>
      <c r="M5694">
        <v>93.8</v>
      </c>
    </row>
    <row r="5695" spans="2:13" x14ac:dyDescent="0.2">
      <c r="C5695" t="s">
        <v>27</v>
      </c>
    </row>
    <row r="5696" spans="2:13" x14ac:dyDescent="0.2">
      <c r="C5696" t="s">
        <v>28</v>
      </c>
      <c r="D5696" t="s">
        <v>16</v>
      </c>
      <c r="E5696" t="s">
        <v>29</v>
      </c>
      <c r="F5696" t="s">
        <v>18</v>
      </c>
    </row>
    <row r="5697" spans="2:13" x14ac:dyDescent="0.2">
      <c r="C5697" t="b">
        <v>0</v>
      </c>
      <c r="D5697">
        <v>1200.0899999999999</v>
      </c>
      <c r="E5697" t="s">
        <v>30</v>
      </c>
    </row>
    <row r="5698" spans="2:13" x14ac:dyDescent="0.2">
      <c r="C5698" t="b">
        <v>0</v>
      </c>
      <c r="D5698">
        <v>1340.12</v>
      </c>
      <c r="E5698" t="s">
        <v>30</v>
      </c>
    </row>
    <row r="5699" spans="2:13" x14ac:dyDescent="0.2">
      <c r="C5699" t="b">
        <v>0</v>
      </c>
      <c r="D5699">
        <v>1130.0899999999999</v>
      </c>
      <c r="E5699" t="s">
        <v>30</v>
      </c>
    </row>
    <row r="5700" spans="2:13" x14ac:dyDescent="0.2">
      <c r="C5700" t="b">
        <v>0</v>
      </c>
      <c r="D5700">
        <v>1240.0999999999999</v>
      </c>
      <c r="E5700" t="s">
        <v>30</v>
      </c>
    </row>
    <row r="5701" spans="2:13" x14ac:dyDescent="0.2">
      <c r="C5701" t="b">
        <v>0</v>
      </c>
      <c r="D5701">
        <v>1450.14</v>
      </c>
      <c r="E5701" t="s">
        <v>30</v>
      </c>
    </row>
    <row r="5702" spans="2:13" x14ac:dyDescent="0.2">
      <c r="C5702" t="b">
        <v>0</v>
      </c>
      <c r="D5702">
        <v>1230.1099999999999</v>
      </c>
      <c r="E5702" t="s">
        <v>30</v>
      </c>
    </row>
    <row r="5703" spans="2:13" x14ac:dyDescent="0.2">
      <c r="C5703" t="b">
        <v>0</v>
      </c>
      <c r="D5703">
        <v>1470.13</v>
      </c>
      <c r="E5703" t="s">
        <v>30</v>
      </c>
    </row>
    <row r="5704" spans="2:13" x14ac:dyDescent="0.2">
      <c r="B5704" t="s">
        <v>11</v>
      </c>
    </row>
    <row r="5705" spans="2:13" x14ac:dyDescent="0.2">
      <c r="B5705" t="s">
        <v>12</v>
      </c>
      <c r="C5705" t="s">
        <v>13</v>
      </c>
      <c r="D5705" t="s">
        <v>14</v>
      </c>
      <c r="E5705" t="s">
        <v>15</v>
      </c>
      <c r="F5705" t="s">
        <v>16</v>
      </c>
      <c r="G5705" t="s">
        <v>17</v>
      </c>
      <c r="H5705" t="s">
        <v>18</v>
      </c>
      <c r="I5705" t="s">
        <v>19</v>
      </c>
      <c r="J5705" t="s">
        <v>20</v>
      </c>
      <c r="K5705" t="s">
        <v>21</v>
      </c>
      <c r="L5705" t="s">
        <v>22</v>
      </c>
      <c r="M5705" t="s">
        <v>23</v>
      </c>
    </row>
    <row r="5706" spans="2:13" x14ac:dyDescent="0.2">
      <c r="B5706" t="s">
        <v>33</v>
      </c>
      <c r="C5706">
        <v>89</v>
      </c>
      <c r="E5706" t="s">
        <v>25</v>
      </c>
      <c r="F5706">
        <v>7711.01</v>
      </c>
      <c r="G5706">
        <v>4</v>
      </c>
      <c r="K5706">
        <v>0.1</v>
      </c>
      <c r="L5706">
        <v>7</v>
      </c>
      <c r="M5706">
        <v>102.4</v>
      </c>
    </row>
    <row r="5707" spans="2:13" x14ac:dyDescent="0.2">
      <c r="C5707" t="s">
        <v>27</v>
      </c>
    </row>
    <row r="5708" spans="2:13" x14ac:dyDescent="0.2">
      <c r="C5708" t="s">
        <v>28</v>
      </c>
      <c r="D5708" t="s">
        <v>16</v>
      </c>
      <c r="E5708" t="s">
        <v>29</v>
      </c>
      <c r="F5708" t="s">
        <v>18</v>
      </c>
    </row>
    <row r="5709" spans="2:13" x14ac:dyDescent="0.2">
      <c r="C5709" t="b">
        <v>0</v>
      </c>
      <c r="D5709">
        <v>7442.28</v>
      </c>
      <c r="E5709" t="s">
        <v>30</v>
      </c>
    </row>
    <row r="5710" spans="2:13" x14ac:dyDescent="0.2">
      <c r="C5710" t="b">
        <v>0</v>
      </c>
      <c r="D5710">
        <v>7382.22</v>
      </c>
      <c r="E5710" t="s">
        <v>30</v>
      </c>
    </row>
    <row r="5711" spans="2:13" x14ac:dyDescent="0.2">
      <c r="C5711" t="b">
        <v>0</v>
      </c>
      <c r="D5711">
        <v>7432.31</v>
      </c>
      <c r="E5711" t="s">
        <v>30</v>
      </c>
    </row>
    <row r="5712" spans="2:13" x14ac:dyDescent="0.2">
      <c r="C5712" t="b">
        <v>0</v>
      </c>
      <c r="D5712">
        <v>7662.4</v>
      </c>
      <c r="E5712" t="s">
        <v>30</v>
      </c>
    </row>
    <row r="5713" spans="1:13" x14ac:dyDescent="0.2">
      <c r="C5713" t="b">
        <v>0</v>
      </c>
      <c r="D5713">
        <v>7942.58</v>
      </c>
      <c r="E5713" t="s">
        <v>30</v>
      </c>
    </row>
    <row r="5714" spans="1:13" x14ac:dyDescent="0.2">
      <c r="C5714" t="b">
        <v>0</v>
      </c>
      <c r="D5714">
        <v>8102.65</v>
      </c>
      <c r="E5714" t="s">
        <v>30</v>
      </c>
    </row>
    <row r="5715" spans="1:13" x14ac:dyDescent="0.2">
      <c r="C5715" t="b">
        <v>0</v>
      </c>
      <c r="D5715">
        <v>8012.63</v>
      </c>
      <c r="E5715" t="s">
        <v>30</v>
      </c>
    </row>
    <row r="5716" spans="1:13" x14ac:dyDescent="0.2">
      <c r="A5716" t="s">
        <v>0</v>
      </c>
    </row>
    <row r="5717" spans="1:13" x14ac:dyDescent="0.2">
      <c r="B5717" t="s">
        <v>1</v>
      </c>
      <c r="C5717" t="s">
        <v>2</v>
      </c>
      <c r="D5717" t="s">
        <v>3</v>
      </c>
      <c r="E5717" t="s">
        <v>4</v>
      </c>
      <c r="F5717" t="s">
        <v>5</v>
      </c>
      <c r="G5717" t="s">
        <v>6</v>
      </c>
    </row>
    <row r="5718" spans="1:13" x14ac:dyDescent="0.2">
      <c r="A5718" t="s">
        <v>386</v>
      </c>
      <c r="B5718" t="b">
        <v>0</v>
      </c>
      <c r="C5718" t="s">
        <v>189</v>
      </c>
      <c r="D5718" t="s">
        <v>387</v>
      </c>
      <c r="E5718" t="s">
        <v>0</v>
      </c>
      <c r="G5718" t="s">
        <v>388</v>
      </c>
    </row>
    <row r="5719" spans="1:13" x14ac:dyDescent="0.2">
      <c r="B5719" t="s">
        <v>11</v>
      </c>
    </row>
    <row r="5720" spans="1:13" x14ac:dyDescent="0.2">
      <c r="B5720" t="s">
        <v>12</v>
      </c>
      <c r="C5720" t="s">
        <v>13</v>
      </c>
      <c r="D5720" t="s">
        <v>14</v>
      </c>
      <c r="E5720" t="s">
        <v>15</v>
      </c>
      <c r="F5720" t="s">
        <v>16</v>
      </c>
      <c r="G5720" t="s">
        <v>17</v>
      </c>
      <c r="H5720" t="s">
        <v>18</v>
      </c>
      <c r="I5720" t="s">
        <v>19</v>
      </c>
      <c r="J5720" t="s">
        <v>20</v>
      </c>
      <c r="K5720" t="s">
        <v>21</v>
      </c>
      <c r="L5720" t="s">
        <v>22</v>
      </c>
      <c r="M5720" t="s">
        <v>23</v>
      </c>
    </row>
    <row r="5721" spans="1:13" x14ac:dyDescent="0.2">
      <c r="B5721" t="s">
        <v>24</v>
      </c>
      <c r="C5721">
        <v>59</v>
      </c>
      <c r="E5721" t="s">
        <v>25</v>
      </c>
      <c r="F5721">
        <v>54304.08</v>
      </c>
      <c r="G5721">
        <v>2.4</v>
      </c>
      <c r="H5721">
        <v>1.7000000000000001E-2</v>
      </c>
      <c r="I5721" t="s">
        <v>26</v>
      </c>
      <c r="J5721">
        <v>2.4</v>
      </c>
      <c r="K5721">
        <v>0.1</v>
      </c>
      <c r="L5721">
        <v>7</v>
      </c>
    </row>
    <row r="5722" spans="1:13" x14ac:dyDescent="0.2">
      <c r="C5722" t="s">
        <v>27</v>
      </c>
    </row>
    <row r="5723" spans="1:13" x14ac:dyDescent="0.2">
      <c r="C5723" t="s">
        <v>28</v>
      </c>
      <c r="D5723" t="s">
        <v>16</v>
      </c>
      <c r="E5723" t="s">
        <v>29</v>
      </c>
      <c r="F5723" t="s">
        <v>18</v>
      </c>
    </row>
    <row r="5724" spans="1:13" x14ac:dyDescent="0.2">
      <c r="C5724" t="b">
        <v>0</v>
      </c>
      <c r="D5724">
        <v>55309.86</v>
      </c>
      <c r="E5724" t="s">
        <v>30</v>
      </c>
      <c r="F5724">
        <v>1.7000000000000001E-2</v>
      </c>
    </row>
    <row r="5725" spans="1:13" x14ac:dyDescent="0.2">
      <c r="C5725" t="b">
        <v>0</v>
      </c>
      <c r="D5725">
        <v>55228.37</v>
      </c>
      <c r="E5725" t="s">
        <v>30</v>
      </c>
      <c r="F5725">
        <v>1.7000000000000001E-2</v>
      </c>
    </row>
    <row r="5726" spans="1:13" x14ac:dyDescent="0.2">
      <c r="C5726" t="b">
        <v>0</v>
      </c>
      <c r="D5726">
        <v>55369.65</v>
      </c>
      <c r="E5726" t="s">
        <v>30</v>
      </c>
      <c r="F5726">
        <v>1.7000000000000001E-2</v>
      </c>
    </row>
    <row r="5727" spans="1:13" x14ac:dyDescent="0.2">
      <c r="C5727" t="b">
        <v>0</v>
      </c>
      <c r="D5727">
        <v>53351.63</v>
      </c>
      <c r="E5727" t="s">
        <v>30</v>
      </c>
      <c r="F5727">
        <v>1.6E-2</v>
      </c>
    </row>
    <row r="5728" spans="1:13" x14ac:dyDescent="0.2">
      <c r="C5728" t="b">
        <v>0</v>
      </c>
      <c r="D5728">
        <v>54415.6</v>
      </c>
      <c r="E5728" t="s">
        <v>30</v>
      </c>
      <c r="F5728">
        <v>1.7000000000000001E-2</v>
      </c>
    </row>
    <row r="5729" spans="2:13" x14ac:dyDescent="0.2">
      <c r="C5729" t="b">
        <v>0</v>
      </c>
      <c r="D5729">
        <v>54636.81</v>
      </c>
      <c r="E5729" t="s">
        <v>30</v>
      </c>
      <c r="F5729">
        <v>1.7000000000000001E-2</v>
      </c>
    </row>
    <row r="5730" spans="2:13" x14ac:dyDescent="0.2">
      <c r="C5730" t="b">
        <v>0</v>
      </c>
      <c r="D5730">
        <v>51816.67</v>
      </c>
      <c r="E5730" t="s">
        <v>30</v>
      </c>
      <c r="F5730">
        <v>1.6E-2</v>
      </c>
    </row>
    <row r="5731" spans="2:13" x14ac:dyDescent="0.2">
      <c r="B5731" t="s">
        <v>11</v>
      </c>
    </row>
    <row r="5732" spans="2:13" x14ac:dyDescent="0.2">
      <c r="B5732" t="s">
        <v>12</v>
      </c>
      <c r="C5732" t="s">
        <v>13</v>
      </c>
      <c r="D5732" t="s">
        <v>14</v>
      </c>
      <c r="E5732" t="s">
        <v>15</v>
      </c>
      <c r="F5732" t="s">
        <v>16</v>
      </c>
      <c r="G5732" t="s">
        <v>17</v>
      </c>
      <c r="H5732" t="s">
        <v>18</v>
      </c>
      <c r="I5732" t="s">
        <v>19</v>
      </c>
      <c r="J5732" t="s">
        <v>20</v>
      </c>
      <c r="K5732" t="s">
        <v>21</v>
      </c>
      <c r="L5732" t="s">
        <v>22</v>
      </c>
      <c r="M5732" t="s">
        <v>23</v>
      </c>
    </row>
    <row r="5733" spans="2:13" x14ac:dyDescent="0.2">
      <c r="B5733" t="s">
        <v>31</v>
      </c>
      <c r="C5733">
        <v>45</v>
      </c>
      <c r="E5733" t="s">
        <v>25</v>
      </c>
      <c r="F5733">
        <v>987.21</v>
      </c>
      <c r="G5733">
        <v>7.6</v>
      </c>
      <c r="K5733">
        <v>0.1</v>
      </c>
      <c r="L5733">
        <v>7</v>
      </c>
      <c r="M5733">
        <v>76.099999999999994</v>
      </c>
    </row>
    <row r="5734" spans="2:13" x14ac:dyDescent="0.2">
      <c r="C5734" t="s">
        <v>27</v>
      </c>
    </row>
    <row r="5735" spans="2:13" x14ac:dyDescent="0.2">
      <c r="C5735" t="s">
        <v>28</v>
      </c>
      <c r="D5735" t="s">
        <v>16</v>
      </c>
      <c r="E5735" t="s">
        <v>29</v>
      </c>
      <c r="F5735" t="s">
        <v>18</v>
      </c>
    </row>
    <row r="5736" spans="2:13" x14ac:dyDescent="0.2">
      <c r="C5736" t="b">
        <v>0</v>
      </c>
      <c r="D5736">
        <v>1050.08</v>
      </c>
      <c r="E5736" t="s">
        <v>30</v>
      </c>
    </row>
    <row r="5737" spans="2:13" x14ac:dyDescent="0.2">
      <c r="C5737" t="b">
        <v>0</v>
      </c>
      <c r="D5737">
        <v>920.06</v>
      </c>
      <c r="E5737" t="s">
        <v>30</v>
      </c>
    </row>
    <row r="5738" spans="2:13" x14ac:dyDescent="0.2">
      <c r="C5738" t="b">
        <v>0</v>
      </c>
      <c r="D5738">
        <v>890.06</v>
      </c>
      <c r="E5738" t="s">
        <v>30</v>
      </c>
    </row>
    <row r="5739" spans="2:13" x14ac:dyDescent="0.2">
      <c r="C5739" t="b">
        <v>0</v>
      </c>
      <c r="D5739">
        <v>950.06</v>
      </c>
      <c r="E5739" t="s">
        <v>30</v>
      </c>
    </row>
    <row r="5740" spans="2:13" x14ac:dyDescent="0.2">
      <c r="C5740" t="b">
        <v>0</v>
      </c>
      <c r="D5740">
        <v>1060.08</v>
      </c>
      <c r="E5740" t="s">
        <v>30</v>
      </c>
    </row>
    <row r="5741" spans="2:13" x14ac:dyDescent="0.2">
      <c r="C5741" t="b">
        <v>0</v>
      </c>
      <c r="D5741">
        <v>1080.07</v>
      </c>
      <c r="E5741" t="s">
        <v>30</v>
      </c>
    </row>
    <row r="5742" spans="2:13" x14ac:dyDescent="0.2">
      <c r="C5742" t="b">
        <v>0</v>
      </c>
      <c r="D5742">
        <v>960.06</v>
      </c>
      <c r="E5742" t="s">
        <v>30</v>
      </c>
    </row>
    <row r="5743" spans="2:13" x14ac:dyDescent="0.2">
      <c r="B5743" t="s">
        <v>11</v>
      </c>
    </row>
    <row r="5744" spans="2:13" x14ac:dyDescent="0.2">
      <c r="B5744" t="s">
        <v>12</v>
      </c>
      <c r="C5744" t="s">
        <v>13</v>
      </c>
      <c r="D5744" t="s">
        <v>14</v>
      </c>
      <c r="E5744" t="s">
        <v>15</v>
      </c>
      <c r="F5744" t="s">
        <v>16</v>
      </c>
      <c r="G5744" t="s">
        <v>17</v>
      </c>
      <c r="H5744" t="s">
        <v>18</v>
      </c>
      <c r="I5744" t="s">
        <v>19</v>
      </c>
      <c r="J5744" t="s">
        <v>20</v>
      </c>
      <c r="K5744" t="s">
        <v>21</v>
      </c>
      <c r="L5744" t="s">
        <v>22</v>
      </c>
      <c r="M5744" t="s">
        <v>23</v>
      </c>
    </row>
    <row r="5745" spans="2:13" x14ac:dyDescent="0.2">
      <c r="B5745" t="s">
        <v>32</v>
      </c>
      <c r="C5745">
        <v>72</v>
      </c>
      <c r="E5745" t="s">
        <v>25</v>
      </c>
      <c r="F5745">
        <v>1187.24</v>
      </c>
      <c r="G5745">
        <v>8.9</v>
      </c>
      <c r="K5745">
        <v>0.1</v>
      </c>
      <c r="L5745">
        <v>7</v>
      </c>
      <c r="M5745">
        <v>86</v>
      </c>
    </row>
    <row r="5746" spans="2:13" x14ac:dyDescent="0.2">
      <c r="C5746" t="s">
        <v>27</v>
      </c>
    </row>
    <row r="5747" spans="2:13" x14ac:dyDescent="0.2">
      <c r="C5747" t="s">
        <v>28</v>
      </c>
      <c r="D5747" t="s">
        <v>16</v>
      </c>
      <c r="E5747" t="s">
        <v>29</v>
      </c>
      <c r="F5747" t="s">
        <v>18</v>
      </c>
    </row>
    <row r="5748" spans="2:13" x14ac:dyDescent="0.2">
      <c r="C5748" t="b">
        <v>0</v>
      </c>
      <c r="D5748">
        <v>1200.0999999999999</v>
      </c>
      <c r="E5748" t="s">
        <v>30</v>
      </c>
    </row>
    <row r="5749" spans="2:13" x14ac:dyDescent="0.2">
      <c r="C5749" t="b">
        <v>0</v>
      </c>
      <c r="D5749">
        <v>1170.0999999999999</v>
      </c>
      <c r="E5749" t="s">
        <v>30</v>
      </c>
    </row>
    <row r="5750" spans="2:13" x14ac:dyDescent="0.2">
      <c r="C5750" t="b">
        <v>0</v>
      </c>
      <c r="D5750">
        <v>1330.1</v>
      </c>
      <c r="E5750" t="s">
        <v>30</v>
      </c>
    </row>
    <row r="5751" spans="2:13" x14ac:dyDescent="0.2">
      <c r="C5751" t="b">
        <v>0</v>
      </c>
      <c r="D5751">
        <v>1210.0999999999999</v>
      </c>
      <c r="E5751" t="s">
        <v>30</v>
      </c>
    </row>
    <row r="5752" spans="2:13" x14ac:dyDescent="0.2">
      <c r="C5752" t="b">
        <v>0</v>
      </c>
      <c r="D5752">
        <v>1070.08</v>
      </c>
      <c r="E5752" t="s">
        <v>30</v>
      </c>
    </row>
    <row r="5753" spans="2:13" x14ac:dyDescent="0.2">
      <c r="C5753" t="b">
        <v>0</v>
      </c>
      <c r="D5753">
        <v>1040.08</v>
      </c>
      <c r="E5753" t="s">
        <v>30</v>
      </c>
    </row>
    <row r="5754" spans="2:13" x14ac:dyDescent="0.2">
      <c r="C5754" t="b">
        <v>0</v>
      </c>
      <c r="D5754">
        <v>1290.0999999999999</v>
      </c>
      <c r="E5754" t="s">
        <v>30</v>
      </c>
    </row>
    <row r="5755" spans="2:13" x14ac:dyDescent="0.2">
      <c r="B5755" t="s">
        <v>11</v>
      </c>
    </row>
    <row r="5756" spans="2:13" x14ac:dyDescent="0.2">
      <c r="B5756" t="s">
        <v>12</v>
      </c>
      <c r="C5756" t="s">
        <v>13</v>
      </c>
      <c r="D5756" t="s">
        <v>14</v>
      </c>
      <c r="E5756" t="s">
        <v>15</v>
      </c>
      <c r="F5756" t="s">
        <v>16</v>
      </c>
      <c r="G5756" t="s">
        <v>17</v>
      </c>
      <c r="H5756" t="s">
        <v>18</v>
      </c>
      <c r="I5756" t="s">
        <v>19</v>
      </c>
      <c r="J5756" t="s">
        <v>20</v>
      </c>
      <c r="K5756" t="s">
        <v>21</v>
      </c>
      <c r="L5756" t="s">
        <v>22</v>
      </c>
      <c r="M5756" t="s">
        <v>23</v>
      </c>
    </row>
    <row r="5757" spans="2:13" x14ac:dyDescent="0.2">
      <c r="B5757" t="s">
        <v>33</v>
      </c>
      <c r="C5757">
        <v>89</v>
      </c>
      <c r="E5757" t="s">
        <v>25</v>
      </c>
      <c r="F5757">
        <v>5895.76</v>
      </c>
      <c r="G5757">
        <v>8.8000000000000007</v>
      </c>
      <c r="K5757">
        <v>0.1</v>
      </c>
      <c r="L5757">
        <v>7</v>
      </c>
      <c r="M5757">
        <v>78.3</v>
      </c>
    </row>
    <row r="5758" spans="2:13" x14ac:dyDescent="0.2">
      <c r="C5758" t="s">
        <v>27</v>
      </c>
    </row>
    <row r="5759" spans="2:13" x14ac:dyDescent="0.2">
      <c r="C5759" t="s">
        <v>28</v>
      </c>
      <c r="D5759" t="s">
        <v>16</v>
      </c>
      <c r="E5759" t="s">
        <v>29</v>
      </c>
      <c r="F5759" t="s">
        <v>18</v>
      </c>
    </row>
    <row r="5760" spans="2:13" x14ac:dyDescent="0.2">
      <c r="C5760" t="b">
        <v>0</v>
      </c>
      <c r="D5760">
        <v>6691.85</v>
      </c>
      <c r="E5760" t="s">
        <v>30</v>
      </c>
    </row>
    <row r="5761" spans="1:13" x14ac:dyDescent="0.2">
      <c r="C5761" t="b">
        <v>0</v>
      </c>
      <c r="D5761">
        <v>5351.21</v>
      </c>
      <c r="E5761" t="s">
        <v>30</v>
      </c>
    </row>
    <row r="5762" spans="1:13" x14ac:dyDescent="0.2">
      <c r="C5762" t="b">
        <v>0</v>
      </c>
      <c r="D5762">
        <v>5391.24</v>
      </c>
      <c r="E5762" t="s">
        <v>30</v>
      </c>
    </row>
    <row r="5763" spans="1:13" x14ac:dyDescent="0.2">
      <c r="C5763" t="b">
        <v>0</v>
      </c>
      <c r="D5763">
        <v>5951.46</v>
      </c>
      <c r="E5763" t="s">
        <v>30</v>
      </c>
    </row>
    <row r="5764" spans="1:13" x14ac:dyDescent="0.2">
      <c r="C5764" t="b">
        <v>0</v>
      </c>
      <c r="D5764">
        <v>5611.39</v>
      </c>
      <c r="E5764" t="s">
        <v>30</v>
      </c>
    </row>
    <row r="5765" spans="1:13" x14ac:dyDescent="0.2">
      <c r="C5765" t="b">
        <v>0</v>
      </c>
      <c r="D5765">
        <v>5791.41</v>
      </c>
      <c r="E5765" t="s">
        <v>30</v>
      </c>
    </row>
    <row r="5766" spans="1:13" x14ac:dyDescent="0.2">
      <c r="C5766" t="b">
        <v>0</v>
      </c>
      <c r="D5766">
        <v>6481.73</v>
      </c>
      <c r="E5766" t="s">
        <v>30</v>
      </c>
    </row>
    <row r="5767" spans="1:13" x14ac:dyDescent="0.2">
      <c r="A5767" t="s">
        <v>0</v>
      </c>
    </row>
    <row r="5768" spans="1:13" x14ac:dyDescent="0.2">
      <c r="B5768" t="s">
        <v>1</v>
      </c>
      <c r="C5768" t="s">
        <v>2</v>
      </c>
      <c r="D5768" t="s">
        <v>3</v>
      </c>
      <c r="E5768" t="s">
        <v>4</v>
      </c>
      <c r="F5768" t="s">
        <v>5</v>
      </c>
      <c r="G5768" t="s">
        <v>6</v>
      </c>
    </row>
    <row r="5769" spans="1:13" x14ac:dyDescent="0.2">
      <c r="A5769" t="s">
        <v>389</v>
      </c>
      <c r="B5769" t="b">
        <v>0</v>
      </c>
      <c r="C5769" t="s">
        <v>390</v>
      </c>
      <c r="D5769" t="s">
        <v>391</v>
      </c>
      <c r="E5769" t="s">
        <v>0</v>
      </c>
      <c r="G5769" t="s">
        <v>392</v>
      </c>
    </row>
    <row r="5770" spans="1:13" x14ac:dyDescent="0.2">
      <c r="B5770" t="s">
        <v>11</v>
      </c>
    </row>
    <row r="5771" spans="1:13" x14ac:dyDescent="0.2">
      <c r="B5771" t="s">
        <v>12</v>
      </c>
      <c r="C5771" t="s">
        <v>13</v>
      </c>
      <c r="D5771" t="s">
        <v>14</v>
      </c>
      <c r="E5771" t="s">
        <v>15</v>
      </c>
      <c r="F5771" t="s">
        <v>16</v>
      </c>
      <c r="G5771" t="s">
        <v>17</v>
      </c>
      <c r="H5771" t="s">
        <v>18</v>
      </c>
      <c r="I5771" t="s">
        <v>19</v>
      </c>
      <c r="J5771" t="s">
        <v>20</v>
      </c>
      <c r="K5771" t="s">
        <v>21</v>
      </c>
      <c r="L5771" t="s">
        <v>22</v>
      </c>
      <c r="M5771" t="s">
        <v>23</v>
      </c>
    </row>
    <row r="5772" spans="1:13" x14ac:dyDescent="0.2">
      <c r="B5772" t="s">
        <v>24</v>
      </c>
      <c r="C5772">
        <v>59</v>
      </c>
      <c r="E5772" t="s">
        <v>25</v>
      </c>
      <c r="F5772">
        <v>330318.24</v>
      </c>
      <c r="G5772">
        <v>1.1000000000000001</v>
      </c>
      <c r="H5772">
        <v>0.10199999999999999</v>
      </c>
      <c r="I5772" t="s">
        <v>26</v>
      </c>
      <c r="J5772">
        <v>1.1000000000000001</v>
      </c>
      <c r="K5772">
        <v>0.1</v>
      </c>
      <c r="L5772">
        <v>7</v>
      </c>
    </row>
    <row r="5773" spans="1:13" x14ac:dyDescent="0.2">
      <c r="C5773" t="s">
        <v>27</v>
      </c>
    </row>
    <row r="5774" spans="1:13" x14ac:dyDescent="0.2">
      <c r="C5774" t="s">
        <v>28</v>
      </c>
      <c r="D5774" t="s">
        <v>16</v>
      </c>
      <c r="E5774" t="s">
        <v>29</v>
      </c>
      <c r="F5774" t="s">
        <v>18</v>
      </c>
    </row>
    <row r="5775" spans="1:13" x14ac:dyDescent="0.2">
      <c r="C5775" t="b">
        <v>0</v>
      </c>
      <c r="D5775">
        <v>331928.03999999998</v>
      </c>
      <c r="E5775" t="s">
        <v>30</v>
      </c>
      <c r="F5775">
        <v>0.10199999999999999</v>
      </c>
    </row>
    <row r="5776" spans="1:13" x14ac:dyDescent="0.2">
      <c r="C5776" t="b">
        <v>0</v>
      </c>
      <c r="D5776">
        <v>323438.96000000002</v>
      </c>
      <c r="E5776" t="s">
        <v>30</v>
      </c>
      <c r="F5776">
        <v>0.1</v>
      </c>
    </row>
    <row r="5777" spans="2:13" x14ac:dyDescent="0.2">
      <c r="C5777" t="b">
        <v>0</v>
      </c>
      <c r="D5777">
        <v>329868.59000000003</v>
      </c>
      <c r="E5777" t="s">
        <v>30</v>
      </c>
      <c r="F5777">
        <v>0.10199999999999999</v>
      </c>
    </row>
    <row r="5778" spans="2:13" x14ac:dyDescent="0.2">
      <c r="C5778" t="b">
        <v>0</v>
      </c>
      <c r="D5778">
        <v>328024.28999999998</v>
      </c>
      <c r="E5778" t="s">
        <v>30</v>
      </c>
      <c r="F5778">
        <v>0.10100000000000001</v>
      </c>
    </row>
    <row r="5779" spans="2:13" x14ac:dyDescent="0.2">
      <c r="C5779" t="b">
        <v>0</v>
      </c>
      <c r="D5779">
        <v>334452.77</v>
      </c>
      <c r="E5779" t="s">
        <v>30</v>
      </c>
      <c r="F5779">
        <v>0.10299999999999999</v>
      </c>
    </row>
    <row r="5780" spans="2:13" x14ac:dyDescent="0.2">
      <c r="C5780" t="b">
        <v>0</v>
      </c>
      <c r="D5780">
        <v>330673.78000000003</v>
      </c>
      <c r="E5780" t="s">
        <v>30</v>
      </c>
      <c r="F5780">
        <v>0.10199999999999999</v>
      </c>
    </row>
    <row r="5781" spans="2:13" x14ac:dyDescent="0.2">
      <c r="C5781" t="b">
        <v>0</v>
      </c>
      <c r="D5781">
        <v>333841.25</v>
      </c>
      <c r="E5781" t="s">
        <v>30</v>
      </c>
      <c r="F5781">
        <v>0.10299999999999999</v>
      </c>
    </row>
    <row r="5782" spans="2:13" x14ac:dyDescent="0.2">
      <c r="B5782" t="s">
        <v>11</v>
      </c>
    </row>
    <row r="5783" spans="2:13" x14ac:dyDescent="0.2">
      <c r="B5783" t="s">
        <v>12</v>
      </c>
      <c r="C5783" t="s">
        <v>13</v>
      </c>
      <c r="D5783" t="s">
        <v>14</v>
      </c>
      <c r="E5783" t="s">
        <v>15</v>
      </c>
      <c r="F5783" t="s">
        <v>16</v>
      </c>
      <c r="G5783" t="s">
        <v>17</v>
      </c>
      <c r="H5783" t="s">
        <v>18</v>
      </c>
      <c r="I5783" t="s">
        <v>19</v>
      </c>
      <c r="J5783" t="s">
        <v>20</v>
      </c>
      <c r="K5783" t="s">
        <v>21</v>
      </c>
      <c r="L5783" t="s">
        <v>22</v>
      </c>
      <c r="M5783" t="s">
        <v>23</v>
      </c>
    </row>
    <row r="5784" spans="2:13" x14ac:dyDescent="0.2">
      <c r="B5784" t="s">
        <v>31</v>
      </c>
      <c r="C5784">
        <v>45</v>
      </c>
      <c r="E5784" t="s">
        <v>25</v>
      </c>
      <c r="F5784">
        <v>1665.87</v>
      </c>
      <c r="G5784">
        <v>7.6</v>
      </c>
      <c r="K5784">
        <v>0.1</v>
      </c>
      <c r="L5784">
        <v>7</v>
      </c>
      <c r="M5784">
        <v>128.4</v>
      </c>
    </row>
    <row r="5785" spans="2:13" x14ac:dyDescent="0.2">
      <c r="C5785" t="s">
        <v>27</v>
      </c>
    </row>
    <row r="5786" spans="2:13" x14ac:dyDescent="0.2">
      <c r="C5786" t="s">
        <v>28</v>
      </c>
      <c r="D5786" t="s">
        <v>16</v>
      </c>
      <c r="E5786" t="s">
        <v>29</v>
      </c>
      <c r="F5786" t="s">
        <v>18</v>
      </c>
    </row>
    <row r="5787" spans="2:13" x14ac:dyDescent="0.2">
      <c r="C5787" t="b">
        <v>0</v>
      </c>
      <c r="D5787">
        <v>1720.16</v>
      </c>
      <c r="E5787" t="s">
        <v>30</v>
      </c>
    </row>
    <row r="5788" spans="2:13" x14ac:dyDescent="0.2">
      <c r="C5788" t="b">
        <v>0</v>
      </c>
      <c r="D5788">
        <v>1530.14</v>
      </c>
      <c r="E5788" t="s">
        <v>30</v>
      </c>
    </row>
    <row r="5789" spans="2:13" x14ac:dyDescent="0.2">
      <c r="C5789" t="b">
        <v>0</v>
      </c>
      <c r="D5789">
        <v>1710.16</v>
      </c>
      <c r="E5789" t="s">
        <v>30</v>
      </c>
    </row>
    <row r="5790" spans="2:13" x14ac:dyDescent="0.2">
      <c r="C5790" t="b">
        <v>0</v>
      </c>
      <c r="D5790">
        <v>1460.13</v>
      </c>
      <c r="E5790" t="s">
        <v>30</v>
      </c>
    </row>
    <row r="5791" spans="2:13" x14ac:dyDescent="0.2">
      <c r="C5791" t="b">
        <v>0</v>
      </c>
      <c r="D5791">
        <v>1830.18</v>
      </c>
      <c r="E5791" t="s">
        <v>30</v>
      </c>
    </row>
    <row r="5792" spans="2:13" x14ac:dyDescent="0.2">
      <c r="C5792" t="b">
        <v>0</v>
      </c>
      <c r="D5792">
        <v>1720.15</v>
      </c>
      <c r="E5792" t="s">
        <v>30</v>
      </c>
    </row>
    <row r="5793" spans="2:13" x14ac:dyDescent="0.2">
      <c r="C5793" t="b">
        <v>0</v>
      </c>
      <c r="D5793">
        <v>1690.17</v>
      </c>
      <c r="E5793" t="s">
        <v>30</v>
      </c>
    </row>
    <row r="5794" spans="2:13" x14ac:dyDescent="0.2">
      <c r="B5794" t="s">
        <v>11</v>
      </c>
    </row>
    <row r="5795" spans="2:13" x14ac:dyDescent="0.2">
      <c r="B5795" t="s">
        <v>12</v>
      </c>
      <c r="C5795" t="s">
        <v>13</v>
      </c>
      <c r="D5795" t="s">
        <v>14</v>
      </c>
      <c r="E5795" t="s">
        <v>15</v>
      </c>
      <c r="F5795" t="s">
        <v>16</v>
      </c>
      <c r="G5795" t="s">
        <v>17</v>
      </c>
      <c r="H5795" t="s">
        <v>18</v>
      </c>
      <c r="I5795" t="s">
        <v>19</v>
      </c>
      <c r="J5795" t="s">
        <v>20</v>
      </c>
      <c r="K5795" t="s">
        <v>21</v>
      </c>
      <c r="L5795" t="s">
        <v>22</v>
      </c>
      <c r="M5795" t="s">
        <v>23</v>
      </c>
    </row>
    <row r="5796" spans="2:13" x14ac:dyDescent="0.2">
      <c r="B5796" t="s">
        <v>32</v>
      </c>
      <c r="C5796">
        <v>72</v>
      </c>
      <c r="E5796" t="s">
        <v>25</v>
      </c>
      <c r="F5796">
        <v>1444.42</v>
      </c>
      <c r="G5796">
        <v>9.3000000000000007</v>
      </c>
      <c r="K5796">
        <v>0.1</v>
      </c>
      <c r="L5796">
        <v>7</v>
      </c>
      <c r="M5796">
        <v>104.7</v>
      </c>
    </row>
    <row r="5797" spans="2:13" x14ac:dyDescent="0.2">
      <c r="C5797" t="s">
        <v>27</v>
      </c>
    </row>
    <row r="5798" spans="2:13" x14ac:dyDescent="0.2">
      <c r="C5798" t="s">
        <v>28</v>
      </c>
      <c r="D5798" t="s">
        <v>16</v>
      </c>
      <c r="E5798" t="s">
        <v>29</v>
      </c>
      <c r="F5798" t="s">
        <v>18</v>
      </c>
    </row>
    <row r="5799" spans="2:13" x14ac:dyDescent="0.2">
      <c r="C5799" t="b">
        <v>0</v>
      </c>
      <c r="D5799">
        <v>1550.15</v>
      </c>
      <c r="E5799" t="s">
        <v>30</v>
      </c>
    </row>
    <row r="5800" spans="2:13" x14ac:dyDescent="0.2">
      <c r="C5800" t="b">
        <v>0</v>
      </c>
      <c r="D5800">
        <v>1410.12</v>
      </c>
      <c r="E5800" t="s">
        <v>30</v>
      </c>
    </row>
    <row r="5801" spans="2:13" x14ac:dyDescent="0.2">
      <c r="C5801" t="b">
        <v>0</v>
      </c>
      <c r="D5801">
        <v>1160.0899999999999</v>
      </c>
      <c r="E5801" t="s">
        <v>30</v>
      </c>
    </row>
    <row r="5802" spans="2:13" x14ac:dyDescent="0.2">
      <c r="C5802" t="b">
        <v>0</v>
      </c>
      <c r="D5802">
        <v>1440.13</v>
      </c>
      <c r="E5802" t="s">
        <v>30</v>
      </c>
    </row>
    <row r="5803" spans="2:13" x14ac:dyDescent="0.2">
      <c r="C5803" t="b">
        <v>0</v>
      </c>
      <c r="D5803">
        <v>1500.15</v>
      </c>
      <c r="E5803" t="s">
        <v>30</v>
      </c>
    </row>
    <row r="5804" spans="2:13" x14ac:dyDescent="0.2">
      <c r="C5804" t="b">
        <v>0</v>
      </c>
      <c r="D5804">
        <v>1520.13</v>
      </c>
      <c r="E5804" t="s">
        <v>30</v>
      </c>
    </row>
    <row r="5805" spans="2:13" x14ac:dyDescent="0.2">
      <c r="C5805" t="b">
        <v>0</v>
      </c>
      <c r="D5805">
        <v>1530.14</v>
      </c>
      <c r="E5805" t="s">
        <v>30</v>
      </c>
    </row>
    <row r="5806" spans="2:13" x14ac:dyDescent="0.2">
      <c r="B5806" t="s">
        <v>11</v>
      </c>
    </row>
    <row r="5807" spans="2:13" x14ac:dyDescent="0.2">
      <c r="B5807" t="s">
        <v>12</v>
      </c>
      <c r="C5807" t="s">
        <v>13</v>
      </c>
      <c r="D5807" t="s">
        <v>14</v>
      </c>
      <c r="E5807" t="s">
        <v>15</v>
      </c>
      <c r="F5807" t="s">
        <v>16</v>
      </c>
      <c r="G5807" t="s">
        <v>17</v>
      </c>
      <c r="H5807" t="s">
        <v>18</v>
      </c>
      <c r="I5807" t="s">
        <v>19</v>
      </c>
      <c r="J5807" t="s">
        <v>20</v>
      </c>
      <c r="K5807" t="s">
        <v>21</v>
      </c>
      <c r="L5807" t="s">
        <v>22</v>
      </c>
      <c r="M5807" t="s">
        <v>23</v>
      </c>
    </row>
    <row r="5808" spans="2:13" x14ac:dyDescent="0.2">
      <c r="B5808" t="s">
        <v>33</v>
      </c>
      <c r="C5808">
        <v>89</v>
      </c>
      <c r="E5808" t="s">
        <v>25</v>
      </c>
      <c r="F5808">
        <v>8122.67</v>
      </c>
      <c r="G5808">
        <v>4.3</v>
      </c>
      <c r="K5808">
        <v>0.1</v>
      </c>
      <c r="L5808">
        <v>7</v>
      </c>
      <c r="M5808">
        <v>107.8</v>
      </c>
    </row>
    <row r="5809" spans="1:13" x14ac:dyDescent="0.2">
      <c r="C5809" t="s">
        <v>27</v>
      </c>
    </row>
    <row r="5810" spans="1:13" x14ac:dyDescent="0.2">
      <c r="C5810" t="s">
        <v>28</v>
      </c>
      <c r="D5810" t="s">
        <v>16</v>
      </c>
      <c r="E5810" t="s">
        <v>29</v>
      </c>
      <c r="F5810" t="s">
        <v>18</v>
      </c>
    </row>
    <row r="5811" spans="1:13" x14ac:dyDescent="0.2">
      <c r="C5811" t="b">
        <v>0</v>
      </c>
      <c r="D5811">
        <v>7572.31</v>
      </c>
      <c r="E5811" t="s">
        <v>30</v>
      </c>
    </row>
    <row r="5812" spans="1:13" x14ac:dyDescent="0.2">
      <c r="C5812" t="b">
        <v>0</v>
      </c>
      <c r="D5812">
        <v>7962.59</v>
      </c>
      <c r="E5812" t="s">
        <v>30</v>
      </c>
    </row>
    <row r="5813" spans="1:13" x14ac:dyDescent="0.2">
      <c r="C5813" t="b">
        <v>0</v>
      </c>
      <c r="D5813">
        <v>8512.8799999999992</v>
      </c>
      <c r="E5813" t="s">
        <v>30</v>
      </c>
    </row>
    <row r="5814" spans="1:13" x14ac:dyDescent="0.2">
      <c r="C5814" t="b">
        <v>0</v>
      </c>
      <c r="D5814">
        <v>7902.59</v>
      </c>
      <c r="E5814" t="s">
        <v>30</v>
      </c>
    </row>
    <row r="5815" spans="1:13" x14ac:dyDescent="0.2">
      <c r="C5815" t="b">
        <v>0</v>
      </c>
      <c r="D5815">
        <v>8212.77</v>
      </c>
      <c r="E5815" t="s">
        <v>30</v>
      </c>
    </row>
    <row r="5816" spans="1:13" x14ac:dyDescent="0.2">
      <c r="C5816" t="b">
        <v>0</v>
      </c>
      <c r="D5816">
        <v>8142.64</v>
      </c>
      <c r="E5816" t="s">
        <v>30</v>
      </c>
    </row>
    <row r="5817" spans="1:13" x14ac:dyDescent="0.2">
      <c r="C5817" t="b">
        <v>0</v>
      </c>
      <c r="D5817">
        <v>8552.93</v>
      </c>
      <c r="E5817" t="s">
        <v>30</v>
      </c>
    </row>
    <row r="5818" spans="1:13" x14ac:dyDescent="0.2">
      <c r="A5818" t="s">
        <v>0</v>
      </c>
    </row>
    <row r="5819" spans="1:13" x14ac:dyDescent="0.2">
      <c r="B5819" t="s">
        <v>1</v>
      </c>
      <c r="C5819" t="s">
        <v>2</v>
      </c>
      <c r="D5819" t="s">
        <v>3</v>
      </c>
      <c r="E5819" t="s">
        <v>4</v>
      </c>
      <c r="F5819" t="s">
        <v>5</v>
      </c>
      <c r="G5819" t="s">
        <v>6</v>
      </c>
    </row>
    <row r="5820" spans="1:13" x14ac:dyDescent="0.2">
      <c r="A5820" t="s">
        <v>393</v>
      </c>
      <c r="B5820" t="b">
        <v>0</v>
      </c>
      <c r="C5820" t="s">
        <v>195</v>
      </c>
      <c r="D5820" t="s">
        <v>394</v>
      </c>
      <c r="E5820" t="s">
        <v>0</v>
      </c>
      <c r="G5820" t="s">
        <v>395</v>
      </c>
    </row>
    <row r="5821" spans="1:13" x14ac:dyDescent="0.2">
      <c r="B5821" t="s">
        <v>11</v>
      </c>
    </row>
    <row r="5822" spans="1:13" x14ac:dyDescent="0.2">
      <c r="B5822" t="s">
        <v>12</v>
      </c>
      <c r="C5822" t="s">
        <v>13</v>
      </c>
      <c r="D5822" t="s">
        <v>14</v>
      </c>
      <c r="E5822" t="s">
        <v>15</v>
      </c>
      <c r="F5822" t="s">
        <v>16</v>
      </c>
      <c r="G5822" t="s">
        <v>17</v>
      </c>
      <c r="H5822" t="s">
        <v>18</v>
      </c>
      <c r="I5822" t="s">
        <v>19</v>
      </c>
      <c r="J5822" t="s">
        <v>20</v>
      </c>
      <c r="K5822" t="s">
        <v>21</v>
      </c>
      <c r="L5822" t="s">
        <v>22</v>
      </c>
      <c r="M5822" t="s">
        <v>23</v>
      </c>
    </row>
    <row r="5823" spans="1:13" x14ac:dyDescent="0.2">
      <c r="B5823" t="s">
        <v>24</v>
      </c>
      <c r="C5823">
        <v>59</v>
      </c>
      <c r="E5823" t="s">
        <v>25</v>
      </c>
      <c r="F5823">
        <v>332953.38</v>
      </c>
      <c r="G5823">
        <v>1</v>
      </c>
      <c r="H5823">
        <v>0.10299999999999999</v>
      </c>
      <c r="I5823" t="s">
        <v>26</v>
      </c>
      <c r="J5823">
        <v>1</v>
      </c>
      <c r="K5823">
        <v>0.1</v>
      </c>
      <c r="L5823">
        <v>7</v>
      </c>
    </row>
    <row r="5824" spans="1:13" x14ac:dyDescent="0.2">
      <c r="C5824" t="s">
        <v>27</v>
      </c>
    </row>
    <row r="5825" spans="2:13" x14ac:dyDescent="0.2">
      <c r="C5825" t="s">
        <v>28</v>
      </c>
      <c r="D5825" t="s">
        <v>16</v>
      </c>
      <c r="E5825" t="s">
        <v>29</v>
      </c>
      <c r="F5825" t="s">
        <v>18</v>
      </c>
    </row>
    <row r="5826" spans="2:13" x14ac:dyDescent="0.2">
      <c r="C5826" t="b">
        <v>0</v>
      </c>
      <c r="D5826">
        <v>331657.38</v>
      </c>
      <c r="E5826" t="s">
        <v>30</v>
      </c>
      <c r="F5826">
        <v>0.10199999999999999</v>
      </c>
    </row>
    <row r="5827" spans="2:13" x14ac:dyDescent="0.2">
      <c r="C5827" t="b">
        <v>0</v>
      </c>
      <c r="D5827">
        <v>327127.09999999998</v>
      </c>
      <c r="E5827" t="s">
        <v>30</v>
      </c>
      <c r="F5827">
        <v>0.10100000000000001</v>
      </c>
    </row>
    <row r="5828" spans="2:13" x14ac:dyDescent="0.2">
      <c r="C5828" t="b">
        <v>0</v>
      </c>
      <c r="D5828">
        <v>331762.42</v>
      </c>
      <c r="E5828" t="s">
        <v>30</v>
      </c>
      <c r="F5828">
        <v>0.10199999999999999</v>
      </c>
    </row>
    <row r="5829" spans="2:13" x14ac:dyDescent="0.2">
      <c r="C5829" t="b">
        <v>0</v>
      </c>
      <c r="D5829">
        <v>333608.86</v>
      </c>
      <c r="E5829" t="s">
        <v>30</v>
      </c>
      <c r="F5829">
        <v>0.10299999999999999</v>
      </c>
    </row>
    <row r="5830" spans="2:13" x14ac:dyDescent="0.2">
      <c r="C5830" t="b">
        <v>0</v>
      </c>
      <c r="D5830">
        <v>336573.71</v>
      </c>
      <c r="E5830" t="s">
        <v>30</v>
      </c>
      <c r="F5830">
        <v>0.104</v>
      </c>
    </row>
    <row r="5831" spans="2:13" x14ac:dyDescent="0.2">
      <c r="C5831" t="b">
        <v>0</v>
      </c>
      <c r="D5831">
        <v>333346.44</v>
      </c>
      <c r="E5831" t="s">
        <v>30</v>
      </c>
      <c r="F5831">
        <v>0.10299999999999999</v>
      </c>
    </row>
    <row r="5832" spans="2:13" x14ac:dyDescent="0.2">
      <c r="C5832" t="b">
        <v>0</v>
      </c>
      <c r="D5832">
        <v>336597.77</v>
      </c>
      <c r="E5832" t="s">
        <v>30</v>
      </c>
      <c r="F5832">
        <v>0.104</v>
      </c>
    </row>
    <row r="5833" spans="2:13" x14ac:dyDescent="0.2">
      <c r="B5833" t="s">
        <v>11</v>
      </c>
    </row>
    <row r="5834" spans="2:13" x14ac:dyDescent="0.2">
      <c r="B5834" t="s">
        <v>12</v>
      </c>
      <c r="C5834" t="s">
        <v>13</v>
      </c>
      <c r="D5834" t="s">
        <v>14</v>
      </c>
      <c r="E5834" t="s">
        <v>15</v>
      </c>
      <c r="F5834" t="s">
        <v>16</v>
      </c>
      <c r="G5834" t="s">
        <v>17</v>
      </c>
      <c r="H5834" t="s">
        <v>18</v>
      </c>
      <c r="I5834" t="s">
        <v>19</v>
      </c>
      <c r="J5834" t="s">
        <v>20</v>
      </c>
      <c r="K5834" t="s">
        <v>21</v>
      </c>
      <c r="L5834" t="s">
        <v>22</v>
      </c>
      <c r="M5834" t="s">
        <v>23</v>
      </c>
    </row>
    <row r="5835" spans="2:13" x14ac:dyDescent="0.2">
      <c r="B5835" t="s">
        <v>31</v>
      </c>
      <c r="C5835">
        <v>45</v>
      </c>
      <c r="E5835" t="s">
        <v>25</v>
      </c>
      <c r="F5835">
        <v>1937.34</v>
      </c>
      <c r="G5835">
        <v>6.8</v>
      </c>
      <c r="K5835">
        <v>0.1</v>
      </c>
      <c r="L5835">
        <v>7</v>
      </c>
      <c r="M5835">
        <v>149.30000000000001</v>
      </c>
    </row>
    <row r="5836" spans="2:13" x14ac:dyDescent="0.2">
      <c r="C5836" t="s">
        <v>27</v>
      </c>
    </row>
    <row r="5837" spans="2:13" x14ac:dyDescent="0.2">
      <c r="C5837" t="s">
        <v>28</v>
      </c>
      <c r="D5837" t="s">
        <v>16</v>
      </c>
      <c r="E5837" t="s">
        <v>29</v>
      </c>
      <c r="F5837" t="s">
        <v>18</v>
      </c>
    </row>
    <row r="5838" spans="2:13" x14ac:dyDescent="0.2">
      <c r="C5838" t="b">
        <v>0</v>
      </c>
      <c r="D5838">
        <v>1970.2</v>
      </c>
      <c r="E5838" t="s">
        <v>30</v>
      </c>
    </row>
    <row r="5839" spans="2:13" x14ac:dyDescent="0.2">
      <c r="C5839" t="b">
        <v>0</v>
      </c>
      <c r="D5839">
        <v>2040.21</v>
      </c>
      <c r="E5839" t="s">
        <v>30</v>
      </c>
    </row>
    <row r="5840" spans="2:13" x14ac:dyDescent="0.2">
      <c r="C5840" t="b">
        <v>0</v>
      </c>
      <c r="D5840">
        <v>2120.23</v>
      </c>
      <c r="E5840" t="s">
        <v>30</v>
      </c>
    </row>
    <row r="5841" spans="2:13" x14ac:dyDescent="0.2">
      <c r="C5841" t="b">
        <v>0</v>
      </c>
      <c r="D5841">
        <v>2010.22</v>
      </c>
      <c r="E5841" t="s">
        <v>30</v>
      </c>
    </row>
    <row r="5842" spans="2:13" x14ac:dyDescent="0.2">
      <c r="C5842" t="b">
        <v>0</v>
      </c>
      <c r="D5842">
        <v>1760.16</v>
      </c>
      <c r="E5842" t="s">
        <v>30</v>
      </c>
    </row>
    <row r="5843" spans="2:13" x14ac:dyDescent="0.2">
      <c r="C5843" t="b">
        <v>0</v>
      </c>
      <c r="D5843">
        <v>1850.21</v>
      </c>
      <c r="E5843" t="s">
        <v>30</v>
      </c>
    </row>
    <row r="5844" spans="2:13" x14ac:dyDescent="0.2">
      <c r="C5844" t="b">
        <v>0</v>
      </c>
      <c r="D5844">
        <v>1810.18</v>
      </c>
      <c r="E5844" t="s">
        <v>30</v>
      </c>
    </row>
    <row r="5845" spans="2:13" x14ac:dyDescent="0.2">
      <c r="B5845" t="s">
        <v>11</v>
      </c>
    </row>
    <row r="5846" spans="2:13" x14ac:dyDescent="0.2">
      <c r="B5846" t="s">
        <v>12</v>
      </c>
      <c r="C5846" t="s">
        <v>13</v>
      </c>
      <c r="D5846" t="s">
        <v>14</v>
      </c>
      <c r="E5846" t="s">
        <v>15</v>
      </c>
      <c r="F5846" t="s">
        <v>16</v>
      </c>
      <c r="G5846" t="s">
        <v>17</v>
      </c>
      <c r="H5846" t="s">
        <v>18</v>
      </c>
      <c r="I5846" t="s">
        <v>19</v>
      </c>
      <c r="J5846" t="s">
        <v>20</v>
      </c>
      <c r="K5846" t="s">
        <v>21</v>
      </c>
      <c r="L5846" t="s">
        <v>22</v>
      </c>
      <c r="M5846" t="s">
        <v>23</v>
      </c>
    </row>
    <row r="5847" spans="2:13" x14ac:dyDescent="0.2">
      <c r="B5847" t="s">
        <v>32</v>
      </c>
      <c r="C5847">
        <v>72</v>
      </c>
      <c r="E5847" t="s">
        <v>25</v>
      </c>
      <c r="F5847">
        <v>1541.57</v>
      </c>
      <c r="G5847">
        <v>8.5</v>
      </c>
      <c r="K5847">
        <v>0.1</v>
      </c>
      <c r="L5847">
        <v>7</v>
      </c>
      <c r="M5847">
        <v>111.7</v>
      </c>
    </row>
    <row r="5848" spans="2:13" x14ac:dyDescent="0.2">
      <c r="C5848" t="s">
        <v>27</v>
      </c>
    </row>
    <row r="5849" spans="2:13" x14ac:dyDescent="0.2">
      <c r="C5849" t="s">
        <v>28</v>
      </c>
      <c r="D5849" t="s">
        <v>16</v>
      </c>
      <c r="E5849" t="s">
        <v>29</v>
      </c>
      <c r="F5849" t="s">
        <v>18</v>
      </c>
    </row>
    <row r="5850" spans="2:13" x14ac:dyDescent="0.2">
      <c r="C5850" t="b">
        <v>0</v>
      </c>
      <c r="D5850">
        <v>1540.14</v>
      </c>
      <c r="E5850" t="s">
        <v>30</v>
      </c>
    </row>
    <row r="5851" spans="2:13" x14ac:dyDescent="0.2">
      <c r="C5851" t="b">
        <v>0</v>
      </c>
      <c r="D5851">
        <v>1300.0999999999999</v>
      </c>
      <c r="E5851" t="s">
        <v>30</v>
      </c>
    </row>
    <row r="5852" spans="2:13" x14ac:dyDescent="0.2">
      <c r="C5852" t="b">
        <v>0</v>
      </c>
      <c r="D5852">
        <v>1530.14</v>
      </c>
      <c r="E5852" t="s">
        <v>30</v>
      </c>
    </row>
    <row r="5853" spans="2:13" x14ac:dyDescent="0.2">
      <c r="C5853" t="b">
        <v>0</v>
      </c>
      <c r="D5853">
        <v>1550.17</v>
      </c>
      <c r="E5853" t="s">
        <v>30</v>
      </c>
    </row>
    <row r="5854" spans="2:13" x14ac:dyDescent="0.2">
      <c r="C5854" t="b">
        <v>0</v>
      </c>
      <c r="D5854">
        <v>1560.14</v>
      </c>
      <c r="E5854" t="s">
        <v>30</v>
      </c>
    </row>
    <row r="5855" spans="2:13" x14ac:dyDescent="0.2">
      <c r="C5855" t="b">
        <v>0</v>
      </c>
      <c r="D5855">
        <v>1560.15</v>
      </c>
      <c r="E5855" t="s">
        <v>30</v>
      </c>
    </row>
    <row r="5856" spans="2:13" x14ac:dyDescent="0.2">
      <c r="C5856" t="b">
        <v>0</v>
      </c>
      <c r="D5856">
        <v>1750.17</v>
      </c>
      <c r="E5856" t="s">
        <v>30</v>
      </c>
    </row>
    <row r="5857" spans="1:13" x14ac:dyDescent="0.2">
      <c r="B5857" t="s">
        <v>11</v>
      </c>
    </row>
    <row r="5858" spans="1:13" x14ac:dyDescent="0.2">
      <c r="B5858" t="s">
        <v>12</v>
      </c>
      <c r="C5858" t="s">
        <v>13</v>
      </c>
      <c r="D5858" t="s">
        <v>14</v>
      </c>
      <c r="E5858" t="s">
        <v>15</v>
      </c>
      <c r="F5858" t="s">
        <v>16</v>
      </c>
      <c r="G5858" t="s">
        <v>17</v>
      </c>
      <c r="H5858" t="s">
        <v>18</v>
      </c>
      <c r="I5858" t="s">
        <v>19</v>
      </c>
      <c r="J5858" t="s">
        <v>20</v>
      </c>
      <c r="K5858" t="s">
        <v>21</v>
      </c>
      <c r="L5858" t="s">
        <v>22</v>
      </c>
      <c r="M5858" t="s">
        <v>23</v>
      </c>
    </row>
    <row r="5859" spans="1:13" x14ac:dyDescent="0.2">
      <c r="B5859" t="s">
        <v>33</v>
      </c>
      <c r="C5859">
        <v>89</v>
      </c>
      <c r="E5859" t="s">
        <v>25</v>
      </c>
      <c r="F5859">
        <v>8545.7800000000007</v>
      </c>
      <c r="G5859">
        <v>3.1</v>
      </c>
      <c r="K5859">
        <v>0.1</v>
      </c>
      <c r="L5859">
        <v>7</v>
      </c>
      <c r="M5859">
        <v>113.5</v>
      </c>
    </row>
    <row r="5860" spans="1:13" x14ac:dyDescent="0.2">
      <c r="C5860" t="s">
        <v>27</v>
      </c>
    </row>
    <row r="5861" spans="1:13" x14ac:dyDescent="0.2">
      <c r="C5861" t="s">
        <v>28</v>
      </c>
      <c r="D5861" t="s">
        <v>16</v>
      </c>
      <c r="E5861" t="s">
        <v>29</v>
      </c>
      <c r="F5861" t="s">
        <v>18</v>
      </c>
    </row>
    <row r="5862" spans="1:13" x14ac:dyDescent="0.2">
      <c r="C5862" t="b">
        <v>0</v>
      </c>
      <c r="D5862">
        <v>8562.94</v>
      </c>
      <c r="E5862" t="s">
        <v>30</v>
      </c>
    </row>
    <row r="5863" spans="1:13" x14ac:dyDescent="0.2">
      <c r="C5863" t="b">
        <v>0</v>
      </c>
      <c r="D5863">
        <v>8512.89</v>
      </c>
      <c r="E5863" t="s">
        <v>30</v>
      </c>
    </row>
    <row r="5864" spans="1:13" x14ac:dyDescent="0.2">
      <c r="C5864" t="b">
        <v>0</v>
      </c>
      <c r="D5864">
        <v>8312.7999999999993</v>
      </c>
      <c r="E5864" t="s">
        <v>30</v>
      </c>
    </row>
    <row r="5865" spans="1:13" x14ac:dyDescent="0.2">
      <c r="C5865" t="b">
        <v>0</v>
      </c>
      <c r="D5865">
        <v>9023.24</v>
      </c>
      <c r="E5865" t="s">
        <v>30</v>
      </c>
    </row>
    <row r="5866" spans="1:13" x14ac:dyDescent="0.2">
      <c r="C5866" t="b">
        <v>0</v>
      </c>
      <c r="D5866">
        <v>8723.0300000000007</v>
      </c>
      <c r="E5866" t="s">
        <v>30</v>
      </c>
    </row>
    <row r="5867" spans="1:13" x14ac:dyDescent="0.2">
      <c r="C5867" t="b">
        <v>0</v>
      </c>
      <c r="D5867">
        <v>8442.8799999999992</v>
      </c>
      <c r="E5867" t="s">
        <v>30</v>
      </c>
    </row>
    <row r="5868" spans="1:13" x14ac:dyDescent="0.2">
      <c r="C5868" t="b">
        <v>0</v>
      </c>
      <c r="D5868">
        <v>8242.68</v>
      </c>
      <c r="E5868" t="s">
        <v>30</v>
      </c>
    </row>
    <row r="5869" spans="1:13" x14ac:dyDescent="0.2">
      <c r="A5869" t="s">
        <v>0</v>
      </c>
    </row>
    <row r="5870" spans="1:13" x14ac:dyDescent="0.2">
      <c r="B5870" t="s">
        <v>1</v>
      </c>
      <c r="C5870" t="s">
        <v>2</v>
      </c>
      <c r="D5870" t="s">
        <v>3</v>
      </c>
      <c r="E5870" t="s">
        <v>4</v>
      </c>
      <c r="F5870" t="s">
        <v>5</v>
      </c>
      <c r="G5870" t="s">
        <v>6</v>
      </c>
    </row>
    <row r="5871" spans="1:13" x14ac:dyDescent="0.2">
      <c r="A5871" t="s">
        <v>396</v>
      </c>
      <c r="B5871" t="b">
        <v>0</v>
      </c>
      <c r="C5871" t="s">
        <v>198</v>
      </c>
      <c r="D5871" t="s">
        <v>397</v>
      </c>
      <c r="E5871" t="s">
        <v>0</v>
      </c>
      <c r="G5871" t="s">
        <v>398</v>
      </c>
    </row>
    <row r="5872" spans="1:13" x14ac:dyDescent="0.2">
      <c r="B5872" t="s">
        <v>11</v>
      </c>
    </row>
    <row r="5873" spans="2:13" x14ac:dyDescent="0.2">
      <c r="B5873" t="s">
        <v>12</v>
      </c>
      <c r="C5873" t="s">
        <v>13</v>
      </c>
      <c r="D5873" t="s">
        <v>14</v>
      </c>
      <c r="E5873" t="s">
        <v>15</v>
      </c>
      <c r="F5873" t="s">
        <v>16</v>
      </c>
      <c r="G5873" t="s">
        <v>17</v>
      </c>
      <c r="H5873" t="s">
        <v>18</v>
      </c>
      <c r="I5873" t="s">
        <v>19</v>
      </c>
      <c r="J5873" t="s">
        <v>20</v>
      </c>
      <c r="K5873" t="s">
        <v>21</v>
      </c>
      <c r="L5873" t="s">
        <v>22</v>
      </c>
      <c r="M5873" t="s">
        <v>23</v>
      </c>
    </row>
    <row r="5874" spans="2:13" x14ac:dyDescent="0.2">
      <c r="B5874" t="s">
        <v>24</v>
      </c>
      <c r="C5874">
        <v>59</v>
      </c>
      <c r="E5874" t="s">
        <v>25</v>
      </c>
      <c r="F5874">
        <v>327301.06</v>
      </c>
      <c r="G5874">
        <v>1</v>
      </c>
      <c r="H5874">
        <v>0.10100000000000001</v>
      </c>
      <c r="I5874" t="s">
        <v>26</v>
      </c>
      <c r="J5874">
        <v>1</v>
      </c>
      <c r="K5874">
        <v>0.1</v>
      </c>
      <c r="L5874">
        <v>7</v>
      </c>
    </row>
    <row r="5875" spans="2:13" x14ac:dyDescent="0.2">
      <c r="C5875" t="s">
        <v>27</v>
      </c>
    </row>
    <row r="5876" spans="2:13" x14ac:dyDescent="0.2">
      <c r="C5876" t="s">
        <v>28</v>
      </c>
      <c r="D5876" t="s">
        <v>16</v>
      </c>
      <c r="E5876" t="s">
        <v>29</v>
      </c>
      <c r="F5876" t="s">
        <v>18</v>
      </c>
    </row>
    <row r="5877" spans="2:13" x14ac:dyDescent="0.2">
      <c r="C5877" t="b">
        <v>0</v>
      </c>
      <c r="D5877">
        <v>329611.28000000003</v>
      </c>
      <c r="E5877" t="s">
        <v>30</v>
      </c>
      <c r="F5877">
        <v>0.10199999999999999</v>
      </c>
    </row>
    <row r="5878" spans="2:13" x14ac:dyDescent="0.2">
      <c r="C5878" t="b">
        <v>0</v>
      </c>
      <c r="D5878">
        <v>323146.28000000003</v>
      </c>
      <c r="E5878" t="s">
        <v>30</v>
      </c>
      <c r="F5878">
        <v>0.1</v>
      </c>
    </row>
    <row r="5879" spans="2:13" x14ac:dyDescent="0.2">
      <c r="C5879" t="b">
        <v>0</v>
      </c>
      <c r="D5879">
        <v>333413.75</v>
      </c>
      <c r="E5879" t="s">
        <v>30</v>
      </c>
      <c r="F5879">
        <v>0.10299999999999999</v>
      </c>
    </row>
    <row r="5880" spans="2:13" x14ac:dyDescent="0.2">
      <c r="C5880" t="b">
        <v>0</v>
      </c>
      <c r="D5880">
        <v>327553.57</v>
      </c>
      <c r="E5880" t="s">
        <v>30</v>
      </c>
      <c r="F5880">
        <v>0.10100000000000001</v>
      </c>
    </row>
    <row r="5881" spans="2:13" x14ac:dyDescent="0.2">
      <c r="C5881" t="b">
        <v>0</v>
      </c>
      <c r="D5881">
        <v>327133.28000000003</v>
      </c>
      <c r="E5881" t="s">
        <v>30</v>
      </c>
      <c r="F5881">
        <v>0.10100000000000001</v>
      </c>
    </row>
    <row r="5882" spans="2:13" x14ac:dyDescent="0.2">
      <c r="C5882" t="b">
        <v>0</v>
      </c>
      <c r="D5882">
        <v>324627.53000000003</v>
      </c>
      <c r="E5882" t="s">
        <v>30</v>
      </c>
      <c r="F5882">
        <v>0.1</v>
      </c>
    </row>
    <row r="5883" spans="2:13" x14ac:dyDescent="0.2">
      <c r="C5883" t="b">
        <v>0</v>
      </c>
      <c r="D5883">
        <v>325621.71000000002</v>
      </c>
      <c r="E5883" t="s">
        <v>30</v>
      </c>
      <c r="F5883">
        <v>0.1</v>
      </c>
    </row>
    <row r="5884" spans="2:13" x14ac:dyDescent="0.2">
      <c r="B5884" t="s">
        <v>11</v>
      </c>
    </row>
    <row r="5885" spans="2:13" x14ac:dyDescent="0.2">
      <c r="B5885" t="s">
        <v>12</v>
      </c>
      <c r="C5885" t="s">
        <v>13</v>
      </c>
      <c r="D5885" t="s">
        <v>14</v>
      </c>
      <c r="E5885" t="s">
        <v>15</v>
      </c>
      <c r="F5885" t="s">
        <v>16</v>
      </c>
      <c r="G5885" t="s">
        <v>17</v>
      </c>
      <c r="H5885" t="s">
        <v>18</v>
      </c>
      <c r="I5885" t="s">
        <v>19</v>
      </c>
      <c r="J5885" t="s">
        <v>20</v>
      </c>
      <c r="K5885" t="s">
        <v>21</v>
      </c>
      <c r="L5885" t="s">
        <v>22</v>
      </c>
      <c r="M5885" t="s">
        <v>23</v>
      </c>
    </row>
    <row r="5886" spans="2:13" x14ac:dyDescent="0.2">
      <c r="B5886" t="s">
        <v>31</v>
      </c>
      <c r="C5886">
        <v>45</v>
      </c>
      <c r="E5886" t="s">
        <v>25</v>
      </c>
      <c r="F5886">
        <v>1721.59</v>
      </c>
      <c r="G5886">
        <v>6.9</v>
      </c>
      <c r="K5886">
        <v>0.1</v>
      </c>
      <c r="L5886">
        <v>7</v>
      </c>
      <c r="M5886">
        <v>132.69999999999999</v>
      </c>
    </row>
    <row r="5887" spans="2:13" x14ac:dyDescent="0.2">
      <c r="C5887" t="s">
        <v>27</v>
      </c>
    </row>
    <row r="5888" spans="2:13" x14ac:dyDescent="0.2">
      <c r="C5888" t="s">
        <v>28</v>
      </c>
      <c r="D5888" t="s">
        <v>16</v>
      </c>
      <c r="E5888" t="s">
        <v>29</v>
      </c>
      <c r="F5888" t="s">
        <v>18</v>
      </c>
    </row>
    <row r="5889" spans="2:13" x14ac:dyDescent="0.2">
      <c r="C5889" t="b">
        <v>0</v>
      </c>
      <c r="D5889">
        <v>1730.17</v>
      </c>
      <c r="E5889" t="s">
        <v>30</v>
      </c>
    </row>
    <row r="5890" spans="2:13" x14ac:dyDescent="0.2">
      <c r="C5890" t="b">
        <v>0</v>
      </c>
      <c r="D5890">
        <v>1550.13</v>
      </c>
      <c r="E5890" t="s">
        <v>30</v>
      </c>
    </row>
    <row r="5891" spans="2:13" x14ac:dyDescent="0.2">
      <c r="C5891" t="b">
        <v>0</v>
      </c>
      <c r="D5891">
        <v>1880.19</v>
      </c>
      <c r="E5891" t="s">
        <v>30</v>
      </c>
    </row>
    <row r="5892" spans="2:13" x14ac:dyDescent="0.2">
      <c r="C5892" t="b">
        <v>0</v>
      </c>
      <c r="D5892">
        <v>1580.16</v>
      </c>
      <c r="E5892" t="s">
        <v>30</v>
      </c>
    </row>
    <row r="5893" spans="2:13" x14ac:dyDescent="0.2">
      <c r="C5893" t="b">
        <v>0</v>
      </c>
      <c r="D5893">
        <v>1820.17</v>
      </c>
      <c r="E5893" t="s">
        <v>30</v>
      </c>
    </row>
    <row r="5894" spans="2:13" x14ac:dyDescent="0.2">
      <c r="C5894" t="b">
        <v>0</v>
      </c>
      <c r="D5894">
        <v>1750.17</v>
      </c>
      <c r="E5894" t="s">
        <v>30</v>
      </c>
    </row>
    <row r="5895" spans="2:13" x14ac:dyDescent="0.2">
      <c r="C5895" t="b">
        <v>0</v>
      </c>
      <c r="D5895">
        <v>1740.16</v>
      </c>
      <c r="E5895" t="s">
        <v>30</v>
      </c>
    </row>
    <row r="5896" spans="2:13" x14ac:dyDescent="0.2">
      <c r="B5896" t="s">
        <v>11</v>
      </c>
    </row>
    <row r="5897" spans="2:13" x14ac:dyDescent="0.2">
      <c r="B5897" t="s">
        <v>12</v>
      </c>
      <c r="C5897" t="s">
        <v>13</v>
      </c>
      <c r="D5897" t="s">
        <v>14</v>
      </c>
      <c r="E5897" t="s">
        <v>15</v>
      </c>
      <c r="F5897" t="s">
        <v>16</v>
      </c>
      <c r="G5897" t="s">
        <v>17</v>
      </c>
      <c r="H5897" t="s">
        <v>18</v>
      </c>
      <c r="I5897" t="s">
        <v>19</v>
      </c>
      <c r="J5897" t="s">
        <v>20</v>
      </c>
      <c r="K5897" t="s">
        <v>21</v>
      </c>
      <c r="L5897" t="s">
        <v>22</v>
      </c>
      <c r="M5897" t="s">
        <v>23</v>
      </c>
    </row>
    <row r="5898" spans="2:13" x14ac:dyDescent="0.2">
      <c r="B5898" t="s">
        <v>32</v>
      </c>
      <c r="C5898">
        <v>72</v>
      </c>
      <c r="E5898" t="s">
        <v>25</v>
      </c>
      <c r="F5898">
        <v>1398.69</v>
      </c>
      <c r="G5898">
        <v>9</v>
      </c>
      <c r="K5898">
        <v>0.1</v>
      </c>
      <c r="L5898">
        <v>7</v>
      </c>
      <c r="M5898">
        <v>101.3</v>
      </c>
    </row>
    <row r="5899" spans="2:13" x14ac:dyDescent="0.2">
      <c r="C5899" t="s">
        <v>27</v>
      </c>
    </row>
    <row r="5900" spans="2:13" x14ac:dyDescent="0.2">
      <c r="C5900" t="s">
        <v>28</v>
      </c>
      <c r="D5900" t="s">
        <v>16</v>
      </c>
      <c r="E5900" t="s">
        <v>29</v>
      </c>
      <c r="F5900" t="s">
        <v>18</v>
      </c>
    </row>
    <row r="5901" spans="2:13" x14ac:dyDescent="0.2">
      <c r="C5901" t="b">
        <v>0</v>
      </c>
      <c r="D5901">
        <v>1350.12</v>
      </c>
      <c r="E5901" t="s">
        <v>30</v>
      </c>
    </row>
    <row r="5902" spans="2:13" x14ac:dyDescent="0.2">
      <c r="C5902" t="b">
        <v>0</v>
      </c>
      <c r="D5902">
        <v>1480.12</v>
      </c>
      <c r="E5902" t="s">
        <v>30</v>
      </c>
    </row>
    <row r="5903" spans="2:13" x14ac:dyDescent="0.2">
      <c r="C5903" t="b">
        <v>0</v>
      </c>
      <c r="D5903">
        <v>1290.1099999999999</v>
      </c>
      <c r="E5903" t="s">
        <v>30</v>
      </c>
    </row>
    <row r="5904" spans="2:13" x14ac:dyDescent="0.2">
      <c r="C5904" t="b">
        <v>0</v>
      </c>
      <c r="D5904">
        <v>1290.0999999999999</v>
      </c>
      <c r="E5904" t="s">
        <v>30</v>
      </c>
    </row>
    <row r="5905" spans="1:13" x14ac:dyDescent="0.2">
      <c r="C5905" t="b">
        <v>0</v>
      </c>
      <c r="D5905">
        <v>1410.13</v>
      </c>
      <c r="E5905" t="s">
        <v>30</v>
      </c>
    </row>
    <row r="5906" spans="1:13" x14ac:dyDescent="0.2">
      <c r="C5906" t="b">
        <v>0</v>
      </c>
      <c r="D5906">
        <v>1330.11</v>
      </c>
      <c r="E5906" t="s">
        <v>30</v>
      </c>
    </row>
    <row r="5907" spans="1:13" x14ac:dyDescent="0.2">
      <c r="C5907" t="b">
        <v>0</v>
      </c>
      <c r="D5907">
        <v>1640.15</v>
      </c>
      <c r="E5907" t="s">
        <v>30</v>
      </c>
    </row>
    <row r="5908" spans="1:13" x14ac:dyDescent="0.2">
      <c r="B5908" t="s">
        <v>11</v>
      </c>
    </row>
    <row r="5909" spans="1:13" x14ac:dyDescent="0.2">
      <c r="B5909" t="s">
        <v>12</v>
      </c>
      <c r="C5909" t="s">
        <v>13</v>
      </c>
      <c r="D5909" t="s">
        <v>14</v>
      </c>
      <c r="E5909" t="s">
        <v>15</v>
      </c>
      <c r="F5909" t="s">
        <v>16</v>
      </c>
      <c r="G5909" t="s">
        <v>17</v>
      </c>
      <c r="H5909" t="s">
        <v>18</v>
      </c>
      <c r="I5909" t="s">
        <v>19</v>
      </c>
      <c r="J5909" t="s">
        <v>20</v>
      </c>
      <c r="K5909" t="s">
        <v>21</v>
      </c>
      <c r="L5909" t="s">
        <v>22</v>
      </c>
      <c r="M5909" t="s">
        <v>23</v>
      </c>
    </row>
    <row r="5910" spans="1:13" x14ac:dyDescent="0.2">
      <c r="B5910" t="s">
        <v>33</v>
      </c>
      <c r="C5910">
        <v>89</v>
      </c>
      <c r="E5910" t="s">
        <v>25</v>
      </c>
      <c r="F5910">
        <v>7803.89</v>
      </c>
      <c r="G5910">
        <v>2.9</v>
      </c>
      <c r="K5910">
        <v>0.1</v>
      </c>
      <c r="L5910">
        <v>7</v>
      </c>
      <c r="M5910">
        <v>103.6</v>
      </c>
    </row>
    <row r="5911" spans="1:13" x14ac:dyDescent="0.2">
      <c r="C5911" t="s">
        <v>27</v>
      </c>
    </row>
    <row r="5912" spans="1:13" x14ac:dyDescent="0.2">
      <c r="C5912" t="s">
        <v>28</v>
      </c>
      <c r="D5912" t="s">
        <v>16</v>
      </c>
      <c r="E5912" t="s">
        <v>29</v>
      </c>
      <c r="F5912" t="s">
        <v>18</v>
      </c>
    </row>
    <row r="5913" spans="1:13" x14ac:dyDescent="0.2">
      <c r="C5913" t="b">
        <v>0</v>
      </c>
      <c r="D5913">
        <v>7702.42</v>
      </c>
      <c r="E5913" t="s">
        <v>30</v>
      </c>
    </row>
    <row r="5914" spans="1:13" x14ac:dyDescent="0.2">
      <c r="C5914" t="b">
        <v>0</v>
      </c>
      <c r="D5914">
        <v>7492.28</v>
      </c>
      <c r="E5914" t="s">
        <v>30</v>
      </c>
    </row>
    <row r="5915" spans="1:13" x14ac:dyDescent="0.2">
      <c r="C5915" t="b">
        <v>0</v>
      </c>
      <c r="D5915">
        <v>7982.57</v>
      </c>
      <c r="E5915" t="s">
        <v>30</v>
      </c>
    </row>
    <row r="5916" spans="1:13" x14ac:dyDescent="0.2">
      <c r="C5916" t="b">
        <v>0</v>
      </c>
      <c r="D5916">
        <v>8082.63</v>
      </c>
      <c r="E5916" t="s">
        <v>30</v>
      </c>
    </row>
    <row r="5917" spans="1:13" x14ac:dyDescent="0.2">
      <c r="C5917" t="b">
        <v>0</v>
      </c>
      <c r="D5917">
        <v>7752.46</v>
      </c>
      <c r="E5917" t="s">
        <v>30</v>
      </c>
    </row>
    <row r="5918" spans="1:13" x14ac:dyDescent="0.2">
      <c r="C5918" t="b">
        <v>0</v>
      </c>
      <c r="D5918">
        <v>8022.51</v>
      </c>
      <c r="E5918" t="s">
        <v>30</v>
      </c>
    </row>
    <row r="5919" spans="1:13" x14ac:dyDescent="0.2">
      <c r="C5919" t="b">
        <v>0</v>
      </c>
      <c r="D5919">
        <v>7592.37</v>
      </c>
      <c r="E5919" t="s">
        <v>30</v>
      </c>
    </row>
    <row r="5920" spans="1:13" x14ac:dyDescent="0.2">
      <c r="A5920" t="s">
        <v>0</v>
      </c>
    </row>
    <row r="5921" spans="2:13" x14ac:dyDescent="0.2">
      <c r="B5921" t="s">
        <v>1</v>
      </c>
      <c r="C5921" t="s">
        <v>2</v>
      </c>
      <c r="D5921" t="s">
        <v>3</v>
      </c>
      <c r="E5921" t="s">
        <v>4</v>
      </c>
      <c r="F5921" t="s">
        <v>5</v>
      </c>
      <c r="G5921" t="s">
        <v>6</v>
      </c>
    </row>
    <row r="5922" spans="2:13" x14ac:dyDescent="0.2">
      <c r="B5922" t="b">
        <v>0</v>
      </c>
      <c r="C5922" t="s">
        <v>201</v>
      </c>
      <c r="D5922" t="s">
        <v>399</v>
      </c>
      <c r="E5922" t="s">
        <v>0</v>
      </c>
      <c r="G5922" t="s">
        <v>400</v>
      </c>
    </row>
    <row r="5923" spans="2:13" x14ac:dyDescent="0.2">
      <c r="B5923" t="s">
        <v>11</v>
      </c>
    </row>
    <row r="5924" spans="2:13" x14ac:dyDescent="0.2">
      <c r="B5924" t="s">
        <v>12</v>
      </c>
      <c r="C5924" t="s">
        <v>13</v>
      </c>
      <c r="D5924" t="s">
        <v>14</v>
      </c>
      <c r="E5924" t="s">
        <v>15</v>
      </c>
      <c r="F5924" t="s">
        <v>16</v>
      </c>
      <c r="G5924" t="s">
        <v>17</v>
      </c>
      <c r="H5924" t="s">
        <v>18</v>
      </c>
      <c r="I5924" t="s">
        <v>19</v>
      </c>
      <c r="J5924" t="s">
        <v>20</v>
      </c>
      <c r="K5924" t="s">
        <v>21</v>
      </c>
      <c r="L5924" t="s">
        <v>22</v>
      </c>
      <c r="M5924" t="s">
        <v>23</v>
      </c>
    </row>
    <row r="5925" spans="2:13" x14ac:dyDescent="0.2">
      <c r="B5925" t="s">
        <v>24</v>
      </c>
      <c r="C5925">
        <v>59</v>
      </c>
      <c r="E5925" t="s">
        <v>25</v>
      </c>
      <c r="F5925">
        <v>1728414.68</v>
      </c>
      <c r="G5925">
        <v>1.7</v>
      </c>
      <c r="H5925">
        <v>0.53300000000000003</v>
      </c>
      <c r="I5925" t="s">
        <v>26</v>
      </c>
      <c r="J5925">
        <v>1.7</v>
      </c>
      <c r="K5925">
        <v>0.1</v>
      </c>
      <c r="L5925">
        <v>7</v>
      </c>
    </row>
    <row r="5926" spans="2:13" x14ac:dyDescent="0.2">
      <c r="C5926" t="s">
        <v>27</v>
      </c>
    </row>
    <row r="5927" spans="2:13" x14ac:dyDescent="0.2">
      <c r="C5927" t="s">
        <v>28</v>
      </c>
      <c r="D5927" t="s">
        <v>16</v>
      </c>
      <c r="E5927" t="s">
        <v>29</v>
      </c>
      <c r="F5927" t="s">
        <v>18</v>
      </c>
    </row>
    <row r="5928" spans="2:13" x14ac:dyDescent="0.2">
      <c r="C5928" t="b">
        <v>0</v>
      </c>
      <c r="D5928">
        <v>1771622.94</v>
      </c>
      <c r="E5928" t="s">
        <v>67</v>
      </c>
      <c r="F5928">
        <v>0.54600000000000004</v>
      </c>
    </row>
    <row r="5929" spans="2:13" x14ac:dyDescent="0.2">
      <c r="C5929" t="b">
        <v>0</v>
      </c>
      <c r="D5929">
        <v>1698561.38</v>
      </c>
      <c r="E5929" t="s">
        <v>67</v>
      </c>
      <c r="F5929">
        <v>0.52300000000000002</v>
      </c>
    </row>
    <row r="5930" spans="2:13" x14ac:dyDescent="0.2">
      <c r="C5930" t="b">
        <v>0</v>
      </c>
      <c r="D5930">
        <v>1755705.6</v>
      </c>
      <c r="E5930" t="s">
        <v>67</v>
      </c>
      <c r="F5930">
        <v>0.54100000000000004</v>
      </c>
    </row>
    <row r="5931" spans="2:13" x14ac:dyDescent="0.2">
      <c r="C5931" t="b">
        <v>0</v>
      </c>
      <c r="D5931">
        <v>1709287.63</v>
      </c>
      <c r="E5931" t="s">
        <v>67</v>
      </c>
      <c r="F5931">
        <v>0.52700000000000002</v>
      </c>
    </row>
    <row r="5932" spans="2:13" x14ac:dyDescent="0.2">
      <c r="C5932" t="b">
        <v>0</v>
      </c>
      <c r="D5932">
        <v>1742068.1</v>
      </c>
      <c r="E5932" t="s">
        <v>67</v>
      </c>
      <c r="F5932">
        <v>0.53700000000000003</v>
      </c>
    </row>
    <row r="5933" spans="2:13" x14ac:dyDescent="0.2">
      <c r="C5933" t="b">
        <v>0</v>
      </c>
      <c r="D5933">
        <v>1729763.41</v>
      </c>
      <c r="E5933" t="s">
        <v>67</v>
      </c>
      <c r="F5933">
        <v>0.53300000000000003</v>
      </c>
    </row>
    <row r="5934" spans="2:13" x14ac:dyDescent="0.2">
      <c r="C5934" t="b">
        <v>0</v>
      </c>
      <c r="D5934">
        <v>1691893.72</v>
      </c>
      <c r="E5934" t="s">
        <v>67</v>
      </c>
      <c r="F5934">
        <v>0.52100000000000002</v>
      </c>
    </row>
    <row r="5935" spans="2:13" x14ac:dyDescent="0.2">
      <c r="B5935" t="s">
        <v>11</v>
      </c>
    </row>
    <row r="5936" spans="2:13" x14ac:dyDescent="0.2">
      <c r="B5936" t="s">
        <v>12</v>
      </c>
      <c r="C5936" t="s">
        <v>13</v>
      </c>
      <c r="D5936" t="s">
        <v>14</v>
      </c>
      <c r="E5936" t="s">
        <v>15</v>
      </c>
      <c r="F5936" t="s">
        <v>16</v>
      </c>
      <c r="G5936" t="s">
        <v>17</v>
      </c>
      <c r="H5936" t="s">
        <v>18</v>
      </c>
      <c r="I5936" t="s">
        <v>19</v>
      </c>
      <c r="J5936" t="s">
        <v>20</v>
      </c>
      <c r="K5936" t="s">
        <v>21</v>
      </c>
      <c r="L5936" t="s">
        <v>22</v>
      </c>
      <c r="M5936" t="s">
        <v>23</v>
      </c>
    </row>
    <row r="5937" spans="2:13" x14ac:dyDescent="0.2">
      <c r="B5937" t="s">
        <v>31</v>
      </c>
      <c r="C5937">
        <v>45</v>
      </c>
      <c r="E5937" t="s">
        <v>25</v>
      </c>
      <c r="F5937">
        <v>1528.71</v>
      </c>
      <c r="G5937">
        <v>7.8</v>
      </c>
      <c r="K5937">
        <v>0.1</v>
      </c>
      <c r="L5937">
        <v>7</v>
      </c>
      <c r="M5937">
        <v>117.8</v>
      </c>
    </row>
    <row r="5938" spans="2:13" x14ac:dyDescent="0.2">
      <c r="C5938" t="s">
        <v>27</v>
      </c>
    </row>
    <row r="5939" spans="2:13" x14ac:dyDescent="0.2">
      <c r="C5939" t="s">
        <v>28</v>
      </c>
      <c r="D5939" t="s">
        <v>16</v>
      </c>
      <c r="E5939" t="s">
        <v>29</v>
      </c>
      <c r="F5939" t="s">
        <v>18</v>
      </c>
    </row>
    <row r="5940" spans="2:13" x14ac:dyDescent="0.2">
      <c r="C5940" t="b">
        <v>0</v>
      </c>
      <c r="D5940">
        <v>1610.14</v>
      </c>
      <c r="E5940" t="s">
        <v>30</v>
      </c>
    </row>
    <row r="5941" spans="2:13" x14ac:dyDescent="0.2">
      <c r="C5941" t="b">
        <v>0</v>
      </c>
      <c r="D5941">
        <v>1410.12</v>
      </c>
      <c r="E5941" t="s">
        <v>30</v>
      </c>
    </row>
    <row r="5942" spans="2:13" x14ac:dyDescent="0.2">
      <c r="C5942" t="b">
        <v>0</v>
      </c>
      <c r="D5942">
        <v>1480.13</v>
      </c>
      <c r="E5942" t="s">
        <v>30</v>
      </c>
    </row>
    <row r="5943" spans="2:13" x14ac:dyDescent="0.2">
      <c r="C5943" t="b">
        <v>0</v>
      </c>
      <c r="D5943">
        <v>1350.11</v>
      </c>
      <c r="E5943" t="s">
        <v>30</v>
      </c>
    </row>
    <row r="5944" spans="2:13" x14ac:dyDescent="0.2">
      <c r="C5944" t="b">
        <v>0</v>
      </c>
      <c r="D5944">
        <v>1550.14</v>
      </c>
      <c r="E5944" t="s">
        <v>30</v>
      </c>
    </row>
    <row r="5945" spans="2:13" x14ac:dyDescent="0.2">
      <c r="C5945" t="b">
        <v>0</v>
      </c>
      <c r="D5945">
        <v>1650.16</v>
      </c>
      <c r="E5945" t="s">
        <v>30</v>
      </c>
    </row>
    <row r="5946" spans="2:13" x14ac:dyDescent="0.2">
      <c r="C5946" t="b">
        <v>0</v>
      </c>
      <c r="D5946">
        <v>1650.16</v>
      </c>
      <c r="E5946" t="s">
        <v>30</v>
      </c>
    </row>
    <row r="5947" spans="2:13" x14ac:dyDescent="0.2">
      <c r="B5947" t="s">
        <v>11</v>
      </c>
    </row>
    <row r="5948" spans="2:13" x14ac:dyDescent="0.2">
      <c r="B5948" t="s">
        <v>12</v>
      </c>
      <c r="C5948" t="s">
        <v>13</v>
      </c>
      <c r="D5948" t="s">
        <v>14</v>
      </c>
      <c r="E5948" t="s">
        <v>15</v>
      </c>
      <c r="F5948" t="s">
        <v>16</v>
      </c>
      <c r="G5948" t="s">
        <v>17</v>
      </c>
      <c r="H5948" t="s">
        <v>18</v>
      </c>
      <c r="I5948" t="s">
        <v>19</v>
      </c>
      <c r="J5948" t="s">
        <v>20</v>
      </c>
      <c r="K5948" t="s">
        <v>21</v>
      </c>
      <c r="L5948" t="s">
        <v>22</v>
      </c>
      <c r="M5948" t="s">
        <v>23</v>
      </c>
    </row>
    <row r="5949" spans="2:13" x14ac:dyDescent="0.2">
      <c r="B5949" t="s">
        <v>32</v>
      </c>
      <c r="C5949">
        <v>72</v>
      </c>
      <c r="E5949" t="s">
        <v>25</v>
      </c>
      <c r="F5949">
        <v>1321.54</v>
      </c>
      <c r="G5949">
        <v>5.9</v>
      </c>
      <c r="K5949">
        <v>0.1</v>
      </c>
      <c r="L5949">
        <v>7</v>
      </c>
      <c r="M5949">
        <v>95.8</v>
      </c>
    </row>
    <row r="5950" spans="2:13" x14ac:dyDescent="0.2">
      <c r="C5950" t="s">
        <v>27</v>
      </c>
    </row>
    <row r="5951" spans="2:13" x14ac:dyDescent="0.2">
      <c r="C5951" t="s">
        <v>28</v>
      </c>
      <c r="D5951" t="s">
        <v>16</v>
      </c>
      <c r="E5951" t="s">
        <v>29</v>
      </c>
      <c r="F5951" t="s">
        <v>18</v>
      </c>
    </row>
    <row r="5952" spans="2:13" x14ac:dyDescent="0.2">
      <c r="C5952" t="b">
        <v>0</v>
      </c>
      <c r="D5952">
        <v>1270.0999999999999</v>
      </c>
      <c r="E5952" t="s">
        <v>30</v>
      </c>
    </row>
    <row r="5953" spans="2:13" x14ac:dyDescent="0.2">
      <c r="C5953" t="b">
        <v>0</v>
      </c>
      <c r="D5953">
        <v>1270.0999999999999</v>
      </c>
      <c r="E5953" t="s">
        <v>30</v>
      </c>
    </row>
    <row r="5954" spans="2:13" x14ac:dyDescent="0.2">
      <c r="C5954" t="b">
        <v>0</v>
      </c>
      <c r="D5954">
        <v>1210.0999999999999</v>
      </c>
      <c r="E5954" t="s">
        <v>30</v>
      </c>
    </row>
    <row r="5955" spans="2:13" x14ac:dyDescent="0.2">
      <c r="C5955" t="b">
        <v>0</v>
      </c>
      <c r="D5955">
        <v>1370.12</v>
      </c>
      <c r="E5955" t="s">
        <v>30</v>
      </c>
    </row>
    <row r="5956" spans="2:13" x14ac:dyDescent="0.2">
      <c r="C5956" t="b">
        <v>0</v>
      </c>
      <c r="D5956">
        <v>1370.11</v>
      </c>
      <c r="E5956" t="s">
        <v>30</v>
      </c>
    </row>
    <row r="5957" spans="2:13" x14ac:dyDescent="0.2">
      <c r="C5957" t="b">
        <v>0</v>
      </c>
      <c r="D5957">
        <v>1320.11</v>
      </c>
      <c r="E5957" t="s">
        <v>30</v>
      </c>
    </row>
    <row r="5958" spans="2:13" x14ac:dyDescent="0.2">
      <c r="C5958" t="b">
        <v>0</v>
      </c>
      <c r="D5958">
        <v>1440.13</v>
      </c>
      <c r="E5958" t="s">
        <v>30</v>
      </c>
    </row>
    <row r="5959" spans="2:13" x14ac:dyDescent="0.2">
      <c r="B5959" t="s">
        <v>11</v>
      </c>
    </row>
    <row r="5960" spans="2:13" x14ac:dyDescent="0.2">
      <c r="B5960" t="s">
        <v>12</v>
      </c>
      <c r="C5960" t="s">
        <v>13</v>
      </c>
      <c r="D5960" t="s">
        <v>14</v>
      </c>
      <c r="E5960" t="s">
        <v>15</v>
      </c>
      <c r="F5960" t="s">
        <v>16</v>
      </c>
      <c r="G5960" t="s">
        <v>17</v>
      </c>
      <c r="H5960" t="s">
        <v>18</v>
      </c>
      <c r="I5960" t="s">
        <v>19</v>
      </c>
      <c r="J5960" t="s">
        <v>20</v>
      </c>
      <c r="K5960" t="s">
        <v>21</v>
      </c>
      <c r="L5960" t="s">
        <v>22</v>
      </c>
      <c r="M5960" t="s">
        <v>23</v>
      </c>
    </row>
    <row r="5961" spans="2:13" x14ac:dyDescent="0.2">
      <c r="B5961" t="s">
        <v>33</v>
      </c>
      <c r="C5961">
        <v>89</v>
      </c>
      <c r="E5961" t="s">
        <v>25</v>
      </c>
      <c r="F5961">
        <v>7662.39</v>
      </c>
      <c r="G5961">
        <v>4.0999999999999996</v>
      </c>
      <c r="K5961">
        <v>0.1</v>
      </c>
      <c r="L5961">
        <v>7</v>
      </c>
      <c r="M5961">
        <v>101.7</v>
      </c>
    </row>
    <row r="5962" spans="2:13" x14ac:dyDescent="0.2">
      <c r="C5962" t="s">
        <v>27</v>
      </c>
    </row>
    <row r="5963" spans="2:13" x14ac:dyDescent="0.2">
      <c r="C5963" t="s">
        <v>28</v>
      </c>
      <c r="D5963" t="s">
        <v>16</v>
      </c>
      <c r="E5963" t="s">
        <v>29</v>
      </c>
      <c r="F5963" t="s">
        <v>18</v>
      </c>
    </row>
    <row r="5964" spans="2:13" x14ac:dyDescent="0.2">
      <c r="C5964" t="b">
        <v>0</v>
      </c>
      <c r="D5964">
        <v>7362.24</v>
      </c>
      <c r="E5964" t="s">
        <v>30</v>
      </c>
    </row>
    <row r="5965" spans="2:13" x14ac:dyDescent="0.2">
      <c r="C5965" t="b">
        <v>0</v>
      </c>
      <c r="D5965">
        <v>7412.26</v>
      </c>
      <c r="E5965" t="s">
        <v>30</v>
      </c>
    </row>
    <row r="5966" spans="2:13" x14ac:dyDescent="0.2">
      <c r="C5966" t="b">
        <v>0</v>
      </c>
      <c r="D5966">
        <v>7452.23</v>
      </c>
      <c r="E5966" t="s">
        <v>30</v>
      </c>
    </row>
    <row r="5967" spans="2:13" x14ac:dyDescent="0.2">
      <c r="C5967" t="b">
        <v>0</v>
      </c>
      <c r="D5967">
        <v>7422.27</v>
      </c>
      <c r="E5967" t="s">
        <v>30</v>
      </c>
    </row>
    <row r="5968" spans="2:13" x14ac:dyDescent="0.2">
      <c r="C5968" t="b">
        <v>0</v>
      </c>
      <c r="D5968">
        <v>7902.49</v>
      </c>
      <c r="E5968" t="s">
        <v>30</v>
      </c>
    </row>
    <row r="5969" spans="1:13" x14ac:dyDescent="0.2">
      <c r="C5969" t="b">
        <v>0</v>
      </c>
      <c r="D5969">
        <v>8042.62</v>
      </c>
      <c r="E5969" t="s">
        <v>30</v>
      </c>
    </row>
    <row r="5970" spans="1:13" x14ac:dyDescent="0.2">
      <c r="C5970" t="b">
        <v>0</v>
      </c>
      <c r="D5970">
        <v>8042.65</v>
      </c>
      <c r="E5970" t="s">
        <v>30</v>
      </c>
    </row>
    <row r="5971" spans="1:13" x14ac:dyDescent="0.2">
      <c r="A5971" t="s">
        <v>0</v>
      </c>
    </row>
    <row r="5972" spans="1:13" x14ac:dyDescent="0.2">
      <c r="B5972" t="s">
        <v>1</v>
      </c>
      <c r="C5972" t="s">
        <v>2</v>
      </c>
      <c r="D5972" t="s">
        <v>3</v>
      </c>
      <c r="E5972" t="s">
        <v>4</v>
      </c>
      <c r="F5972" t="s">
        <v>5</v>
      </c>
      <c r="G5972" t="s">
        <v>6</v>
      </c>
    </row>
    <row r="5973" spans="1:13" x14ac:dyDescent="0.2">
      <c r="B5973" t="b">
        <v>0</v>
      </c>
      <c r="C5973" t="s">
        <v>401</v>
      </c>
      <c r="D5973" t="s">
        <v>402</v>
      </c>
      <c r="E5973" t="s">
        <v>9</v>
      </c>
      <c r="G5973" t="s">
        <v>146</v>
      </c>
    </row>
    <row r="5974" spans="1:13" x14ac:dyDescent="0.2">
      <c r="B5974" t="s">
        <v>11</v>
      </c>
    </row>
    <row r="5975" spans="1:13" x14ac:dyDescent="0.2">
      <c r="B5975" t="s">
        <v>12</v>
      </c>
      <c r="C5975" t="s">
        <v>13</v>
      </c>
      <c r="D5975" t="s">
        <v>14</v>
      </c>
      <c r="E5975" t="s">
        <v>15</v>
      </c>
      <c r="F5975" t="s">
        <v>16</v>
      </c>
      <c r="G5975" t="s">
        <v>17</v>
      </c>
      <c r="H5975" t="s">
        <v>18</v>
      </c>
      <c r="I5975" t="s">
        <v>19</v>
      </c>
      <c r="J5975" t="s">
        <v>20</v>
      </c>
      <c r="K5975" t="s">
        <v>21</v>
      </c>
      <c r="L5975" t="s">
        <v>22</v>
      </c>
      <c r="M5975" t="s">
        <v>23</v>
      </c>
    </row>
    <row r="5976" spans="1:13" x14ac:dyDescent="0.2">
      <c r="B5976" t="s">
        <v>24</v>
      </c>
      <c r="C5976">
        <v>59</v>
      </c>
      <c r="E5976" t="s">
        <v>25</v>
      </c>
      <c r="F5976">
        <v>452.88</v>
      </c>
      <c r="G5976">
        <v>12.1</v>
      </c>
      <c r="H5976">
        <v>0</v>
      </c>
      <c r="I5976" t="s">
        <v>26</v>
      </c>
      <c r="J5976">
        <v>13.2</v>
      </c>
      <c r="K5976">
        <v>0.1</v>
      </c>
      <c r="L5976">
        <v>7</v>
      </c>
    </row>
    <row r="5977" spans="1:13" x14ac:dyDescent="0.2">
      <c r="C5977" t="s">
        <v>27</v>
      </c>
    </row>
    <row r="5978" spans="1:13" x14ac:dyDescent="0.2">
      <c r="C5978" t="s">
        <v>28</v>
      </c>
      <c r="D5978" t="s">
        <v>16</v>
      </c>
      <c r="E5978" t="s">
        <v>29</v>
      </c>
      <c r="F5978" t="s">
        <v>18</v>
      </c>
    </row>
    <row r="5979" spans="1:13" x14ac:dyDescent="0.2">
      <c r="C5979" t="b">
        <v>0</v>
      </c>
      <c r="D5979">
        <v>440.02</v>
      </c>
      <c r="E5979" t="s">
        <v>30</v>
      </c>
      <c r="F5979">
        <v>0</v>
      </c>
    </row>
    <row r="5980" spans="1:13" x14ac:dyDescent="0.2">
      <c r="C5980" t="b">
        <v>0</v>
      </c>
      <c r="D5980">
        <v>480.03</v>
      </c>
      <c r="E5980" t="s">
        <v>30</v>
      </c>
      <c r="F5980">
        <v>0</v>
      </c>
    </row>
    <row r="5981" spans="1:13" x14ac:dyDescent="0.2">
      <c r="C5981" t="b">
        <v>0</v>
      </c>
      <c r="D5981">
        <v>480.02</v>
      </c>
      <c r="E5981" t="s">
        <v>30</v>
      </c>
      <c r="F5981">
        <v>0</v>
      </c>
    </row>
    <row r="5982" spans="1:13" x14ac:dyDescent="0.2">
      <c r="C5982" t="b">
        <v>0</v>
      </c>
      <c r="D5982">
        <v>540.03</v>
      </c>
      <c r="E5982" t="s">
        <v>30</v>
      </c>
      <c r="F5982">
        <v>0</v>
      </c>
    </row>
    <row r="5983" spans="1:13" x14ac:dyDescent="0.2">
      <c r="C5983" t="b">
        <v>0</v>
      </c>
      <c r="D5983">
        <v>450.02</v>
      </c>
      <c r="E5983" t="s">
        <v>30</v>
      </c>
      <c r="F5983">
        <v>0</v>
      </c>
    </row>
    <row r="5984" spans="1:13" x14ac:dyDescent="0.2">
      <c r="C5984" t="b">
        <v>0</v>
      </c>
      <c r="D5984">
        <v>410.02</v>
      </c>
      <c r="E5984" t="s">
        <v>30</v>
      </c>
      <c r="F5984">
        <v>0</v>
      </c>
    </row>
    <row r="5985" spans="2:13" x14ac:dyDescent="0.2">
      <c r="C5985" t="b">
        <v>0</v>
      </c>
      <c r="D5985">
        <v>370.01</v>
      </c>
      <c r="E5985" t="s">
        <v>30</v>
      </c>
      <c r="F5985">
        <v>0</v>
      </c>
    </row>
    <row r="5986" spans="2:13" x14ac:dyDescent="0.2">
      <c r="B5986" t="s">
        <v>11</v>
      </c>
    </row>
    <row r="5987" spans="2:13" x14ac:dyDescent="0.2">
      <c r="B5987" t="s">
        <v>12</v>
      </c>
      <c r="C5987" t="s">
        <v>13</v>
      </c>
      <c r="D5987" t="s">
        <v>14</v>
      </c>
      <c r="E5987" t="s">
        <v>15</v>
      </c>
      <c r="F5987" t="s">
        <v>16</v>
      </c>
      <c r="G5987" t="s">
        <v>17</v>
      </c>
      <c r="H5987" t="s">
        <v>18</v>
      </c>
      <c r="I5987" t="s">
        <v>19</v>
      </c>
      <c r="J5987" t="s">
        <v>20</v>
      </c>
      <c r="K5987" t="s">
        <v>21</v>
      </c>
      <c r="L5987" t="s">
        <v>22</v>
      </c>
      <c r="M5987" t="s">
        <v>23</v>
      </c>
    </row>
    <row r="5988" spans="2:13" x14ac:dyDescent="0.2">
      <c r="B5988" t="s">
        <v>31</v>
      </c>
      <c r="C5988">
        <v>45</v>
      </c>
      <c r="E5988" t="s">
        <v>25</v>
      </c>
      <c r="F5988">
        <v>1367.26</v>
      </c>
      <c r="G5988">
        <v>7.3</v>
      </c>
      <c r="K5988">
        <v>0.1</v>
      </c>
      <c r="L5988">
        <v>7</v>
      </c>
      <c r="M5988">
        <v>105.4</v>
      </c>
    </row>
    <row r="5989" spans="2:13" x14ac:dyDescent="0.2">
      <c r="C5989" t="s">
        <v>27</v>
      </c>
    </row>
    <row r="5990" spans="2:13" x14ac:dyDescent="0.2">
      <c r="C5990" t="s">
        <v>28</v>
      </c>
      <c r="D5990" t="s">
        <v>16</v>
      </c>
      <c r="E5990" t="s">
        <v>29</v>
      </c>
      <c r="F5990" t="s">
        <v>18</v>
      </c>
    </row>
    <row r="5991" spans="2:13" x14ac:dyDescent="0.2">
      <c r="C5991" t="b">
        <v>0</v>
      </c>
      <c r="D5991">
        <v>1430.12</v>
      </c>
      <c r="E5991" t="s">
        <v>30</v>
      </c>
    </row>
    <row r="5992" spans="2:13" x14ac:dyDescent="0.2">
      <c r="C5992" t="b">
        <v>0</v>
      </c>
      <c r="D5992">
        <v>1410.12</v>
      </c>
      <c r="E5992" t="s">
        <v>30</v>
      </c>
    </row>
    <row r="5993" spans="2:13" x14ac:dyDescent="0.2">
      <c r="C5993" t="b">
        <v>0</v>
      </c>
      <c r="D5993">
        <v>1190.0899999999999</v>
      </c>
      <c r="E5993" t="s">
        <v>30</v>
      </c>
    </row>
    <row r="5994" spans="2:13" x14ac:dyDescent="0.2">
      <c r="C5994" t="b">
        <v>0</v>
      </c>
      <c r="D5994">
        <v>1390.12</v>
      </c>
      <c r="E5994" t="s">
        <v>30</v>
      </c>
    </row>
    <row r="5995" spans="2:13" x14ac:dyDescent="0.2">
      <c r="C5995" t="b">
        <v>0</v>
      </c>
      <c r="D5995">
        <v>1410.14</v>
      </c>
      <c r="E5995" t="s">
        <v>30</v>
      </c>
    </row>
    <row r="5996" spans="2:13" x14ac:dyDescent="0.2">
      <c r="C5996" t="b">
        <v>0</v>
      </c>
      <c r="D5996">
        <v>1470.12</v>
      </c>
      <c r="E5996" t="s">
        <v>30</v>
      </c>
    </row>
    <row r="5997" spans="2:13" x14ac:dyDescent="0.2">
      <c r="C5997" t="b">
        <v>0</v>
      </c>
      <c r="D5997">
        <v>1270.0999999999999</v>
      </c>
      <c r="E5997" t="s">
        <v>30</v>
      </c>
    </row>
    <row r="5998" spans="2:13" x14ac:dyDescent="0.2">
      <c r="B5998" t="s">
        <v>11</v>
      </c>
    </row>
    <row r="5999" spans="2:13" x14ac:dyDescent="0.2">
      <c r="B5999" t="s">
        <v>12</v>
      </c>
      <c r="C5999" t="s">
        <v>13</v>
      </c>
      <c r="D5999" t="s">
        <v>14</v>
      </c>
      <c r="E5999" t="s">
        <v>15</v>
      </c>
      <c r="F5999" t="s">
        <v>16</v>
      </c>
      <c r="G5999" t="s">
        <v>17</v>
      </c>
      <c r="H5999" t="s">
        <v>18</v>
      </c>
      <c r="I5999" t="s">
        <v>19</v>
      </c>
      <c r="J5999" t="s">
        <v>20</v>
      </c>
      <c r="K5999" t="s">
        <v>21</v>
      </c>
      <c r="L5999" t="s">
        <v>22</v>
      </c>
      <c r="M5999" t="s">
        <v>23</v>
      </c>
    </row>
    <row r="6000" spans="2:13" x14ac:dyDescent="0.2">
      <c r="B6000" t="s">
        <v>32</v>
      </c>
      <c r="C6000">
        <v>72</v>
      </c>
      <c r="E6000" t="s">
        <v>25</v>
      </c>
      <c r="F6000">
        <v>1311.54</v>
      </c>
      <c r="G6000">
        <v>7.2</v>
      </c>
      <c r="K6000">
        <v>0.1</v>
      </c>
      <c r="L6000">
        <v>7</v>
      </c>
      <c r="M6000">
        <v>95</v>
      </c>
    </row>
    <row r="6001" spans="2:13" x14ac:dyDescent="0.2">
      <c r="C6001" t="s">
        <v>27</v>
      </c>
    </row>
    <row r="6002" spans="2:13" x14ac:dyDescent="0.2">
      <c r="C6002" t="s">
        <v>28</v>
      </c>
      <c r="D6002" t="s">
        <v>16</v>
      </c>
      <c r="E6002" t="s">
        <v>29</v>
      </c>
      <c r="F6002" t="s">
        <v>18</v>
      </c>
    </row>
    <row r="6003" spans="2:13" x14ac:dyDescent="0.2">
      <c r="C6003" t="b">
        <v>0</v>
      </c>
      <c r="D6003">
        <v>1190.0899999999999</v>
      </c>
      <c r="E6003" t="s">
        <v>30</v>
      </c>
    </row>
    <row r="6004" spans="2:13" x14ac:dyDescent="0.2">
      <c r="C6004" t="b">
        <v>0</v>
      </c>
      <c r="D6004">
        <v>1200.1099999999999</v>
      </c>
      <c r="E6004" t="s">
        <v>30</v>
      </c>
    </row>
    <row r="6005" spans="2:13" x14ac:dyDescent="0.2">
      <c r="C6005" t="b">
        <v>0</v>
      </c>
      <c r="D6005">
        <v>1420.13</v>
      </c>
      <c r="E6005" t="s">
        <v>30</v>
      </c>
    </row>
    <row r="6006" spans="2:13" x14ac:dyDescent="0.2">
      <c r="C6006" t="b">
        <v>0</v>
      </c>
      <c r="D6006">
        <v>1420.13</v>
      </c>
      <c r="E6006" t="s">
        <v>30</v>
      </c>
    </row>
    <row r="6007" spans="2:13" x14ac:dyDescent="0.2">
      <c r="C6007" t="b">
        <v>0</v>
      </c>
      <c r="D6007">
        <v>1340.11</v>
      </c>
      <c r="E6007" t="s">
        <v>30</v>
      </c>
    </row>
    <row r="6008" spans="2:13" x14ac:dyDescent="0.2">
      <c r="C6008" t="b">
        <v>0</v>
      </c>
      <c r="D6008">
        <v>1270.0999999999999</v>
      </c>
      <c r="E6008" t="s">
        <v>30</v>
      </c>
    </row>
    <row r="6009" spans="2:13" x14ac:dyDescent="0.2">
      <c r="C6009" t="b">
        <v>0</v>
      </c>
      <c r="D6009">
        <v>1340.11</v>
      </c>
      <c r="E6009" t="s">
        <v>30</v>
      </c>
    </row>
    <row r="6010" spans="2:13" x14ac:dyDescent="0.2">
      <c r="B6010" t="s">
        <v>11</v>
      </c>
    </row>
    <row r="6011" spans="2:13" x14ac:dyDescent="0.2">
      <c r="B6011" t="s">
        <v>12</v>
      </c>
      <c r="C6011" t="s">
        <v>13</v>
      </c>
      <c r="D6011" t="s">
        <v>14</v>
      </c>
      <c r="E6011" t="s">
        <v>15</v>
      </c>
      <c r="F6011" t="s">
        <v>16</v>
      </c>
      <c r="G6011" t="s">
        <v>17</v>
      </c>
      <c r="H6011" t="s">
        <v>18</v>
      </c>
      <c r="I6011" t="s">
        <v>19</v>
      </c>
      <c r="J6011" t="s">
        <v>20</v>
      </c>
      <c r="K6011" t="s">
        <v>21</v>
      </c>
      <c r="L6011" t="s">
        <v>22</v>
      </c>
      <c r="M6011" t="s">
        <v>23</v>
      </c>
    </row>
    <row r="6012" spans="2:13" x14ac:dyDescent="0.2">
      <c r="B6012" t="s">
        <v>33</v>
      </c>
      <c r="C6012">
        <v>89</v>
      </c>
      <c r="E6012" t="s">
        <v>25</v>
      </c>
      <c r="F6012">
        <v>7819.63</v>
      </c>
      <c r="G6012">
        <v>2.8</v>
      </c>
      <c r="K6012">
        <v>0.1</v>
      </c>
      <c r="L6012">
        <v>7</v>
      </c>
      <c r="M6012">
        <v>103.8</v>
      </c>
    </row>
    <row r="6013" spans="2:13" x14ac:dyDescent="0.2">
      <c r="C6013" t="s">
        <v>27</v>
      </c>
    </row>
    <row r="6014" spans="2:13" x14ac:dyDescent="0.2">
      <c r="C6014" t="s">
        <v>28</v>
      </c>
      <c r="D6014" t="s">
        <v>16</v>
      </c>
      <c r="E6014" t="s">
        <v>29</v>
      </c>
      <c r="F6014" t="s">
        <v>18</v>
      </c>
    </row>
    <row r="6015" spans="2:13" x14ac:dyDescent="0.2">
      <c r="C6015" t="b">
        <v>0</v>
      </c>
      <c r="D6015">
        <v>7532.3</v>
      </c>
      <c r="E6015" t="s">
        <v>30</v>
      </c>
    </row>
    <row r="6016" spans="2:13" x14ac:dyDescent="0.2">
      <c r="C6016" t="b">
        <v>0</v>
      </c>
      <c r="D6016">
        <v>7742.46</v>
      </c>
      <c r="E6016" t="s">
        <v>30</v>
      </c>
    </row>
    <row r="6017" spans="1:13" x14ac:dyDescent="0.2">
      <c r="C6017" t="b">
        <v>0</v>
      </c>
      <c r="D6017">
        <v>7702.5</v>
      </c>
      <c r="E6017" t="s">
        <v>30</v>
      </c>
    </row>
    <row r="6018" spans="1:13" x14ac:dyDescent="0.2">
      <c r="C6018" t="b">
        <v>0</v>
      </c>
      <c r="D6018">
        <v>7782.52</v>
      </c>
      <c r="E6018" t="s">
        <v>30</v>
      </c>
    </row>
    <row r="6019" spans="1:13" x14ac:dyDescent="0.2">
      <c r="C6019" t="b">
        <v>0</v>
      </c>
      <c r="D6019">
        <v>8032.57</v>
      </c>
      <c r="E6019" t="s">
        <v>30</v>
      </c>
    </row>
    <row r="6020" spans="1:13" x14ac:dyDescent="0.2">
      <c r="C6020" t="b">
        <v>0</v>
      </c>
      <c r="D6020">
        <v>7752.39</v>
      </c>
      <c r="E6020" t="s">
        <v>30</v>
      </c>
    </row>
    <row r="6021" spans="1:13" x14ac:dyDescent="0.2">
      <c r="C6021" t="b">
        <v>0</v>
      </c>
      <c r="D6021">
        <v>8192.65</v>
      </c>
      <c r="E6021" t="s">
        <v>30</v>
      </c>
    </row>
    <row r="6022" spans="1:13" x14ac:dyDescent="0.2">
      <c r="A6022" t="s">
        <v>0</v>
      </c>
    </row>
    <row r="6023" spans="1:13" x14ac:dyDescent="0.2">
      <c r="B6023" t="s">
        <v>1</v>
      </c>
      <c r="C6023" t="s">
        <v>2</v>
      </c>
      <c r="D6023" t="s">
        <v>3</v>
      </c>
      <c r="E6023" t="s">
        <v>4</v>
      </c>
      <c r="F6023" t="s">
        <v>5</v>
      </c>
      <c r="G6023" t="s">
        <v>6</v>
      </c>
    </row>
    <row r="6024" spans="1:13" x14ac:dyDescent="0.2">
      <c r="A6024" t="s">
        <v>403</v>
      </c>
      <c r="B6024" t="b">
        <v>0</v>
      </c>
      <c r="C6024" t="s">
        <v>404</v>
      </c>
      <c r="D6024" t="s">
        <v>405</v>
      </c>
      <c r="E6024" t="s">
        <v>150</v>
      </c>
      <c r="G6024" t="s">
        <v>352</v>
      </c>
    </row>
    <row r="6025" spans="1:13" x14ac:dyDescent="0.2">
      <c r="B6025" t="s">
        <v>11</v>
      </c>
    </row>
    <row r="6026" spans="1:13" x14ac:dyDescent="0.2">
      <c r="B6026" t="s">
        <v>12</v>
      </c>
      <c r="C6026" t="s">
        <v>13</v>
      </c>
      <c r="D6026" t="s">
        <v>14</v>
      </c>
      <c r="E6026" t="s">
        <v>15</v>
      </c>
      <c r="F6026" t="s">
        <v>16</v>
      </c>
      <c r="G6026" t="s">
        <v>17</v>
      </c>
      <c r="H6026" t="s">
        <v>18</v>
      </c>
      <c r="I6026" t="s">
        <v>19</v>
      </c>
      <c r="J6026" t="s">
        <v>20</v>
      </c>
      <c r="K6026" t="s">
        <v>21</v>
      </c>
      <c r="L6026" t="s">
        <v>22</v>
      </c>
      <c r="M6026" t="s">
        <v>23</v>
      </c>
    </row>
    <row r="6027" spans="1:13" x14ac:dyDescent="0.2">
      <c r="B6027" t="s">
        <v>24</v>
      </c>
      <c r="C6027">
        <v>59</v>
      </c>
      <c r="E6027" t="s">
        <v>25</v>
      </c>
      <c r="F6027">
        <v>3926745.66</v>
      </c>
      <c r="G6027">
        <v>1.5</v>
      </c>
      <c r="H6027">
        <v>1.21</v>
      </c>
      <c r="I6027" t="s">
        <v>26</v>
      </c>
      <c r="J6027">
        <v>1.5</v>
      </c>
      <c r="K6027">
        <v>0.1</v>
      </c>
      <c r="L6027">
        <v>7</v>
      </c>
    </row>
    <row r="6028" spans="1:13" x14ac:dyDescent="0.2">
      <c r="C6028" t="s">
        <v>27</v>
      </c>
    </row>
    <row r="6029" spans="1:13" x14ac:dyDescent="0.2">
      <c r="C6029" t="s">
        <v>28</v>
      </c>
      <c r="D6029" t="s">
        <v>16</v>
      </c>
      <c r="E6029" t="s">
        <v>29</v>
      </c>
      <c r="F6029" t="s">
        <v>18</v>
      </c>
    </row>
    <row r="6030" spans="1:13" x14ac:dyDescent="0.2">
      <c r="C6030" t="b">
        <v>0</v>
      </c>
      <c r="D6030">
        <v>3937950.57</v>
      </c>
      <c r="E6030" t="s">
        <v>67</v>
      </c>
      <c r="F6030">
        <v>1.214</v>
      </c>
    </row>
    <row r="6031" spans="1:13" x14ac:dyDescent="0.2">
      <c r="C6031" t="b">
        <v>0</v>
      </c>
      <c r="D6031">
        <v>3823835.88</v>
      </c>
      <c r="E6031" t="s">
        <v>67</v>
      </c>
      <c r="F6031">
        <v>1.1779999999999999</v>
      </c>
    </row>
    <row r="6032" spans="1:13" x14ac:dyDescent="0.2">
      <c r="C6032" t="b">
        <v>0</v>
      </c>
      <c r="D6032">
        <v>3935901.19</v>
      </c>
      <c r="E6032" t="s">
        <v>67</v>
      </c>
      <c r="F6032">
        <v>1.2130000000000001</v>
      </c>
    </row>
    <row r="6033" spans="2:13" x14ac:dyDescent="0.2">
      <c r="C6033" t="b">
        <v>0</v>
      </c>
      <c r="D6033">
        <v>3891589.63</v>
      </c>
      <c r="E6033" t="s">
        <v>67</v>
      </c>
      <c r="F6033">
        <v>1.1990000000000001</v>
      </c>
    </row>
    <row r="6034" spans="2:13" x14ac:dyDescent="0.2">
      <c r="C6034" t="b">
        <v>0</v>
      </c>
      <c r="D6034">
        <v>3921315.25</v>
      </c>
      <c r="E6034" t="s">
        <v>67</v>
      </c>
      <c r="F6034">
        <v>1.2090000000000001</v>
      </c>
    </row>
    <row r="6035" spans="2:13" x14ac:dyDescent="0.2">
      <c r="C6035" t="b">
        <v>0</v>
      </c>
      <c r="D6035">
        <v>3986376.19</v>
      </c>
      <c r="E6035" t="s">
        <v>67</v>
      </c>
      <c r="F6035">
        <v>1.2290000000000001</v>
      </c>
    </row>
    <row r="6036" spans="2:13" x14ac:dyDescent="0.2">
      <c r="C6036" t="b">
        <v>0</v>
      </c>
      <c r="D6036">
        <v>3990250.88</v>
      </c>
      <c r="E6036" t="s">
        <v>67</v>
      </c>
      <c r="F6036">
        <v>1.23</v>
      </c>
    </row>
    <row r="6037" spans="2:13" x14ac:dyDescent="0.2">
      <c r="B6037" t="s">
        <v>11</v>
      </c>
    </row>
    <row r="6038" spans="2:13" x14ac:dyDescent="0.2">
      <c r="B6038" t="s">
        <v>12</v>
      </c>
      <c r="C6038" t="s">
        <v>13</v>
      </c>
      <c r="D6038" t="s">
        <v>14</v>
      </c>
      <c r="E6038" t="s">
        <v>15</v>
      </c>
      <c r="F6038" t="s">
        <v>16</v>
      </c>
      <c r="G6038" t="s">
        <v>17</v>
      </c>
      <c r="H6038" t="s">
        <v>18</v>
      </c>
      <c r="I6038" t="s">
        <v>19</v>
      </c>
      <c r="J6038" t="s">
        <v>20</v>
      </c>
      <c r="K6038" t="s">
        <v>21</v>
      </c>
      <c r="L6038" t="s">
        <v>22</v>
      </c>
      <c r="M6038" t="s">
        <v>23</v>
      </c>
    </row>
    <row r="6039" spans="2:13" x14ac:dyDescent="0.2">
      <c r="B6039" t="s">
        <v>31</v>
      </c>
      <c r="C6039">
        <v>45</v>
      </c>
      <c r="E6039" t="s">
        <v>25</v>
      </c>
      <c r="F6039">
        <v>1290.1099999999999</v>
      </c>
      <c r="G6039">
        <v>11.4</v>
      </c>
      <c r="K6039">
        <v>0.1</v>
      </c>
      <c r="L6039">
        <v>7</v>
      </c>
      <c r="M6039">
        <v>99.4</v>
      </c>
    </row>
    <row r="6040" spans="2:13" x14ac:dyDescent="0.2">
      <c r="C6040" t="s">
        <v>27</v>
      </c>
    </row>
    <row r="6041" spans="2:13" x14ac:dyDescent="0.2">
      <c r="C6041" t="s">
        <v>28</v>
      </c>
      <c r="D6041" t="s">
        <v>16</v>
      </c>
      <c r="E6041" t="s">
        <v>29</v>
      </c>
      <c r="F6041" t="s">
        <v>18</v>
      </c>
    </row>
    <row r="6042" spans="2:13" x14ac:dyDescent="0.2">
      <c r="C6042" t="b">
        <v>0</v>
      </c>
      <c r="D6042">
        <v>1160.0899999999999</v>
      </c>
      <c r="E6042" t="s">
        <v>30</v>
      </c>
    </row>
    <row r="6043" spans="2:13" x14ac:dyDescent="0.2">
      <c r="C6043" t="b">
        <v>0</v>
      </c>
      <c r="D6043">
        <v>1160.0899999999999</v>
      </c>
      <c r="E6043" t="s">
        <v>30</v>
      </c>
    </row>
    <row r="6044" spans="2:13" x14ac:dyDescent="0.2">
      <c r="C6044" t="b">
        <v>0</v>
      </c>
      <c r="D6044">
        <v>1570.13</v>
      </c>
      <c r="E6044" t="s">
        <v>30</v>
      </c>
    </row>
    <row r="6045" spans="2:13" x14ac:dyDescent="0.2">
      <c r="C6045" t="b">
        <v>0</v>
      </c>
      <c r="D6045">
        <v>1270.0999999999999</v>
      </c>
      <c r="E6045" t="s">
        <v>30</v>
      </c>
    </row>
    <row r="6046" spans="2:13" x14ac:dyDescent="0.2">
      <c r="C6046" t="b">
        <v>0</v>
      </c>
      <c r="D6046">
        <v>1180.0899999999999</v>
      </c>
      <c r="E6046" t="s">
        <v>30</v>
      </c>
    </row>
    <row r="6047" spans="2:13" x14ac:dyDescent="0.2">
      <c r="C6047" t="b">
        <v>0</v>
      </c>
      <c r="D6047">
        <v>1340.12</v>
      </c>
      <c r="E6047" t="s">
        <v>30</v>
      </c>
    </row>
    <row r="6048" spans="2:13" x14ac:dyDescent="0.2">
      <c r="C6048" t="b">
        <v>0</v>
      </c>
      <c r="D6048">
        <v>1350.12</v>
      </c>
      <c r="E6048" t="s">
        <v>30</v>
      </c>
    </row>
    <row r="6049" spans="2:13" x14ac:dyDescent="0.2">
      <c r="B6049" t="s">
        <v>11</v>
      </c>
    </row>
    <row r="6050" spans="2:13" x14ac:dyDescent="0.2">
      <c r="B6050" t="s">
        <v>12</v>
      </c>
      <c r="C6050" t="s">
        <v>13</v>
      </c>
      <c r="D6050" t="s">
        <v>14</v>
      </c>
      <c r="E6050" t="s">
        <v>15</v>
      </c>
      <c r="F6050" t="s">
        <v>16</v>
      </c>
      <c r="G6050" t="s">
        <v>17</v>
      </c>
      <c r="H6050" t="s">
        <v>18</v>
      </c>
      <c r="I6050" t="s">
        <v>19</v>
      </c>
      <c r="J6050" t="s">
        <v>20</v>
      </c>
      <c r="K6050" t="s">
        <v>21</v>
      </c>
      <c r="L6050" t="s">
        <v>22</v>
      </c>
      <c r="M6050" t="s">
        <v>23</v>
      </c>
    </row>
    <row r="6051" spans="2:13" x14ac:dyDescent="0.2">
      <c r="B6051" t="s">
        <v>32</v>
      </c>
      <c r="C6051">
        <v>72</v>
      </c>
      <c r="E6051" t="s">
        <v>25</v>
      </c>
      <c r="F6051">
        <v>1128.6600000000001</v>
      </c>
      <c r="G6051">
        <v>5.3</v>
      </c>
      <c r="K6051">
        <v>0.1</v>
      </c>
      <c r="L6051">
        <v>7</v>
      </c>
      <c r="M6051">
        <v>81.8</v>
      </c>
    </row>
    <row r="6052" spans="2:13" x14ac:dyDescent="0.2">
      <c r="C6052" t="s">
        <v>27</v>
      </c>
    </row>
    <row r="6053" spans="2:13" x14ac:dyDescent="0.2">
      <c r="C6053" t="s">
        <v>28</v>
      </c>
      <c r="D6053" t="s">
        <v>16</v>
      </c>
      <c r="E6053" t="s">
        <v>29</v>
      </c>
      <c r="F6053" t="s">
        <v>18</v>
      </c>
    </row>
    <row r="6054" spans="2:13" x14ac:dyDescent="0.2">
      <c r="C6054" t="b">
        <v>0</v>
      </c>
      <c r="D6054">
        <v>1160.0999999999999</v>
      </c>
      <c r="E6054" t="s">
        <v>30</v>
      </c>
    </row>
    <row r="6055" spans="2:13" x14ac:dyDescent="0.2">
      <c r="C6055" t="b">
        <v>0</v>
      </c>
      <c r="D6055">
        <v>1130.0899999999999</v>
      </c>
      <c r="E6055" t="s">
        <v>30</v>
      </c>
    </row>
    <row r="6056" spans="2:13" x14ac:dyDescent="0.2">
      <c r="C6056" t="b">
        <v>0</v>
      </c>
      <c r="D6056">
        <v>1140.0899999999999</v>
      </c>
      <c r="E6056" t="s">
        <v>30</v>
      </c>
    </row>
    <row r="6057" spans="2:13" x14ac:dyDescent="0.2">
      <c r="C6057" t="b">
        <v>0</v>
      </c>
      <c r="D6057">
        <v>1080.08</v>
      </c>
      <c r="E6057" t="s">
        <v>30</v>
      </c>
    </row>
    <row r="6058" spans="2:13" x14ac:dyDescent="0.2">
      <c r="C6058" t="b">
        <v>0</v>
      </c>
      <c r="D6058">
        <v>1040.08</v>
      </c>
      <c r="E6058" t="s">
        <v>30</v>
      </c>
    </row>
    <row r="6059" spans="2:13" x14ac:dyDescent="0.2">
      <c r="C6059" t="b">
        <v>0</v>
      </c>
      <c r="D6059">
        <v>1120.0899999999999</v>
      </c>
      <c r="E6059" t="s">
        <v>30</v>
      </c>
    </row>
    <row r="6060" spans="2:13" x14ac:dyDescent="0.2">
      <c r="C6060" t="b">
        <v>0</v>
      </c>
      <c r="D6060">
        <v>1230.1099999999999</v>
      </c>
      <c r="E6060" t="s">
        <v>30</v>
      </c>
    </row>
    <row r="6061" spans="2:13" x14ac:dyDescent="0.2">
      <c r="B6061" t="s">
        <v>11</v>
      </c>
    </row>
    <row r="6062" spans="2:13" x14ac:dyDescent="0.2">
      <c r="B6062" t="s">
        <v>12</v>
      </c>
      <c r="C6062" t="s">
        <v>13</v>
      </c>
      <c r="D6062" t="s">
        <v>14</v>
      </c>
      <c r="E6062" t="s">
        <v>15</v>
      </c>
      <c r="F6062" t="s">
        <v>16</v>
      </c>
      <c r="G6062" t="s">
        <v>17</v>
      </c>
      <c r="H6062" t="s">
        <v>18</v>
      </c>
      <c r="I6062" t="s">
        <v>19</v>
      </c>
      <c r="J6062" t="s">
        <v>20</v>
      </c>
      <c r="K6062" t="s">
        <v>21</v>
      </c>
      <c r="L6062" t="s">
        <v>22</v>
      </c>
      <c r="M6062" t="s">
        <v>23</v>
      </c>
    </row>
    <row r="6063" spans="2:13" x14ac:dyDescent="0.2">
      <c r="B6063" t="s">
        <v>33</v>
      </c>
      <c r="C6063">
        <v>89</v>
      </c>
      <c r="E6063" t="s">
        <v>25</v>
      </c>
      <c r="F6063">
        <v>6031.51</v>
      </c>
      <c r="G6063">
        <v>6.9</v>
      </c>
      <c r="K6063">
        <v>0.1</v>
      </c>
      <c r="L6063">
        <v>7</v>
      </c>
      <c r="M6063">
        <v>80.099999999999994</v>
      </c>
    </row>
    <row r="6064" spans="2:13" x14ac:dyDescent="0.2">
      <c r="C6064" t="s">
        <v>27</v>
      </c>
    </row>
    <row r="6065" spans="1:13" x14ac:dyDescent="0.2">
      <c r="C6065" t="s">
        <v>28</v>
      </c>
      <c r="D6065" t="s">
        <v>16</v>
      </c>
      <c r="E6065" t="s">
        <v>29</v>
      </c>
      <c r="F6065" t="s">
        <v>18</v>
      </c>
    </row>
    <row r="6066" spans="1:13" x14ac:dyDescent="0.2">
      <c r="C6066" t="b">
        <v>0</v>
      </c>
      <c r="D6066">
        <v>6421.74</v>
      </c>
      <c r="E6066" t="s">
        <v>30</v>
      </c>
    </row>
    <row r="6067" spans="1:13" x14ac:dyDescent="0.2">
      <c r="C6067" t="b">
        <v>0</v>
      </c>
      <c r="D6067">
        <v>6161.53</v>
      </c>
      <c r="E6067" t="s">
        <v>30</v>
      </c>
    </row>
    <row r="6068" spans="1:13" x14ac:dyDescent="0.2">
      <c r="C6068" t="b">
        <v>0</v>
      </c>
      <c r="D6068">
        <v>5991.48</v>
      </c>
      <c r="E6068" t="s">
        <v>30</v>
      </c>
    </row>
    <row r="6069" spans="1:13" x14ac:dyDescent="0.2">
      <c r="C6069" t="b">
        <v>0</v>
      </c>
      <c r="D6069">
        <v>5421.24</v>
      </c>
      <c r="E6069" t="s">
        <v>30</v>
      </c>
    </row>
    <row r="6070" spans="1:13" x14ac:dyDescent="0.2">
      <c r="C6070" t="b">
        <v>0</v>
      </c>
      <c r="D6070">
        <v>5541.3</v>
      </c>
      <c r="E6070" t="s">
        <v>30</v>
      </c>
    </row>
    <row r="6071" spans="1:13" x14ac:dyDescent="0.2">
      <c r="C6071" t="b">
        <v>0</v>
      </c>
      <c r="D6071">
        <v>6181.55</v>
      </c>
      <c r="E6071" t="s">
        <v>30</v>
      </c>
    </row>
    <row r="6072" spans="1:13" x14ac:dyDescent="0.2">
      <c r="C6072" t="b">
        <v>0</v>
      </c>
      <c r="D6072">
        <v>6501.71</v>
      </c>
      <c r="E6072" t="s">
        <v>30</v>
      </c>
    </row>
    <row r="6073" spans="1:13" x14ac:dyDescent="0.2">
      <c r="A6073" t="s">
        <v>0</v>
      </c>
    </row>
    <row r="6074" spans="1:13" x14ac:dyDescent="0.2">
      <c r="B6074" t="s">
        <v>1</v>
      </c>
      <c r="C6074" t="s">
        <v>2</v>
      </c>
      <c r="D6074" t="s">
        <v>3</v>
      </c>
      <c r="E6074" t="s">
        <v>4</v>
      </c>
      <c r="F6074" t="s">
        <v>5</v>
      </c>
      <c r="G6074" t="s">
        <v>6</v>
      </c>
    </row>
    <row r="6075" spans="1:13" x14ac:dyDescent="0.2">
      <c r="B6075" t="b">
        <v>0</v>
      </c>
      <c r="C6075" t="s">
        <v>210</v>
      </c>
      <c r="D6075" t="s">
        <v>406</v>
      </c>
      <c r="E6075" t="s">
        <v>9</v>
      </c>
      <c r="G6075" t="s">
        <v>146</v>
      </c>
    </row>
    <row r="6076" spans="1:13" x14ac:dyDescent="0.2">
      <c r="B6076" t="s">
        <v>11</v>
      </c>
    </row>
    <row r="6077" spans="1:13" x14ac:dyDescent="0.2">
      <c r="B6077" t="s">
        <v>12</v>
      </c>
      <c r="C6077" t="s">
        <v>13</v>
      </c>
      <c r="D6077" t="s">
        <v>14</v>
      </c>
      <c r="E6077" t="s">
        <v>15</v>
      </c>
      <c r="F6077" t="s">
        <v>16</v>
      </c>
      <c r="G6077" t="s">
        <v>17</v>
      </c>
      <c r="H6077" t="s">
        <v>18</v>
      </c>
      <c r="I6077" t="s">
        <v>19</v>
      </c>
      <c r="J6077" t="s">
        <v>20</v>
      </c>
      <c r="K6077" t="s">
        <v>21</v>
      </c>
      <c r="L6077" t="s">
        <v>22</v>
      </c>
      <c r="M6077" t="s">
        <v>23</v>
      </c>
    </row>
    <row r="6078" spans="1:13" x14ac:dyDescent="0.2">
      <c r="B6078" t="s">
        <v>24</v>
      </c>
      <c r="C6078">
        <v>59</v>
      </c>
      <c r="E6078" t="s">
        <v>25</v>
      </c>
      <c r="F6078">
        <v>245.72</v>
      </c>
      <c r="G6078">
        <v>27.1</v>
      </c>
      <c r="H6078">
        <v>0</v>
      </c>
      <c r="I6078" t="s">
        <v>26</v>
      </c>
      <c r="J6078">
        <v>32.1</v>
      </c>
      <c r="K6078">
        <v>0.1</v>
      </c>
      <c r="L6078">
        <v>7</v>
      </c>
    </row>
    <row r="6079" spans="1:13" x14ac:dyDescent="0.2">
      <c r="C6079" t="s">
        <v>27</v>
      </c>
    </row>
    <row r="6080" spans="1:13" x14ac:dyDescent="0.2">
      <c r="C6080" t="s">
        <v>28</v>
      </c>
      <c r="D6080" t="s">
        <v>16</v>
      </c>
      <c r="E6080" t="s">
        <v>29</v>
      </c>
      <c r="F6080" t="s">
        <v>18</v>
      </c>
    </row>
    <row r="6081" spans="2:13" x14ac:dyDescent="0.2">
      <c r="C6081" t="b">
        <v>0</v>
      </c>
      <c r="D6081">
        <v>230.01</v>
      </c>
      <c r="E6081" t="s">
        <v>30</v>
      </c>
      <c r="F6081">
        <v>0</v>
      </c>
    </row>
    <row r="6082" spans="2:13" x14ac:dyDescent="0.2">
      <c r="C6082" t="b">
        <v>0</v>
      </c>
      <c r="D6082">
        <v>180.01</v>
      </c>
      <c r="E6082" t="s">
        <v>30</v>
      </c>
      <c r="F6082">
        <v>0</v>
      </c>
    </row>
    <row r="6083" spans="2:13" x14ac:dyDescent="0.2">
      <c r="C6083" t="b">
        <v>0</v>
      </c>
      <c r="D6083">
        <v>240.01</v>
      </c>
      <c r="E6083" t="s">
        <v>30</v>
      </c>
      <c r="F6083">
        <v>0</v>
      </c>
    </row>
    <row r="6084" spans="2:13" x14ac:dyDescent="0.2">
      <c r="C6084" t="b">
        <v>0</v>
      </c>
      <c r="D6084">
        <v>390.01</v>
      </c>
      <c r="E6084" t="s">
        <v>30</v>
      </c>
      <c r="F6084">
        <v>0</v>
      </c>
    </row>
    <row r="6085" spans="2:13" x14ac:dyDescent="0.2">
      <c r="C6085" t="b">
        <v>0</v>
      </c>
      <c r="D6085">
        <v>230.01</v>
      </c>
      <c r="E6085" t="s">
        <v>30</v>
      </c>
      <c r="F6085">
        <v>0</v>
      </c>
    </row>
    <row r="6086" spans="2:13" x14ac:dyDescent="0.2">
      <c r="C6086" t="b">
        <v>0</v>
      </c>
      <c r="D6086">
        <v>220.01</v>
      </c>
      <c r="E6086" t="s">
        <v>30</v>
      </c>
      <c r="F6086">
        <v>0</v>
      </c>
    </row>
    <row r="6087" spans="2:13" x14ac:dyDescent="0.2">
      <c r="C6087" t="b">
        <v>0</v>
      </c>
      <c r="D6087">
        <v>230.01</v>
      </c>
      <c r="E6087" t="s">
        <v>30</v>
      </c>
      <c r="F6087">
        <v>0</v>
      </c>
    </row>
    <row r="6088" spans="2:13" x14ac:dyDescent="0.2">
      <c r="B6088" t="s">
        <v>11</v>
      </c>
    </row>
    <row r="6089" spans="2:13" x14ac:dyDescent="0.2">
      <c r="B6089" t="s">
        <v>12</v>
      </c>
      <c r="C6089" t="s">
        <v>13</v>
      </c>
      <c r="D6089" t="s">
        <v>14</v>
      </c>
      <c r="E6089" t="s">
        <v>15</v>
      </c>
      <c r="F6089" t="s">
        <v>16</v>
      </c>
      <c r="G6089" t="s">
        <v>17</v>
      </c>
      <c r="H6089" t="s">
        <v>18</v>
      </c>
      <c r="I6089" t="s">
        <v>19</v>
      </c>
      <c r="J6089" t="s">
        <v>20</v>
      </c>
      <c r="K6089" t="s">
        <v>21</v>
      </c>
      <c r="L6089" t="s">
        <v>22</v>
      </c>
      <c r="M6089" t="s">
        <v>23</v>
      </c>
    </row>
    <row r="6090" spans="2:13" x14ac:dyDescent="0.2">
      <c r="B6090" t="s">
        <v>31</v>
      </c>
      <c r="C6090">
        <v>45</v>
      </c>
      <c r="E6090" t="s">
        <v>25</v>
      </c>
      <c r="F6090">
        <v>1380.12</v>
      </c>
      <c r="G6090">
        <v>7.1</v>
      </c>
      <c r="K6090">
        <v>0.1</v>
      </c>
      <c r="L6090">
        <v>7</v>
      </c>
      <c r="M6090">
        <v>106.4</v>
      </c>
    </row>
    <row r="6091" spans="2:13" x14ac:dyDescent="0.2">
      <c r="C6091" t="s">
        <v>27</v>
      </c>
    </row>
    <row r="6092" spans="2:13" x14ac:dyDescent="0.2">
      <c r="C6092" t="s">
        <v>28</v>
      </c>
      <c r="D6092" t="s">
        <v>16</v>
      </c>
      <c r="E6092" t="s">
        <v>29</v>
      </c>
      <c r="F6092" t="s">
        <v>18</v>
      </c>
    </row>
    <row r="6093" spans="2:13" x14ac:dyDescent="0.2">
      <c r="C6093" t="b">
        <v>0</v>
      </c>
      <c r="D6093">
        <v>1290.1199999999999</v>
      </c>
      <c r="E6093" t="s">
        <v>30</v>
      </c>
    </row>
    <row r="6094" spans="2:13" x14ac:dyDescent="0.2">
      <c r="C6094" t="b">
        <v>0</v>
      </c>
      <c r="D6094">
        <v>1370.12</v>
      </c>
      <c r="E6094" t="s">
        <v>30</v>
      </c>
    </row>
    <row r="6095" spans="2:13" x14ac:dyDescent="0.2">
      <c r="C6095" t="b">
        <v>0</v>
      </c>
      <c r="D6095">
        <v>1380.12</v>
      </c>
      <c r="E6095" t="s">
        <v>30</v>
      </c>
    </row>
    <row r="6096" spans="2:13" x14ac:dyDescent="0.2">
      <c r="C6096" t="b">
        <v>0</v>
      </c>
      <c r="D6096">
        <v>1490.14</v>
      </c>
      <c r="E6096" t="s">
        <v>30</v>
      </c>
    </row>
    <row r="6097" spans="2:13" x14ac:dyDescent="0.2">
      <c r="C6097" t="b">
        <v>0</v>
      </c>
      <c r="D6097">
        <v>1230.0999999999999</v>
      </c>
      <c r="E6097" t="s">
        <v>30</v>
      </c>
    </row>
    <row r="6098" spans="2:13" x14ac:dyDescent="0.2">
      <c r="C6098" t="b">
        <v>0</v>
      </c>
      <c r="D6098">
        <v>1400.12</v>
      </c>
      <c r="E6098" t="s">
        <v>30</v>
      </c>
    </row>
    <row r="6099" spans="2:13" x14ac:dyDescent="0.2">
      <c r="C6099" t="b">
        <v>0</v>
      </c>
      <c r="D6099">
        <v>1500.13</v>
      </c>
      <c r="E6099" t="s">
        <v>30</v>
      </c>
    </row>
    <row r="6100" spans="2:13" x14ac:dyDescent="0.2">
      <c r="B6100" t="s">
        <v>11</v>
      </c>
    </row>
    <row r="6101" spans="2:13" x14ac:dyDescent="0.2">
      <c r="B6101" t="s">
        <v>12</v>
      </c>
      <c r="C6101" t="s">
        <v>13</v>
      </c>
      <c r="D6101" t="s">
        <v>14</v>
      </c>
      <c r="E6101" t="s">
        <v>15</v>
      </c>
      <c r="F6101" t="s">
        <v>16</v>
      </c>
      <c r="G6101" t="s">
        <v>17</v>
      </c>
      <c r="H6101" t="s">
        <v>18</v>
      </c>
      <c r="I6101" t="s">
        <v>19</v>
      </c>
      <c r="J6101" t="s">
        <v>20</v>
      </c>
      <c r="K6101" t="s">
        <v>21</v>
      </c>
      <c r="L6101" t="s">
        <v>22</v>
      </c>
      <c r="M6101" t="s">
        <v>23</v>
      </c>
    </row>
    <row r="6102" spans="2:13" x14ac:dyDescent="0.2">
      <c r="B6102" t="s">
        <v>32</v>
      </c>
      <c r="C6102">
        <v>72</v>
      </c>
      <c r="E6102" t="s">
        <v>25</v>
      </c>
      <c r="F6102">
        <v>1432.98</v>
      </c>
      <c r="G6102">
        <v>6.9</v>
      </c>
      <c r="K6102">
        <v>0.1</v>
      </c>
      <c r="L6102">
        <v>7</v>
      </c>
      <c r="M6102">
        <v>103.8</v>
      </c>
    </row>
    <row r="6103" spans="2:13" x14ac:dyDescent="0.2">
      <c r="C6103" t="s">
        <v>27</v>
      </c>
    </row>
    <row r="6104" spans="2:13" x14ac:dyDescent="0.2">
      <c r="C6104" t="s">
        <v>28</v>
      </c>
      <c r="D6104" t="s">
        <v>16</v>
      </c>
      <c r="E6104" t="s">
        <v>29</v>
      </c>
      <c r="F6104" t="s">
        <v>18</v>
      </c>
    </row>
    <row r="6105" spans="2:13" x14ac:dyDescent="0.2">
      <c r="C6105" t="b">
        <v>0</v>
      </c>
      <c r="D6105">
        <v>1280.0999999999999</v>
      </c>
      <c r="E6105" t="s">
        <v>30</v>
      </c>
    </row>
    <row r="6106" spans="2:13" x14ac:dyDescent="0.2">
      <c r="C6106" t="b">
        <v>0</v>
      </c>
      <c r="D6106">
        <v>1490.15</v>
      </c>
      <c r="E6106" t="s">
        <v>30</v>
      </c>
    </row>
    <row r="6107" spans="2:13" x14ac:dyDescent="0.2">
      <c r="C6107" t="b">
        <v>0</v>
      </c>
      <c r="D6107">
        <v>1550.14</v>
      </c>
      <c r="E6107" t="s">
        <v>30</v>
      </c>
    </row>
    <row r="6108" spans="2:13" x14ac:dyDescent="0.2">
      <c r="C6108" t="b">
        <v>0</v>
      </c>
      <c r="D6108">
        <v>1450.13</v>
      </c>
      <c r="E6108" t="s">
        <v>30</v>
      </c>
    </row>
    <row r="6109" spans="2:13" x14ac:dyDescent="0.2">
      <c r="C6109" t="b">
        <v>0</v>
      </c>
      <c r="D6109">
        <v>1430.12</v>
      </c>
      <c r="E6109" t="s">
        <v>30</v>
      </c>
    </row>
    <row r="6110" spans="2:13" x14ac:dyDescent="0.2">
      <c r="C6110" t="b">
        <v>0</v>
      </c>
      <c r="D6110">
        <v>1320.11</v>
      </c>
      <c r="E6110" t="s">
        <v>30</v>
      </c>
    </row>
    <row r="6111" spans="2:13" x14ac:dyDescent="0.2">
      <c r="C6111" t="b">
        <v>0</v>
      </c>
      <c r="D6111">
        <v>1510.14</v>
      </c>
      <c r="E6111" t="s">
        <v>30</v>
      </c>
    </row>
    <row r="6112" spans="2:13" x14ac:dyDescent="0.2">
      <c r="B6112" t="s">
        <v>11</v>
      </c>
    </row>
    <row r="6113" spans="1:13" x14ac:dyDescent="0.2">
      <c r="B6113" t="s">
        <v>12</v>
      </c>
      <c r="C6113" t="s">
        <v>13</v>
      </c>
      <c r="D6113" t="s">
        <v>14</v>
      </c>
      <c r="E6113" t="s">
        <v>15</v>
      </c>
      <c r="F6113" t="s">
        <v>16</v>
      </c>
      <c r="G6113" t="s">
        <v>17</v>
      </c>
      <c r="H6113" t="s">
        <v>18</v>
      </c>
      <c r="I6113" t="s">
        <v>19</v>
      </c>
      <c r="J6113" t="s">
        <v>20</v>
      </c>
      <c r="K6113" t="s">
        <v>21</v>
      </c>
      <c r="L6113" t="s">
        <v>22</v>
      </c>
      <c r="M6113" t="s">
        <v>23</v>
      </c>
    </row>
    <row r="6114" spans="1:13" x14ac:dyDescent="0.2">
      <c r="B6114" t="s">
        <v>33</v>
      </c>
      <c r="C6114">
        <v>89</v>
      </c>
      <c r="E6114" t="s">
        <v>25</v>
      </c>
      <c r="F6114">
        <v>8095.51</v>
      </c>
      <c r="G6114">
        <v>4.0999999999999996</v>
      </c>
      <c r="K6114">
        <v>0.1</v>
      </c>
      <c r="L6114">
        <v>7</v>
      </c>
      <c r="M6114">
        <v>107.5</v>
      </c>
    </row>
    <row r="6115" spans="1:13" x14ac:dyDescent="0.2">
      <c r="C6115" t="s">
        <v>27</v>
      </c>
    </row>
    <row r="6116" spans="1:13" x14ac:dyDescent="0.2">
      <c r="C6116" t="s">
        <v>28</v>
      </c>
      <c r="D6116" t="s">
        <v>16</v>
      </c>
      <c r="E6116" t="s">
        <v>29</v>
      </c>
      <c r="F6116" t="s">
        <v>18</v>
      </c>
    </row>
    <row r="6117" spans="1:13" x14ac:dyDescent="0.2">
      <c r="C6117" t="b">
        <v>0</v>
      </c>
      <c r="D6117">
        <v>7562.31</v>
      </c>
      <c r="E6117" t="s">
        <v>30</v>
      </c>
    </row>
    <row r="6118" spans="1:13" x14ac:dyDescent="0.2">
      <c r="C6118" t="b">
        <v>0</v>
      </c>
      <c r="D6118">
        <v>7992.57</v>
      </c>
      <c r="E6118" t="s">
        <v>30</v>
      </c>
    </row>
    <row r="6119" spans="1:13" x14ac:dyDescent="0.2">
      <c r="C6119" t="b">
        <v>0</v>
      </c>
      <c r="D6119">
        <v>7982.64</v>
      </c>
      <c r="E6119" t="s">
        <v>30</v>
      </c>
    </row>
    <row r="6120" spans="1:13" x14ac:dyDescent="0.2">
      <c r="C6120" t="b">
        <v>0</v>
      </c>
      <c r="D6120">
        <v>7912.53</v>
      </c>
      <c r="E6120" t="s">
        <v>30</v>
      </c>
    </row>
    <row r="6121" spans="1:13" x14ac:dyDescent="0.2">
      <c r="C6121" t="b">
        <v>0</v>
      </c>
      <c r="D6121">
        <v>8502.82</v>
      </c>
      <c r="E6121" t="s">
        <v>30</v>
      </c>
    </row>
    <row r="6122" spans="1:13" x14ac:dyDescent="0.2">
      <c r="C6122" t="b">
        <v>0</v>
      </c>
      <c r="D6122">
        <v>8392.89</v>
      </c>
      <c r="E6122" t="s">
        <v>30</v>
      </c>
    </row>
    <row r="6123" spans="1:13" x14ac:dyDescent="0.2">
      <c r="C6123" t="b">
        <v>0</v>
      </c>
      <c r="D6123">
        <v>8322.7999999999993</v>
      </c>
      <c r="E6123" t="s">
        <v>30</v>
      </c>
    </row>
    <row r="6124" spans="1:13" x14ac:dyDescent="0.2">
      <c r="A6124" t="s">
        <v>0</v>
      </c>
    </row>
    <row r="6125" spans="1:13" x14ac:dyDescent="0.2">
      <c r="B6125" t="s">
        <v>1</v>
      </c>
      <c r="C6125" t="s">
        <v>2</v>
      </c>
      <c r="D6125" t="s">
        <v>3</v>
      </c>
      <c r="E6125" t="s">
        <v>4</v>
      </c>
      <c r="F6125" t="s">
        <v>5</v>
      </c>
      <c r="G6125" t="s">
        <v>6</v>
      </c>
    </row>
    <row r="6126" spans="1:13" x14ac:dyDescent="0.2">
      <c r="A6126" t="s">
        <v>407</v>
      </c>
      <c r="B6126" t="b">
        <v>0</v>
      </c>
      <c r="C6126" t="s">
        <v>408</v>
      </c>
      <c r="D6126" t="s">
        <v>409</v>
      </c>
      <c r="E6126" t="s">
        <v>0</v>
      </c>
      <c r="G6126" t="s">
        <v>410</v>
      </c>
    </row>
    <row r="6127" spans="1:13" x14ac:dyDescent="0.2">
      <c r="B6127" t="s">
        <v>11</v>
      </c>
    </row>
    <row r="6128" spans="1:13" x14ac:dyDescent="0.2">
      <c r="B6128" t="s">
        <v>12</v>
      </c>
      <c r="C6128" t="s">
        <v>13</v>
      </c>
      <c r="D6128" t="s">
        <v>14</v>
      </c>
      <c r="E6128" t="s">
        <v>15</v>
      </c>
      <c r="F6128" t="s">
        <v>16</v>
      </c>
      <c r="G6128" t="s">
        <v>17</v>
      </c>
      <c r="H6128" t="s">
        <v>18</v>
      </c>
      <c r="I6128" t="s">
        <v>19</v>
      </c>
      <c r="J6128" t="s">
        <v>20</v>
      </c>
      <c r="K6128" t="s">
        <v>21</v>
      </c>
      <c r="L6128" t="s">
        <v>22</v>
      </c>
      <c r="M6128" t="s">
        <v>23</v>
      </c>
    </row>
    <row r="6129" spans="2:13" x14ac:dyDescent="0.2">
      <c r="B6129" t="s">
        <v>24</v>
      </c>
      <c r="C6129">
        <v>59</v>
      </c>
      <c r="E6129" t="s">
        <v>25</v>
      </c>
      <c r="F6129">
        <v>1630559.62</v>
      </c>
      <c r="G6129">
        <v>1.5</v>
      </c>
      <c r="H6129">
        <v>0.503</v>
      </c>
      <c r="I6129" t="s">
        <v>26</v>
      </c>
      <c r="J6129">
        <v>1.5</v>
      </c>
      <c r="K6129">
        <v>0.1</v>
      </c>
      <c r="L6129">
        <v>7</v>
      </c>
    </row>
    <row r="6130" spans="2:13" x14ac:dyDescent="0.2">
      <c r="C6130" t="s">
        <v>27</v>
      </c>
    </row>
    <row r="6131" spans="2:13" x14ac:dyDescent="0.2">
      <c r="C6131" t="s">
        <v>28</v>
      </c>
      <c r="D6131" t="s">
        <v>16</v>
      </c>
      <c r="E6131" t="s">
        <v>29</v>
      </c>
      <c r="F6131" t="s">
        <v>18</v>
      </c>
    </row>
    <row r="6132" spans="2:13" x14ac:dyDescent="0.2">
      <c r="C6132" t="b">
        <v>0</v>
      </c>
      <c r="D6132">
        <v>1614174.98</v>
      </c>
      <c r="E6132" t="s">
        <v>67</v>
      </c>
      <c r="F6132">
        <v>0.497</v>
      </c>
    </row>
    <row r="6133" spans="2:13" x14ac:dyDescent="0.2">
      <c r="C6133" t="b">
        <v>0</v>
      </c>
      <c r="D6133">
        <v>1604910.29</v>
      </c>
      <c r="E6133" t="s">
        <v>67</v>
      </c>
      <c r="F6133">
        <v>0.495</v>
      </c>
    </row>
    <row r="6134" spans="2:13" x14ac:dyDescent="0.2">
      <c r="C6134" t="b">
        <v>0</v>
      </c>
      <c r="D6134">
        <v>1656523.73</v>
      </c>
      <c r="E6134" t="s">
        <v>67</v>
      </c>
      <c r="F6134">
        <v>0.51100000000000001</v>
      </c>
    </row>
    <row r="6135" spans="2:13" x14ac:dyDescent="0.2">
      <c r="C6135" t="b">
        <v>0</v>
      </c>
      <c r="D6135">
        <v>1602135.13</v>
      </c>
      <c r="E6135" t="s">
        <v>67</v>
      </c>
      <c r="F6135">
        <v>0.49399999999999999</v>
      </c>
    </row>
    <row r="6136" spans="2:13" x14ac:dyDescent="0.2">
      <c r="C6136" t="b">
        <v>0</v>
      </c>
      <c r="D6136">
        <v>1660447.79</v>
      </c>
      <c r="E6136" t="s">
        <v>67</v>
      </c>
      <c r="F6136">
        <v>0.51200000000000001</v>
      </c>
    </row>
    <row r="6137" spans="2:13" x14ac:dyDescent="0.2">
      <c r="C6137" t="b">
        <v>0</v>
      </c>
      <c r="D6137">
        <v>1632436.69</v>
      </c>
      <c r="E6137" t="s">
        <v>67</v>
      </c>
      <c r="F6137">
        <v>0.503</v>
      </c>
    </row>
    <row r="6138" spans="2:13" x14ac:dyDescent="0.2">
      <c r="C6138" t="b">
        <v>0</v>
      </c>
      <c r="D6138">
        <v>1643288.73</v>
      </c>
      <c r="E6138" t="s">
        <v>67</v>
      </c>
      <c r="F6138">
        <v>0.50600000000000001</v>
      </c>
    </row>
    <row r="6139" spans="2:13" x14ac:dyDescent="0.2">
      <c r="B6139" t="s">
        <v>11</v>
      </c>
    </row>
    <row r="6140" spans="2:13" x14ac:dyDescent="0.2">
      <c r="B6140" t="s">
        <v>12</v>
      </c>
      <c r="C6140" t="s">
        <v>13</v>
      </c>
      <c r="D6140" t="s">
        <v>14</v>
      </c>
      <c r="E6140" t="s">
        <v>15</v>
      </c>
      <c r="F6140" t="s">
        <v>16</v>
      </c>
      <c r="G6140" t="s">
        <v>17</v>
      </c>
      <c r="H6140" t="s">
        <v>18</v>
      </c>
      <c r="I6140" t="s">
        <v>19</v>
      </c>
      <c r="J6140" t="s">
        <v>20</v>
      </c>
      <c r="K6140" t="s">
        <v>21</v>
      </c>
      <c r="L6140" t="s">
        <v>22</v>
      </c>
      <c r="M6140" t="s">
        <v>23</v>
      </c>
    </row>
    <row r="6141" spans="2:13" x14ac:dyDescent="0.2">
      <c r="B6141" t="s">
        <v>31</v>
      </c>
      <c r="C6141">
        <v>45</v>
      </c>
      <c r="E6141" t="s">
        <v>25</v>
      </c>
      <c r="F6141">
        <v>1708.74</v>
      </c>
      <c r="G6141">
        <v>6.4</v>
      </c>
      <c r="K6141">
        <v>0.1</v>
      </c>
      <c r="L6141">
        <v>7</v>
      </c>
      <c r="M6141">
        <v>131.69999999999999</v>
      </c>
    </row>
    <row r="6142" spans="2:13" x14ac:dyDescent="0.2">
      <c r="C6142" t="s">
        <v>27</v>
      </c>
    </row>
    <row r="6143" spans="2:13" x14ac:dyDescent="0.2">
      <c r="C6143" t="s">
        <v>28</v>
      </c>
      <c r="D6143" t="s">
        <v>16</v>
      </c>
      <c r="E6143" t="s">
        <v>29</v>
      </c>
      <c r="F6143" t="s">
        <v>18</v>
      </c>
    </row>
    <row r="6144" spans="2:13" x14ac:dyDescent="0.2">
      <c r="C6144" t="b">
        <v>0</v>
      </c>
      <c r="D6144">
        <v>1670.14</v>
      </c>
      <c r="E6144" t="s">
        <v>30</v>
      </c>
    </row>
    <row r="6145" spans="2:13" x14ac:dyDescent="0.2">
      <c r="C6145" t="b">
        <v>0</v>
      </c>
      <c r="D6145">
        <v>1550.14</v>
      </c>
      <c r="E6145" t="s">
        <v>30</v>
      </c>
    </row>
    <row r="6146" spans="2:13" x14ac:dyDescent="0.2">
      <c r="C6146" t="b">
        <v>0</v>
      </c>
      <c r="D6146">
        <v>1720.17</v>
      </c>
      <c r="E6146" t="s">
        <v>30</v>
      </c>
    </row>
    <row r="6147" spans="2:13" x14ac:dyDescent="0.2">
      <c r="C6147" t="b">
        <v>0</v>
      </c>
      <c r="D6147">
        <v>1770.19</v>
      </c>
      <c r="E6147" t="s">
        <v>30</v>
      </c>
    </row>
    <row r="6148" spans="2:13" x14ac:dyDescent="0.2">
      <c r="C6148" t="b">
        <v>0</v>
      </c>
      <c r="D6148">
        <v>1850.18</v>
      </c>
      <c r="E6148" t="s">
        <v>30</v>
      </c>
    </row>
    <row r="6149" spans="2:13" x14ac:dyDescent="0.2">
      <c r="C6149" t="b">
        <v>0</v>
      </c>
      <c r="D6149">
        <v>1800.2</v>
      </c>
      <c r="E6149" t="s">
        <v>30</v>
      </c>
    </row>
    <row r="6150" spans="2:13" x14ac:dyDescent="0.2">
      <c r="C6150" t="b">
        <v>0</v>
      </c>
      <c r="D6150">
        <v>1600.15</v>
      </c>
      <c r="E6150" t="s">
        <v>30</v>
      </c>
    </row>
    <row r="6151" spans="2:13" x14ac:dyDescent="0.2">
      <c r="B6151" t="s">
        <v>11</v>
      </c>
    </row>
    <row r="6152" spans="2:13" x14ac:dyDescent="0.2">
      <c r="B6152" t="s">
        <v>12</v>
      </c>
      <c r="C6152" t="s">
        <v>13</v>
      </c>
      <c r="D6152" t="s">
        <v>14</v>
      </c>
      <c r="E6152" t="s">
        <v>15</v>
      </c>
      <c r="F6152" t="s">
        <v>16</v>
      </c>
      <c r="G6152" t="s">
        <v>17</v>
      </c>
      <c r="H6152" t="s">
        <v>18</v>
      </c>
      <c r="I6152" t="s">
        <v>19</v>
      </c>
      <c r="J6152" t="s">
        <v>20</v>
      </c>
      <c r="K6152" t="s">
        <v>21</v>
      </c>
      <c r="L6152" t="s">
        <v>22</v>
      </c>
      <c r="M6152" t="s">
        <v>23</v>
      </c>
    </row>
    <row r="6153" spans="2:13" x14ac:dyDescent="0.2">
      <c r="B6153" t="s">
        <v>32</v>
      </c>
      <c r="C6153">
        <v>72</v>
      </c>
      <c r="E6153" t="s">
        <v>25</v>
      </c>
      <c r="F6153">
        <v>1335.83</v>
      </c>
      <c r="G6153">
        <v>4.5</v>
      </c>
      <c r="K6153">
        <v>0.1</v>
      </c>
      <c r="L6153">
        <v>7</v>
      </c>
      <c r="M6153">
        <v>96.8</v>
      </c>
    </row>
    <row r="6154" spans="2:13" x14ac:dyDescent="0.2">
      <c r="C6154" t="s">
        <v>27</v>
      </c>
    </row>
    <row r="6155" spans="2:13" x14ac:dyDescent="0.2">
      <c r="C6155" t="s">
        <v>28</v>
      </c>
      <c r="D6155" t="s">
        <v>16</v>
      </c>
      <c r="E6155" t="s">
        <v>29</v>
      </c>
      <c r="F6155" t="s">
        <v>18</v>
      </c>
    </row>
    <row r="6156" spans="2:13" x14ac:dyDescent="0.2">
      <c r="C6156" t="b">
        <v>0</v>
      </c>
      <c r="D6156">
        <v>1280.1199999999999</v>
      </c>
      <c r="E6156" t="s">
        <v>30</v>
      </c>
    </row>
    <row r="6157" spans="2:13" x14ac:dyDescent="0.2">
      <c r="C6157" t="b">
        <v>0</v>
      </c>
      <c r="D6157">
        <v>1260.0999999999999</v>
      </c>
      <c r="E6157" t="s">
        <v>30</v>
      </c>
    </row>
    <row r="6158" spans="2:13" x14ac:dyDescent="0.2">
      <c r="C6158" t="b">
        <v>0</v>
      </c>
      <c r="D6158">
        <v>1370.12</v>
      </c>
      <c r="E6158" t="s">
        <v>30</v>
      </c>
    </row>
    <row r="6159" spans="2:13" x14ac:dyDescent="0.2">
      <c r="C6159" t="b">
        <v>0</v>
      </c>
      <c r="D6159">
        <v>1340.12</v>
      </c>
      <c r="E6159" t="s">
        <v>30</v>
      </c>
    </row>
    <row r="6160" spans="2:13" x14ac:dyDescent="0.2">
      <c r="C6160" t="b">
        <v>0</v>
      </c>
      <c r="D6160">
        <v>1370.11</v>
      </c>
      <c r="E6160" t="s">
        <v>30</v>
      </c>
    </row>
    <row r="6161" spans="1:13" x14ac:dyDescent="0.2">
      <c r="C6161" t="b">
        <v>0</v>
      </c>
      <c r="D6161">
        <v>1430.13</v>
      </c>
      <c r="E6161" t="s">
        <v>30</v>
      </c>
    </row>
    <row r="6162" spans="1:13" x14ac:dyDescent="0.2">
      <c r="C6162" t="b">
        <v>0</v>
      </c>
      <c r="D6162">
        <v>1300.1199999999999</v>
      </c>
      <c r="E6162" t="s">
        <v>30</v>
      </c>
    </row>
    <row r="6163" spans="1:13" x14ac:dyDescent="0.2">
      <c r="B6163" t="s">
        <v>11</v>
      </c>
    </row>
    <row r="6164" spans="1:13" x14ac:dyDescent="0.2">
      <c r="B6164" t="s">
        <v>12</v>
      </c>
      <c r="C6164" t="s">
        <v>13</v>
      </c>
      <c r="D6164" t="s">
        <v>14</v>
      </c>
      <c r="E6164" t="s">
        <v>15</v>
      </c>
      <c r="F6164" t="s">
        <v>16</v>
      </c>
      <c r="G6164" t="s">
        <v>17</v>
      </c>
      <c r="H6164" t="s">
        <v>18</v>
      </c>
      <c r="I6164" t="s">
        <v>19</v>
      </c>
      <c r="J6164" t="s">
        <v>20</v>
      </c>
      <c r="K6164" t="s">
        <v>21</v>
      </c>
      <c r="L6164" t="s">
        <v>22</v>
      </c>
      <c r="M6164" t="s">
        <v>23</v>
      </c>
    </row>
    <row r="6165" spans="1:13" x14ac:dyDescent="0.2">
      <c r="B6165" t="s">
        <v>33</v>
      </c>
      <c r="C6165">
        <v>89</v>
      </c>
      <c r="E6165" t="s">
        <v>25</v>
      </c>
      <c r="F6165">
        <v>8055.49</v>
      </c>
      <c r="G6165">
        <v>3.4</v>
      </c>
      <c r="K6165">
        <v>0.1</v>
      </c>
      <c r="L6165">
        <v>7</v>
      </c>
      <c r="M6165">
        <v>106.9</v>
      </c>
    </row>
    <row r="6166" spans="1:13" x14ac:dyDescent="0.2">
      <c r="C6166" t="s">
        <v>27</v>
      </c>
    </row>
    <row r="6167" spans="1:13" x14ac:dyDescent="0.2">
      <c r="C6167" t="s">
        <v>28</v>
      </c>
      <c r="D6167" t="s">
        <v>16</v>
      </c>
      <c r="E6167" t="s">
        <v>29</v>
      </c>
      <c r="F6167" t="s">
        <v>18</v>
      </c>
    </row>
    <row r="6168" spans="1:13" x14ac:dyDescent="0.2">
      <c r="C6168" t="b">
        <v>0</v>
      </c>
      <c r="D6168">
        <v>8382.85</v>
      </c>
      <c r="E6168" t="s">
        <v>30</v>
      </c>
    </row>
    <row r="6169" spans="1:13" x14ac:dyDescent="0.2">
      <c r="C6169" t="b">
        <v>0</v>
      </c>
      <c r="D6169">
        <v>7912.58</v>
      </c>
      <c r="E6169" t="s">
        <v>30</v>
      </c>
    </row>
    <row r="6170" spans="1:13" x14ac:dyDescent="0.2">
      <c r="C6170" t="b">
        <v>0</v>
      </c>
      <c r="D6170">
        <v>8022.67</v>
      </c>
      <c r="E6170" t="s">
        <v>30</v>
      </c>
    </row>
    <row r="6171" spans="1:13" x14ac:dyDescent="0.2">
      <c r="C6171" t="b">
        <v>0</v>
      </c>
      <c r="D6171">
        <v>7622.35</v>
      </c>
      <c r="E6171" t="s">
        <v>30</v>
      </c>
    </row>
    <row r="6172" spans="1:13" x14ac:dyDescent="0.2">
      <c r="C6172" t="b">
        <v>0</v>
      </c>
      <c r="D6172">
        <v>8392.83</v>
      </c>
      <c r="E6172" t="s">
        <v>30</v>
      </c>
    </row>
    <row r="6173" spans="1:13" x14ac:dyDescent="0.2">
      <c r="C6173" t="b">
        <v>0</v>
      </c>
      <c r="D6173">
        <v>7902.52</v>
      </c>
      <c r="E6173" t="s">
        <v>30</v>
      </c>
    </row>
    <row r="6174" spans="1:13" x14ac:dyDescent="0.2">
      <c r="C6174" t="b">
        <v>0</v>
      </c>
      <c r="D6174">
        <v>8152.61</v>
      </c>
      <c r="E6174" t="s">
        <v>30</v>
      </c>
    </row>
    <row r="6175" spans="1:13" x14ac:dyDescent="0.2">
      <c r="A6175" t="s">
        <v>0</v>
      </c>
    </row>
    <row r="6176" spans="1:13" x14ac:dyDescent="0.2">
      <c r="B6176" t="s">
        <v>1</v>
      </c>
      <c r="C6176" t="s">
        <v>2</v>
      </c>
      <c r="D6176" t="s">
        <v>3</v>
      </c>
      <c r="E6176" t="s">
        <v>4</v>
      </c>
      <c r="F6176" t="s">
        <v>5</v>
      </c>
      <c r="G6176" t="s">
        <v>6</v>
      </c>
    </row>
    <row r="6177" spans="1:13" x14ac:dyDescent="0.2">
      <c r="A6177" t="s">
        <v>411</v>
      </c>
      <c r="B6177" t="b">
        <v>0</v>
      </c>
      <c r="C6177" t="s">
        <v>412</v>
      </c>
      <c r="D6177" t="s">
        <v>413</v>
      </c>
      <c r="E6177" t="s">
        <v>0</v>
      </c>
      <c r="G6177" t="s">
        <v>414</v>
      </c>
    </row>
    <row r="6178" spans="1:13" x14ac:dyDescent="0.2">
      <c r="B6178" t="s">
        <v>11</v>
      </c>
    </row>
    <row r="6179" spans="1:13" x14ac:dyDescent="0.2">
      <c r="B6179" t="s">
        <v>12</v>
      </c>
      <c r="C6179" t="s">
        <v>13</v>
      </c>
      <c r="D6179" t="s">
        <v>14</v>
      </c>
      <c r="E6179" t="s">
        <v>15</v>
      </c>
      <c r="F6179" t="s">
        <v>16</v>
      </c>
      <c r="G6179" t="s">
        <v>17</v>
      </c>
      <c r="H6179" t="s">
        <v>18</v>
      </c>
      <c r="I6179" t="s">
        <v>19</v>
      </c>
      <c r="J6179" t="s">
        <v>20</v>
      </c>
      <c r="K6179" t="s">
        <v>21</v>
      </c>
      <c r="L6179" t="s">
        <v>22</v>
      </c>
      <c r="M6179" t="s">
        <v>23</v>
      </c>
    </row>
    <row r="6180" spans="1:13" x14ac:dyDescent="0.2">
      <c r="B6180" t="s">
        <v>24</v>
      </c>
      <c r="C6180">
        <v>59</v>
      </c>
      <c r="E6180" t="s">
        <v>25</v>
      </c>
      <c r="F6180">
        <v>1704906.54</v>
      </c>
      <c r="G6180">
        <v>1.7</v>
      </c>
      <c r="H6180">
        <v>0.52500000000000002</v>
      </c>
      <c r="I6180" t="s">
        <v>26</v>
      </c>
      <c r="J6180">
        <v>1.7</v>
      </c>
      <c r="K6180">
        <v>0.1</v>
      </c>
      <c r="L6180">
        <v>7</v>
      </c>
    </row>
    <row r="6181" spans="1:13" x14ac:dyDescent="0.2">
      <c r="C6181" t="s">
        <v>27</v>
      </c>
    </row>
    <row r="6182" spans="1:13" x14ac:dyDescent="0.2">
      <c r="C6182" t="s">
        <v>28</v>
      </c>
      <c r="D6182" t="s">
        <v>16</v>
      </c>
      <c r="E6182" t="s">
        <v>29</v>
      </c>
      <c r="F6182" t="s">
        <v>18</v>
      </c>
    </row>
    <row r="6183" spans="1:13" x14ac:dyDescent="0.2">
      <c r="C6183" t="b">
        <v>0</v>
      </c>
      <c r="D6183">
        <v>1658537.32</v>
      </c>
      <c r="E6183" t="s">
        <v>67</v>
      </c>
      <c r="F6183">
        <v>0.51100000000000001</v>
      </c>
    </row>
    <row r="6184" spans="1:13" x14ac:dyDescent="0.2">
      <c r="C6184" t="b">
        <v>0</v>
      </c>
      <c r="D6184">
        <v>1710319.97</v>
      </c>
      <c r="E6184" t="s">
        <v>67</v>
      </c>
      <c r="F6184">
        <v>0.52700000000000002</v>
      </c>
    </row>
    <row r="6185" spans="1:13" x14ac:dyDescent="0.2">
      <c r="C6185" t="b">
        <v>0</v>
      </c>
      <c r="D6185">
        <v>1680471.69</v>
      </c>
      <c r="E6185" t="s">
        <v>67</v>
      </c>
      <c r="F6185">
        <v>0.51800000000000002</v>
      </c>
    </row>
    <row r="6186" spans="1:13" x14ac:dyDescent="0.2">
      <c r="C6186" t="b">
        <v>0</v>
      </c>
      <c r="D6186">
        <v>1688972.01</v>
      </c>
      <c r="E6186" t="s">
        <v>67</v>
      </c>
      <c r="F6186">
        <v>0.52100000000000002</v>
      </c>
    </row>
    <row r="6187" spans="1:13" x14ac:dyDescent="0.2">
      <c r="C6187" t="b">
        <v>0</v>
      </c>
      <c r="D6187">
        <v>1733063.57</v>
      </c>
      <c r="E6187" t="s">
        <v>67</v>
      </c>
      <c r="F6187">
        <v>0.53400000000000003</v>
      </c>
    </row>
    <row r="6188" spans="1:13" x14ac:dyDescent="0.2">
      <c r="C6188" t="b">
        <v>0</v>
      </c>
      <c r="D6188">
        <v>1732335.13</v>
      </c>
      <c r="E6188" t="s">
        <v>67</v>
      </c>
      <c r="F6188">
        <v>0.53400000000000003</v>
      </c>
    </row>
    <row r="6189" spans="1:13" x14ac:dyDescent="0.2">
      <c r="C6189" t="b">
        <v>0</v>
      </c>
      <c r="D6189">
        <v>1730646.07</v>
      </c>
      <c r="E6189" t="s">
        <v>67</v>
      </c>
      <c r="F6189">
        <v>0.53300000000000003</v>
      </c>
    </row>
    <row r="6190" spans="1:13" x14ac:dyDescent="0.2">
      <c r="B6190" t="s">
        <v>11</v>
      </c>
    </row>
    <row r="6191" spans="1:13" x14ac:dyDescent="0.2">
      <c r="B6191" t="s">
        <v>12</v>
      </c>
      <c r="C6191" t="s">
        <v>13</v>
      </c>
      <c r="D6191" t="s">
        <v>14</v>
      </c>
      <c r="E6191" t="s">
        <v>15</v>
      </c>
      <c r="F6191" t="s">
        <v>16</v>
      </c>
      <c r="G6191" t="s">
        <v>17</v>
      </c>
      <c r="H6191" t="s">
        <v>18</v>
      </c>
      <c r="I6191" t="s">
        <v>19</v>
      </c>
      <c r="J6191" t="s">
        <v>20</v>
      </c>
      <c r="K6191" t="s">
        <v>21</v>
      </c>
      <c r="L6191" t="s">
        <v>22</v>
      </c>
      <c r="M6191" t="s">
        <v>23</v>
      </c>
    </row>
    <row r="6192" spans="1:13" x14ac:dyDescent="0.2">
      <c r="B6192" t="s">
        <v>31</v>
      </c>
      <c r="C6192">
        <v>45</v>
      </c>
      <c r="E6192" t="s">
        <v>25</v>
      </c>
      <c r="F6192">
        <v>1614.43</v>
      </c>
      <c r="G6192">
        <v>4.3</v>
      </c>
      <c r="K6192">
        <v>0.1</v>
      </c>
      <c r="L6192">
        <v>7</v>
      </c>
      <c r="M6192">
        <v>124.4</v>
      </c>
    </row>
    <row r="6193" spans="2:13" x14ac:dyDescent="0.2">
      <c r="C6193" t="s">
        <v>27</v>
      </c>
    </row>
    <row r="6194" spans="2:13" x14ac:dyDescent="0.2">
      <c r="C6194" t="s">
        <v>28</v>
      </c>
      <c r="D6194" t="s">
        <v>16</v>
      </c>
      <c r="E6194" t="s">
        <v>29</v>
      </c>
      <c r="F6194" t="s">
        <v>18</v>
      </c>
    </row>
    <row r="6195" spans="2:13" x14ac:dyDescent="0.2">
      <c r="C6195" t="b">
        <v>0</v>
      </c>
      <c r="D6195">
        <v>1600.15</v>
      </c>
      <c r="E6195" t="s">
        <v>30</v>
      </c>
    </row>
    <row r="6196" spans="2:13" x14ac:dyDescent="0.2">
      <c r="C6196" t="b">
        <v>0</v>
      </c>
      <c r="D6196">
        <v>1700.16</v>
      </c>
      <c r="E6196" t="s">
        <v>30</v>
      </c>
    </row>
    <row r="6197" spans="2:13" x14ac:dyDescent="0.2">
      <c r="C6197" t="b">
        <v>0</v>
      </c>
      <c r="D6197">
        <v>1640.14</v>
      </c>
      <c r="E6197" t="s">
        <v>30</v>
      </c>
    </row>
    <row r="6198" spans="2:13" x14ac:dyDescent="0.2">
      <c r="C6198" t="b">
        <v>0</v>
      </c>
      <c r="D6198">
        <v>1640.14</v>
      </c>
      <c r="E6198" t="s">
        <v>30</v>
      </c>
    </row>
    <row r="6199" spans="2:13" x14ac:dyDescent="0.2">
      <c r="C6199" t="b">
        <v>0</v>
      </c>
      <c r="D6199">
        <v>1500.13</v>
      </c>
      <c r="E6199" t="s">
        <v>30</v>
      </c>
    </row>
    <row r="6200" spans="2:13" x14ac:dyDescent="0.2">
      <c r="C6200" t="b">
        <v>0</v>
      </c>
      <c r="D6200">
        <v>1550.12</v>
      </c>
      <c r="E6200" t="s">
        <v>30</v>
      </c>
    </row>
    <row r="6201" spans="2:13" x14ac:dyDescent="0.2">
      <c r="C6201" t="b">
        <v>0</v>
      </c>
      <c r="D6201">
        <v>1670.16</v>
      </c>
      <c r="E6201" t="s">
        <v>30</v>
      </c>
    </row>
    <row r="6202" spans="2:13" x14ac:dyDescent="0.2">
      <c r="B6202" t="s">
        <v>11</v>
      </c>
    </row>
    <row r="6203" spans="2:13" x14ac:dyDescent="0.2">
      <c r="B6203" t="s">
        <v>12</v>
      </c>
      <c r="C6203" t="s">
        <v>13</v>
      </c>
      <c r="D6203" t="s">
        <v>14</v>
      </c>
      <c r="E6203" t="s">
        <v>15</v>
      </c>
      <c r="F6203" t="s">
        <v>16</v>
      </c>
      <c r="G6203" t="s">
        <v>17</v>
      </c>
      <c r="H6203" t="s">
        <v>18</v>
      </c>
      <c r="I6203" t="s">
        <v>19</v>
      </c>
      <c r="J6203" t="s">
        <v>20</v>
      </c>
      <c r="K6203" t="s">
        <v>21</v>
      </c>
      <c r="L6203" t="s">
        <v>22</v>
      </c>
      <c r="M6203" t="s">
        <v>23</v>
      </c>
    </row>
    <row r="6204" spans="2:13" x14ac:dyDescent="0.2">
      <c r="B6204" t="s">
        <v>32</v>
      </c>
      <c r="C6204">
        <v>72</v>
      </c>
      <c r="E6204" t="s">
        <v>25</v>
      </c>
      <c r="F6204">
        <v>1394.4</v>
      </c>
      <c r="G6204">
        <v>5.2</v>
      </c>
      <c r="K6204">
        <v>0.1</v>
      </c>
      <c r="L6204">
        <v>7</v>
      </c>
      <c r="M6204">
        <v>101</v>
      </c>
    </row>
    <row r="6205" spans="2:13" x14ac:dyDescent="0.2">
      <c r="C6205" t="s">
        <v>27</v>
      </c>
    </row>
    <row r="6206" spans="2:13" x14ac:dyDescent="0.2">
      <c r="C6206" t="s">
        <v>28</v>
      </c>
      <c r="D6206" t="s">
        <v>16</v>
      </c>
      <c r="E6206" t="s">
        <v>29</v>
      </c>
      <c r="F6206" t="s">
        <v>18</v>
      </c>
    </row>
    <row r="6207" spans="2:13" x14ac:dyDescent="0.2">
      <c r="C6207" t="b">
        <v>0</v>
      </c>
      <c r="D6207">
        <v>1390.11</v>
      </c>
      <c r="E6207" t="s">
        <v>30</v>
      </c>
    </row>
    <row r="6208" spans="2:13" x14ac:dyDescent="0.2">
      <c r="C6208" t="b">
        <v>0</v>
      </c>
      <c r="D6208">
        <v>1400.13</v>
      </c>
      <c r="E6208" t="s">
        <v>30</v>
      </c>
    </row>
    <row r="6209" spans="2:13" x14ac:dyDescent="0.2">
      <c r="C6209" t="b">
        <v>0</v>
      </c>
      <c r="D6209">
        <v>1420.11</v>
      </c>
      <c r="E6209" t="s">
        <v>30</v>
      </c>
    </row>
    <row r="6210" spans="2:13" x14ac:dyDescent="0.2">
      <c r="C6210" t="b">
        <v>0</v>
      </c>
      <c r="D6210">
        <v>1290.1099999999999</v>
      </c>
      <c r="E6210" t="s">
        <v>30</v>
      </c>
    </row>
    <row r="6211" spans="2:13" x14ac:dyDescent="0.2">
      <c r="C6211" t="b">
        <v>0</v>
      </c>
      <c r="D6211">
        <v>1510.13</v>
      </c>
      <c r="E6211" t="s">
        <v>30</v>
      </c>
    </row>
    <row r="6212" spans="2:13" x14ac:dyDescent="0.2">
      <c r="C6212" t="b">
        <v>0</v>
      </c>
      <c r="D6212">
        <v>1320.1</v>
      </c>
      <c r="E6212" t="s">
        <v>30</v>
      </c>
    </row>
    <row r="6213" spans="2:13" x14ac:dyDescent="0.2">
      <c r="C6213" t="b">
        <v>0</v>
      </c>
      <c r="D6213">
        <v>1430.13</v>
      </c>
      <c r="E6213" t="s">
        <v>30</v>
      </c>
    </row>
    <row r="6214" spans="2:13" x14ac:dyDescent="0.2">
      <c r="B6214" t="s">
        <v>11</v>
      </c>
    </row>
    <row r="6215" spans="2:13" x14ac:dyDescent="0.2">
      <c r="B6215" t="s">
        <v>12</v>
      </c>
      <c r="C6215" t="s">
        <v>13</v>
      </c>
      <c r="D6215" t="s">
        <v>14</v>
      </c>
      <c r="E6215" t="s">
        <v>15</v>
      </c>
      <c r="F6215" t="s">
        <v>16</v>
      </c>
      <c r="G6215" t="s">
        <v>17</v>
      </c>
      <c r="H6215" t="s">
        <v>18</v>
      </c>
      <c r="I6215" t="s">
        <v>19</v>
      </c>
      <c r="J6215" t="s">
        <v>20</v>
      </c>
      <c r="K6215" t="s">
        <v>21</v>
      </c>
      <c r="L6215" t="s">
        <v>22</v>
      </c>
      <c r="M6215" t="s">
        <v>23</v>
      </c>
    </row>
    <row r="6216" spans="2:13" x14ac:dyDescent="0.2">
      <c r="B6216" t="s">
        <v>33</v>
      </c>
      <c r="C6216">
        <v>89</v>
      </c>
      <c r="E6216" t="s">
        <v>25</v>
      </c>
      <c r="F6216">
        <v>8028.35</v>
      </c>
      <c r="G6216">
        <v>11.7</v>
      </c>
      <c r="K6216">
        <v>0.1</v>
      </c>
      <c r="L6216">
        <v>7</v>
      </c>
      <c r="M6216">
        <v>106.6</v>
      </c>
    </row>
    <row r="6217" spans="2:13" x14ac:dyDescent="0.2">
      <c r="C6217" t="s">
        <v>27</v>
      </c>
    </row>
    <row r="6218" spans="2:13" x14ac:dyDescent="0.2">
      <c r="C6218" t="s">
        <v>28</v>
      </c>
      <c r="D6218" t="s">
        <v>16</v>
      </c>
      <c r="E6218" t="s">
        <v>29</v>
      </c>
      <c r="F6218" t="s">
        <v>18</v>
      </c>
    </row>
    <row r="6219" spans="2:13" x14ac:dyDescent="0.2">
      <c r="C6219" t="b">
        <v>0</v>
      </c>
      <c r="D6219">
        <v>8783.0400000000009</v>
      </c>
      <c r="E6219" t="s">
        <v>30</v>
      </c>
    </row>
    <row r="6220" spans="2:13" x14ac:dyDescent="0.2">
      <c r="C6220" t="b">
        <v>0</v>
      </c>
      <c r="D6220">
        <v>8232.69</v>
      </c>
      <c r="E6220" t="s">
        <v>30</v>
      </c>
    </row>
    <row r="6221" spans="2:13" x14ac:dyDescent="0.2">
      <c r="C6221" t="b">
        <v>0</v>
      </c>
      <c r="D6221">
        <v>9323.49</v>
      </c>
      <c r="E6221" t="s">
        <v>30</v>
      </c>
    </row>
    <row r="6222" spans="2:13" x14ac:dyDescent="0.2">
      <c r="C6222" t="b">
        <v>0</v>
      </c>
      <c r="D6222">
        <v>8492.91</v>
      </c>
      <c r="E6222" t="s">
        <v>30</v>
      </c>
    </row>
    <row r="6223" spans="2:13" x14ac:dyDescent="0.2">
      <c r="C6223" t="b">
        <v>0</v>
      </c>
      <c r="D6223">
        <v>6921.93</v>
      </c>
      <c r="E6223" t="s">
        <v>30</v>
      </c>
    </row>
    <row r="6224" spans="2:13" x14ac:dyDescent="0.2">
      <c r="C6224" t="b">
        <v>0</v>
      </c>
      <c r="D6224">
        <v>6831.97</v>
      </c>
      <c r="E6224" t="s">
        <v>30</v>
      </c>
    </row>
    <row r="6225" spans="1:13" x14ac:dyDescent="0.2">
      <c r="C6225" t="b">
        <v>0</v>
      </c>
      <c r="D6225">
        <v>7612.41</v>
      </c>
      <c r="E6225" t="s">
        <v>30</v>
      </c>
    </row>
    <row r="6226" spans="1:13" x14ac:dyDescent="0.2">
      <c r="A6226" t="s">
        <v>0</v>
      </c>
    </row>
    <row r="6227" spans="1:13" x14ac:dyDescent="0.2">
      <c r="B6227" t="s">
        <v>1</v>
      </c>
      <c r="C6227" t="s">
        <v>2</v>
      </c>
      <c r="D6227" t="s">
        <v>3</v>
      </c>
      <c r="E6227" t="s">
        <v>4</v>
      </c>
      <c r="F6227" t="s">
        <v>5</v>
      </c>
      <c r="G6227" t="s">
        <v>6</v>
      </c>
    </row>
    <row r="6228" spans="1:13" x14ac:dyDescent="0.2">
      <c r="B6228" t="b">
        <v>0</v>
      </c>
      <c r="C6228" t="s">
        <v>415</v>
      </c>
      <c r="D6228" t="s">
        <v>416</v>
      </c>
      <c r="E6228" t="s">
        <v>0</v>
      </c>
      <c r="G6228" t="s">
        <v>417</v>
      </c>
    </row>
    <row r="6229" spans="1:13" x14ac:dyDescent="0.2">
      <c r="B6229" t="s">
        <v>11</v>
      </c>
    </row>
    <row r="6230" spans="1:13" x14ac:dyDescent="0.2">
      <c r="B6230" t="s">
        <v>12</v>
      </c>
      <c r="C6230" t="s">
        <v>13</v>
      </c>
      <c r="D6230" t="s">
        <v>14</v>
      </c>
      <c r="E6230" t="s">
        <v>15</v>
      </c>
      <c r="F6230" t="s">
        <v>16</v>
      </c>
      <c r="G6230" t="s">
        <v>17</v>
      </c>
      <c r="H6230" t="s">
        <v>18</v>
      </c>
      <c r="I6230" t="s">
        <v>19</v>
      </c>
      <c r="J6230" t="s">
        <v>20</v>
      </c>
      <c r="K6230" t="s">
        <v>21</v>
      </c>
      <c r="L6230" t="s">
        <v>22</v>
      </c>
      <c r="M6230" t="s">
        <v>23</v>
      </c>
    </row>
    <row r="6231" spans="1:13" x14ac:dyDescent="0.2">
      <c r="B6231" t="s">
        <v>24</v>
      </c>
      <c r="C6231">
        <v>59</v>
      </c>
      <c r="E6231" t="s">
        <v>25</v>
      </c>
      <c r="F6231">
        <v>15191554.949999999</v>
      </c>
      <c r="G6231">
        <v>1.4</v>
      </c>
      <c r="H6231">
        <v>4.6820000000000004</v>
      </c>
      <c r="I6231" t="s">
        <v>26</v>
      </c>
      <c r="J6231">
        <v>1.4</v>
      </c>
      <c r="K6231">
        <v>0.1</v>
      </c>
      <c r="L6231">
        <v>7</v>
      </c>
    </row>
    <row r="6232" spans="1:13" x14ac:dyDescent="0.2">
      <c r="C6232" t="s">
        <v>27</v>
      </c>
    </row>
    <row r="6233" spans="1:13" x14ac:dyDescent="0.2">
      <c r="C6233" t="s">
        <v>28</v>
      </c>
      <c r="D6233" t="s">
        <v>16</v>
      </c>
      <c r="E6233" t="s">
        <v>29</v>
      </c>
      <c r="F6233" t="s">
        <v>18</v>
      </c>
    </row>
    <row r="6234" spans="1:13" x14ac:dyDescent="0.2">
      <c r="C6234" t="b">
        <v>0</v>
      </c>
      <c r="D6234">
        <v>15273367.27</v>
      </c>
      <c r="E6234" t="s">
        <v>67</v>
      </c>
      <c r="F6234">
        <v>4.7069999999999999</v>
      </c>
    </row>
    <row r="6235" spans="1:13" x14ac:dyDescent="0.2">
      <c r="C6235" t="b">
        <v>0</v>
      </c>
      <c r="D6235">
        <v>14838031.029999999</v>
      </c>
      <c r="E6235" t="s">
        <v>67</v>
      </c>
      <c r="F6235">
        <v>4.5730000000000004</v>
      </c>
    </row>
    <row r="6236" spans="1:13" x14ac:dyDescent="0.2">
      <c r="C6236" t="b">
        <v>0</v>
      </c>
      <c r="D6236">
        <v>15186987.27</v>
      </c>
      <c r="E6236" t="s">
        <v>67</v>
      </c>
      <c r="F6236">
        <v>4.681</v>
      </c>
    </row>
    <row r="6237" spans="1:13" x14ac:dyDescent="0.2">
      <c r="C6237" t="b">
        <v>0</v>
      </c>
      <c r="D6237">
        <v>15046917.279999999</v>
      </c>
      <c r="E6237" t="s">
        <v>67</v>
      </c>
      <c r="F6237">
        <v>4.6369999999999996</v>
      </c>
    </row>
    <row r="6238" spans="1:13" x14ac:dyDescent="0.2">
      <c r="C6238" t="b">
        <v>0</v>
      </c>
      <c r="D6238">
        <v>15513131.02</v>
      </c>
      <c r="E6238" t="s">
        <v>67</v>
      </c>
      <c r="F6238">
        <v>4.7809999999999997</v>
      </c>
    </row>
    <row r="6239" spans="1:13" x14ac:dyDescent="0.2">
      <c r="C6239" t="b">
        <v>0</v>
      </c>
      <c r="D6239">
        <v>15139086.02</v>
      </c>
      <c r="E6239" t="s">
        <v>67</v>
      </c>
      <c r="F6239">
        <v>4.6660000000000004</v>
      </c>
    </row>
    <row r="6240" spans="1:13" x14ac:dyDescent="0.2">
      <c r="C6240" t="b">
        <v>0</v>
      </c>
      <c r="D6240">
        <v>15343364.77</v>
      </c>
      <c r="E6240" t="s">
        <v>67</v>
      </c>
      <c r="F6240">
        <v>4.7290000000000001</v>
      </c>
    </row>
    <row r="6241" spans="2:13" x14ac:dyDescent="0.2">
      <c r="B6241" t="s">
        <v>11</v>
      </c>
    </row>
    <row r="6242" spans="2:13" x14ac:dyDescent="0.2">
      <c r="B6242" t="s">
        <v>12</v>
      </c>
      <c r="C6242" t="s">
        <v>13</v>
      </c>
      <c r="D6242" t="s">
        <v>14</v>
      </c>
      <c r="E6242" t="s">
        <v>15</v>
      </c>
      <c r="F6242" t="s">
        <v>16</v>
      </c>
      <c r="G6242" t="s">
        <v>17</v>
      </c>
      <c r="H6242" t="s">
        <v>18</v>
      </c>
      <c r="I6242" t="s">
        <v>19</v>
      </c>
      <c r="J6242" t="s">
        <v>20</v>
      </c>
      <c r="K6242" t="s">
        <v>21</v>
      </c>
      <c r="L6242" t="s">
        <v>22</v>
      </c>
      <c r="M6242" t="s">
        <v>23</v>
      </c>
    </row>
    <row r="6243" spans="2:13" x14ac:dyDescent="0.2">
      <c r="B6243" t="s">
        <v>31</v>
      </c>
      <c r="C6243">
        <v>45</v>
      </c>
      <c r="E6243" t="s">
        <v>25</v>
      </c>
      <c r="F6243">
        <v>1335.82</v>
      </c>
      <c r="G6243">
        <v>8.6999999999999993</v>
      </c>
      <c r="K6243">
        <v>0.1</v>
      </c>
      <c r="L6243">
        <v>7</v>
      </c>
      <c r="M6243">
        <v>103</v>
      </c>
    </row>
    <row r="6244" spans="2:13" x14ac:dyDescent="0.2">
      <c r="C6244" t="s">
        <v>27</v>
      </c>
    </row>
    <row r="6245" spans="2:13" x14ac:dyDescent="0.2">
      <c r="C6245" t="s">
        <v>28</v>
      </c>
      <c r="D6245" t="s">
        <v>16</v>
      </c>
      <c r="E6245" t="s">
        <v>29</v>
      </c>
      <c r="F6245" t="s">
        <v>18</v>
      </c>
    </row>
    <row r="6246" spans="2:13" x14ac:dyDescent="0.2">
      <c r="C6246" t="b">
        <v>0</v>
      </c>
      <c r="D6246">
        <v>1170.08</v>
      </c>
      <c r="E6246" t="s">
        <v>30</v>
      </c>
    </row>
    <row r="6247" spans="2:13" x14ac:dyDescent="0.2">
      <c r="C6247" t="b">
        <v>0</v>
      </c>
      <c r="D6247">
        <v>1440.12</v>
      </c>
      <c r="E6247" t="s">
        <v>30</v>
      </c>
    </row>
    <row r="6248" spans="2:13" x14ac:dyDescent="0.2">
      <c r="C6248" t="b">
        <v>0</v>
      </c>
      <c r="D6248">
        <v>1380.11</v>
      </c>
      <c r="E6248" t="s">
        <v>30</v>
      </c>
    </row>
    <row r="6249" spans="2:13" x14ac:dyDescent="0.2">
      <c r="C6249" t="b">
        <v>0</v>
      </c>
      <c r="D6249">
        <v>1370.11</v>
      </c>
      <c r="E6249" t="s">
        <v>30</v>
      </c>
    </row>
    <row r="6250" spans="2:13" x14ac:dyDescent="0.2">
      <c r="C6250" t="b">
        <v>0</v>
      </c>
      <c r="D6250">
        <v>1430.13</v>
      </c>
      <c r="E6250" t="s">
        <v>30</v>
      </c>
    </row>
    <row r="6251" spans="2:13" x14ac:dyDescent="0.2">
      <c r="C6251" t="b">
        <v>0</v>
      </c>
      <c r="D6251">
        <v>1170.0899999999999</v>
      </c>
      <c r="E6251" t="s">
        <v>30</v>
      </c>
    </row>
    <row r="6252" spans="2:13" x14ac:dyDescent="0.2">
      <c r="C6252" t="b">
        <v>0</v>
      </c>
      <c r="D6252">
        <v>1390.13</v>
      </c>
      <c r="E6252" t="s">
        <v>30</v>
      </c>
    </row>
    <row r="6253" spans="2:13" x14ac:dyDescent="0.2">
      <c r="B6253" t="s">
        <v>11</v>
      </c>
    </row>
    <row r="6254" spans="2:13" x14ac:dyDescent="0.2">
      <c r="B6254" t="s">
        <v>12</v>
      </c>
      <c r="C6254" t="s">
        <v>13</v>
      </c>
      <c r="D6254" t="s">
        <v>14</v>
      </c>
      <c r="E6254" t="s">
        <v>15</v>
      </c>
      <c r="F6254" t="s">
        <v>16</v>
      </c>
      <c r="G6254" t="s">
        <v>17</v>
      </c>
      <c r="H6254" t="s">
        <v>18</v>
      </c>
      <c r="I6254" t="s">
        <v>19</v>
      </c>
      <c r="J6254" t="s">
        <v>20</v>
      </c>
      <c r="K6254" t="s">
        <v>21</v>
      </c>
      <c r="L6254" t="s">
        <v>22</v>
      </c>
      <c r="M6254" t="s">
        <v>23</v>
      </c>
    </row>
    <row r="6255" spans="2:13" x14ac:dyDescent="0.2">
      <c r="B6255" t="s">
        <v>32</v>
      </c>
      <c r="C6255">
        <v>72</v>
      </c>
      <c r="E6255" t="s">
        <v>25</v>
      </c>
      <c r="F6255">
        <v>1218.67</v>
      </c>
      <c r="G6255">
        <v>9.1999999999999993</v>
      </c>
      <c r="K6255">
        <v>0.1</v>
      </c>
      <c r="L6255">
        <v>7</v>
      </c>
      <c r="M6255">
        <v>88.3</v>
      </c>
    </row>
    <row r="6256" spans="2:13" x14ac:dyDescent="0.2">
      <c r="C6256" t="s">
        <v>27</v>
      </c>
    </row>
    <row r="6257" spans="2:13" x14ac:dyDescent="0.2">
      <c r="C6257" t="s">
        <v>28</v>
      </c>
      <c r="D6257" t="s">
        <v>16</v>
      </c>
      <c r="E6257" t="s">
        <v>29</v>
      </c>
      <c r="F6257" t="s">
        <v>18</v>
      </c>
    </row>
    <row r="6258" spans="2:13" x14ac:dyDescent="0.2">
      <c r="C6258" t="b">
        <v>0</v>
      </c>
      <c r="D6258">
        <v>1110.0899999999999</v>
      </c>
      <c r="E6258" t="s">
        <v>30</v>
      </c>
    </row>
    <row r="6259" spans="2:13" x14ac:dyDescent="0.2">
      <c r="C6259" t="b">
        <v>0</v>
      </c>
      <c r="D6259">
        <v>1050.08</v>
      </c>
      <c r="E6259" t="s">
        <v>30</v>
      </c>
    </row>
    <row r="6260" spans="2:13" x14ac:dyDescent="0.2">
      <c r="C6260" t="b">
        <v>0</v>
      </c>
      <c r="D6260">
        <v>1320.11</v>
      </c>
      <c r="E6260" t="s">
        <v>30</v>
      </c>
    </row>
    <row r="6261" spans="2:13" x14ac:dyDescent="0.2">
      <c r="C6261" t="b">
        <v>0</v>
      </c>
      <c r="D6261">
        <v>1160.0899999999999</v>
      </c>
      <c r="E6261" t="s">
        <v>30</v>
      </c>
    </row>
    <row r="6262" spans="2:13" x14ac:dyDescent="0.2">
      <c r="C6262" t="b">
        <v>0</v>
      </c>
      <c r="D6262">
        <v>1280.1199999999999</v>
      </c>
      <c r="E6262" t="s">
        <v>30</v>
      </c>
    </row>
    <row r="6263" spans="2:13" x14ac:dyDescent="0.2">
      <c r="C6263" t="b">
        <v>0</v>
      </c>
      <c r="D6263">
        <v>1340.1</v>
      </c>
      <c r="E6263" t="s">
        <v>30</v>
      </c>
    </row>
    <row r="6264" spans="2:13" x14ac:dyDescent="0.2">
      <c r="C6264" t="b">
        <v>0</v>
      </c>
      <c r="D6264">
        <v>1270.1099999999999</v>
      </c>
      <c r="E6264" t="s">
        <v>30</v>
      </c>
    </row>
    <row r="6265" spans="2:13" x14ac:dyDescent="0.2">
      <c r="B6265" t="s">
        <v>11</v>
      </c>
    </row>
    <row r="6266" spans="2:13" x14ac:dyDescent="0.2">
      <c r="B6266" t="s">
        <v>12</v>
      </c>
      <c r="C6266" t="s">
        <v>13</v>
      </c>
      <c r="D6266" t="s">
        <v>14</v>
      </c>
      <c r="E6266" t="s">
        <v>15</v>
      </c>
      <c r="F6266" t="s">
        <v>16</v>
      </c>
      <c r="G6266" t="s">
        <v>17</v>
      </c>
      <c r="H6266" t="s">
        <v>18</v>
      </c>
      <c r="I6266" t="s">
        <v>19</v>
      </c>
      <c r="J6266" t="s">
        <v>20</v>
      </c>
      <c r="K6266" t="s">
        <v>21</v>
      </c>
      <c r="L6266" t="s">
        <v>22</v>
      </c>
      <c r="M6266" t="s">
        <v>23</v>
      </c>
    </row>
    <row r="6267" spans="2:13" x14ac:dyDescent="0.2">
      <c r="B6267" t="s">
        <v>33</v>
      </c>
      <c r="C6267">
        <v>89</v>
      </c>
      <c r="E6267" t="s">
        <v>25</v>
      </c>
      <c r="F6267">
        <v>6731.86</v>
      </c>
      <c r="G6267">
        <v>2.9</v>
      </c>
      <c r="K6267">
        <v>0.1</v>
      </c>
      <c r="L6267">
        <v>7</v>
      </c>
      <c r="M6267">
        <v>89.4</v>
      </c>
    </row>
    <row r="6268" spans="2:13" x14ac:dyDescent="0.2">
      <c r="C6268" t="s">
        <v>27</v>
      </c>
    </row>
    <row r="6269" spans="2:13" x14ac:dyDescent="0.2">
      <c r="C6269" t="s">
        <v>28</v>
      </c>
      <c r="D6269" t="s">
        <v>16</v>
      </c>
      <c r="E6269" t="s">
        <v>29</v>
      </c>
      <c r="F6269" t="s">
        <v>18</v>
      </c>
    </row>
    <row r="6270" spans="2:13" x14ac:dyDescent="0.2">
      <c r="C6270" t="b">
        <v>0</v>
      </c>
      <c r="D6270">
        <v>6791.82</v>
      </c>
      <c r="E6270" t="s">
        <v>30</v>
      </c>
    </row>
    <row r="6271" spans="2:13" x14ac:dyDescent="0.2">
      <c r="C6271" t="b">
        <v>0</v>
      </c>
      <c r="D6271">
        <v>6641.83</v>
      </c>
      <c r="E6271" t="s">
        <v>30</v>
      </c>
    </row>
    <row r="6272" spans="2:13" x14ac:dyDescent="0.2">
      <c r="C6272" t="b">
        <v>0</v>
      </c>
      <c r="D6272">
        <v>6912</v>
      </c>
      <c r="E6272" t="s">
        <v>30</v>
      </c>
    </row>
    <row r="6273" spans="1:13" x14ac:dyDescent="0.2">
      <c r="C6273" t="b">
        <v>0</v>
      </c>
      <c r="D6273">
        <v>6621.85</v>
      </c>
      <c r="E6273" t="s">
        <v>30</v>
      </c>
    </row>
    <row r="6274" spans="1:13" x14ac:dyDescent="0.2">
      <c r="C6274" t="b">
        <v>0</v>
      </c>
      <c r="D6274">
        <v>6541.72</v>
      </c>
      <c r="E6274" t="s">
        <v>30</v>
      </c>
    </row>
    <row r="6275" spans="1:13" x14ac:dyDescent="0.2">
      <c r="C6275" t="b">
        <v>0</v>
      </c>
      <c r="D6275">
        <v>6561.75</v>
      </c>
      <c r="E6275" t="s">
        <v>30</v>
      </c>
    </row>
    <row r="6276" spans="1:13" x14ac:dyDescent="0.2">
      <c r="C6276" t="b">
        <v>0</v>
      </c>
      <c r="D6276">
        <v>7052.02</v>
      </c>
      <c r="E6276" t="s">
        <v>30</v>
      </c>
    </row>
    <row r="6277" spans="1:13" x14ac:dyDescent="0.2">
      <c r="A6277" t="s">
        <v>0</v>
      </c>
    </row>
    <row r="6278" spans="1:13" x14ac:dyDescent="0.2">
      <c r="B6278" t="s">
        <v>1</v>
      </c>
      <c r="C6278" t="s">
        <v>2</v>
      </c>
      <c r="D6278" t="s">
        <v>3</v>
      </c>
      <c r="E6278" t="s">
        <v>4</v>
      </c>
      <c r="F6278" t="s">
        <v>5</v>
      </c>
      <c r="G6278" t="s">
        <v>6</v>
      </c>
    </row>
    <row r="6279" spans="1:13" x14ac:dyDescent="0.2">
      <c r="B6279" t="b">
        <v>0</v>
      </c>
      <c r="C6279" t="s">
        <v>418</v>
      </c>
      <c r="D6279" t="s">
        <v>419</v>
      </c>
      <c r="E6279" t="s">
        <v>0</v>
      </c>
      <c r="G6279" t="s">
        <v>420</v>
      </c>
    </row>
    <row r="6280" spans="1:13" x14ac:dyDescent="0.2">
      <c r="B6280" t="s">
        <v>11</v>
      </c>
    </row>
    <row r="6281" spans="1:13" x14ac:dyDescent="0.2">
      <c r="B6281" t="s">
        <v>12</v>
      </c>
      <c r="C6281" t="s">
        <v>13</v>
      </c>
      <c r="D6281" t="s">
        <v>14</v>
      </c>
      <c r="E6281" t="s">
        <v>15</v>
      </c>
      <c r="F6281" t="s">
        <v>16</v>
      </c>
      <c r="G6281" t="s">
        <v>17</v>
      </c>
      <c r="H6281" t="s">
        <v>18</v>
      </c>
      <c r="I6281" t="s">
        <v>19</v>
      </c>
      <c r="J6281" t="s">
        <v>20</v>
      </c>
      <c r="K6281" t="s">
        <v>21</v>
      </c>
      <c r="L6281" t="s">
        <v>22</v>
      </c>
      <c r="M6281" t="s">
        <v>23</v>
      </c>
    </row>
    <row r="6282" spans="1:13" x14ac:dyDescent="0.2">
      <c r="B6282" t="s">
        <v>24</v>
      </c>
      <c r="C6282">
        <v>59</v>
      </c>
      <c r="E6282" t="s">
        <v>25</v>
      </c>
      <c r="F6282">
        <v>16164728.51</v>
      </c>
      <c r="G6282">
        <v>0.9</v>
      </c>
      <c r="H6282">
        <v>4.9820000000000002</v>
      </c>
      <c r="I6282" t="s">
        <v>26</v>
      </c>
      <c r="J6282">
        <v>0.9</v>
      </c>
      <c r="K6282">
        <v>0.1</v>
      </c>
      <c r="L6282">
        <v>7</v>
      </c>
    </row>
    <row r="6283" spans="1:13" x14ac:dyDescent="0.2">
      <c r="C6283" t="s">
        <v>27</v>
      </c>
    </row>
    <row r="6284" spans="1:13" x14ac:dyDescent="0.2">
      <c r="C6284" t="s">
        <v>28</v>
      </c>
      <c r="D6284" t="s">
        <v>16</v>
      </c>
      <c r="E6284" t="s">
        <v>29</v>
      </c>
      <c r="F6284" t="s">
        <v>18</v>
      </c>
    </row>
    <row r="6285" spans="1:13" x14ac:dyDescent="0.2">
      <c r="C6285" t="b">
        <v>0</v>
      </c>
      <c r="D6285">
        <v>16043358.51</v>
      </c>
      <c r="E6285" t="s">
        <v>67</v>
      </c>
      <c r="F6285">
        <v>4.9450000000000003</v>
      </c>
    </row>
    <row r="6286" spans="1:13" x14ac:dyDescent="0.2">
      <c r="C6286" t="b">
        <v>0</v>
      </c>
      <c r="D6286">
        <v>16128734.76</v>
      </c>
      <c r="E6286" t="s">
        <v>67</v>
      </c>
      <c r="F6286">
        <v>4.9710000000000001</v>
      </c>
    </row>
    <row r="6287" spans="1:13" x14ac:dyDescent="0.2">
      <c r="C6287" t="b">
        <v>0</v>
      </c>
      <c r="D6287">
        <v>16248788.51</v>
      </c>
      <c r="E6287" t="s">
        <v>67</v>
      </c>
      <c r="F6287">
        <v>5.008</v>
      </c>
    </row>
    <row r="6288" spans="1:13" x14ac:dyDescent="0.2">
      <c r="C6288" t="b">
        <v>0</v>
      </c>
      <c r="D6288">
        <v>16008022.26</v>
      </c>
      <c r="E6288" t="s">
        <v>67</v>
      </c>
      <c r="F6288">
        <v>4.9340000000000002</v>
      </c>
    </row>
    <row r="6289" spans="2:13" x14ac:dyDescent="0.2">
      <c r="C6289" t="b">
        <v>0</v>
      </c>
      <c r="D6289">
        <v>16272634.76</v>
      </c>
      <c r="E6289" t="s">
        <v>67</v>
      </c>
      <c r="F6289">
        <v>5.0149999999999997</v>
      </c>
    </row>
    <row r="6290" spans="2:13" x14ac:dyDescent="0.2">
      <c r="C6290" t="b">
        <v>0</v>
      </c>
      <c r="D6290">
        <v>16038736.01</v>
      </c>
      <c r="E6290" t="s">
        <v>67</v>
      </c>
      <c r="F6290">
        <v>4.9429999999999996</v>
      </c>
    </row>
    <row r="6291" spans="2:13" x14ac:dyDescent="0.2">
      <c r="C6291" t="b">
        <v>0</v>
      </c>
      <c r="D6291">
        <v>16412824.76</v>
      </c>
      <c r="E6291" t="s">
        <v>67</v>
      </c>
      <c r="F6291">
        <v>5.0579999999999998</v>
      </c>
    </row>
    <row r="6292" spans="2:13" x14ac:dyDescent="0.2">
      <c r="B6292" t="s">
        <v>11</v>
      </c>
    </row>
    <row r="6293" spans="2:13" x14ac:dyDescent="0.2">
      <c r="B6293" t="s">
        <v>12</v>
      </c>
      <c r="C6293" t="s">
        <v>13</v>
      </c>
      <c r="D6293" t="s">
        <v>14</v>
      </c>
      <c r="E6293" t="s">
        <v>15</v>
      </c>
      <c r="F6293" t="s">
        <v>16</v>
      </c>
      <c r="G6293" t="s">
        <v>17</v>
      </c>
      <c r="H6293" t="s">
        <v>18</v>
      </c>
      <c r="I6293" t="s">
        <v>19</v>
      </c>
      <c r="J6293" t="s">
        <v>20</v>
      </c>
      <c r="K6293" t="s">
        <v>21</v>
      </c>
      <c r="L6293" t="s">
        <v>22</v>
      </c>
      <c r="M6293" t="s">
        <v>23</v>
      </c>
    </row>
    <row r="6294" spans="2:13" x14ac:dyDescent="0.2">
      <c r="B6294" t="s">
        <v>31</v>
      </c>
      <c r="C6294">
        <v>45</v>
      </c>
      <c r="E6294" t="s">
        <v>25</v>
      </c>
      <c r="F6294">
        <v>1427.26</v>
      </c>
      <c r="G6294">
        <v>13.1</v>
      </c>
      <c r="K6294">
        <v>0.1</v>
      </c>
      <c r="L6294">
        <v>7</v>
      </c>
      <c r="M6294">
        <v>110</v>
      </c>
    </row>
    <row r="6295" spans="2:13" x14ac:dyDescent="0.2">
      <c r="C6295" t="s">
        <v>27</v>
      </c>
    </row>
    <row r="6296" spans="2:13" x14ac:dyDescent="0.2">
      <c r="C6296" t="s">
        <v>28</v>
      </c>
      <c r="D6296" t="s">
        <v>16</v>
      </c>
      <c r="E6296" t="s">
        <v>29</v>
      </c>
      <c r="F6296" t="s">
        <v>18</v>
      </c>
    </row>
    <row r="6297" spans="2:13" x14ac:dyDescent="0.2">
      <c r="C6297" t="b">
        <v>0</v>
      </c>
      <c r="D6297">
        <v>1790.18</v>
      </c>
      <c r="E6297" t="s">
        <v>30</v>
      </c>
    </row>
    <row r="6298" spans="2:13" x14ac:dyDescent="0.2">
      <c r="C6298" t="b">
        <v>0</v>
      </c>
      <c r="D6298">
        <v>1530.13</v>
      </c>
      <c r="E6298" t="s">
        <v>30</v>
      </c>
    </row>
    <row r="6299" spans="2:13" x14ac:dyDescent="0.2">
      <c r="C6299" t="b">
        <v>0</v>
      </c>
      <c r="D6299">
        <v>1240.0899999999999</v>
      </c>
      <c r="E6299" t="s">
        <v>30</v>
      </c>
    </row>
    <row r="6300" spans="2:13" x14ac:dyDescent="0.2">
      <c r="C6300" t="b">
        <v>0</v>
      </c>
      <c r="D6300">
        <v>1330.1</v>
      </c>
      <c r="E6300" t="s">
        <v>30</v>
      </c>
    </row>
    <row r="6301" spans="2:13" x14ac:dyDescent="0.2">
      <c r="C6301" t="b">
        <v>0</v>
      </c>
      <c r="D6301">
        <v>1330.12</v>
      </c>
      <c r="E6301" t="s">
        <v>30</v>
      </c>
    </row>
    <row r="6302" spans="2:13" x14ac:dyDescent="0.2">
      <c r="C6302" t="b">
        <v>0</v>
      </c>
      <c r="D6302">
        <v>1320.11</v>
      </c>
      <c r="E6302" t="s">
        <v>30</v>
      </c>
    </row>
    <row r="6303" spans="2:13" x14ac:dyDescent="0.2">
      <c r="C6303" t="b">
        <v>0</v>
      </c>
      <c r="D6303">
        <v>1450.12</v>
      </c>
      <c r="E6303" t="s">
        <v>30</v>
      </c>
    </row>
    <row r="6304" spans="2:13" x14ac:dyDescent="0.2">
      <c r="B6304" t="s">
        <v>11</v>
      </c>
    </row>
    <row r="6305" spans="2:13" x14ac:dyDescent="0.2">
      <c r="B6305" t="s">
        <v>12</v>
      </c>
      <c r="C6305" t="s">
        <v>13</v>
      </c>
      <c r="D6305" t="s">
        <v>14</v>
      </c>
      <c r="E6305" t="s">
        <v>15</v>
      </c>
      <c r="F6305" t="s">
        <v>16</v>
      </c>
      <c r="G6305" t="s">
        <v>17</v>
      </c>
      <c r="H6305" t="s">
        <v>18</v>
      </c>
      <c r="I6305" t="s">
        <v>19</v>
      </c>
      <c r="J6305" t="s">
        <v>20</v>
      </c>
      <c r="K6305" t="s">
        <v>21</v>
      </c>
      <c r="L6305" t="s">
        <v>22</v>
      </c>
      <c r="M6305" t="s">
        <v>23</v>
      </c>
    </row>
    <row r="6306" spans="2:13" x14ac:dyDescent="0.2">
      <c r="B6306" t="s">
        <v>32</v>
      </c>
      <c r="C6306">
        <v>72</v>
      </c>
      <c r="E6306" t="s">
        <v>25</v>
      </c>
      <c r="F6306">
        <v>1421.55</v>
      </c>
      <c r="G6306">
        <v>12</v>
      </c>
      <c r="K6306">
        <v>0.1</v>
      </c>
      <c r="L6306">
        <v>7</v>
      </c>
      <c r="M6306">
        <v>103</v>
      </c>
    </row>
    <row r="6307" spans="2:13" x14ac:dyDescent="0.2">
      <c r="C6307" t="s">
        <v>27</v>
      </c>
    </row>
    <row r="6308" spans="2:13" x14ac:dyDescent="0.2">
      <c r="C6308" t="s">
        <v>28</v>
      </c>
      <c r="D6308" t="s">
        <v>16</v>
      </c>
      <c r="E6308" t="s">
        <v>29</v>
      </c>
      <c r="F6308" t="s">
        <v>18</v>
      </c>
    </row>
    <row r="6309" spans="2:13" x14ac:dyDescent="0.2">
      <c r="C6309" t="b">
        <v>0</v>
      </c>
      <c r="D6309">
        <v>1540.14</v>
      </c>
      <c r="E6309" t="s">
        <v>30</v>
      </c>
    </row>
    <row r="6310" spans="2:13" x14ac:dyDescent="0.2">
      <c r="C6310" t="b">
        <v>0</v>
      </c>
      <c r="D6310">
        <v>1520.14</v>
      </c>
      <c r="E6310" t="s">
        <v>30</v>
      </c>
    </row>
    <row r="6311" spans="2:13" x14ac:dyDescent="0.2">
      <c r="C6311" t="b">
        <v>0</v>
      </c>
      <c r="D6311">
        <v>1250.0999999999999</v>
      </c>
      <c r="E6311" t="s">
        <v>30</v>
      </c>
    </row>
    <row r="6312" spans="2:13" x14ac:dyDescent="0.2">
      <c r="C6312" t="b">
        <v>0</v>
      </c>
      <c r="D6312">
        <v>1500.14</v>
      </c>
      <c r="E6312" t="s">
        <v>30</v>
      </c>
    </row>
    <row r="6313" spans="2:13" x14ac:dyDescent="0.2">
      <c r="C6313" t="b">
        <v>0</v>
      </c>
      <c r="D6313">
        <v>1180.08</v>
      </c>
      <c r="E6313" t="s">
        <v>30</v>
      </c>
    </row>
    <row r="6314" spans="2:13" x14ac:dyDescent="0.2">
      <c r="C6314" t="b">
        <v>0</v>
      </c>
      <c r="D6314">
        <v>1640.15</v>
      </c>
      <c r="E6314" t="s">
        <v>30</v>
      </c>
    </row>
    <row r="6315" spans="2:13" x14ac:dyDescent="0.2">
      <c r="C6315" t="b">
        <v>0</v>
      </c>
      <c r="D6315">
        <v>1320.11</v>
      </c>
      <c r="E6315" t="s">
        <v>30</v>
      </c>
    </row>
    <row r="6316" spans="2:13" x14ac:dyDescent="0.2">
      <c r="B6316" t="s">
        <v>11</v>
      </c>
    </row>
    <row r="6317" spans="2:13" x14ac:dyDescent="0.2">
      <c r="B6317" t="s">
        <v>12</v>
      </c>
      <c r="C6317" t="s">
        <v>13</v>
      </c>
      <c r="D6317" t="s">
        <v>14</v>
      </c>
      <c r="E6317" t="s">
        <v>15</v>
      </c>
      <c r="F6317" t="s">
        <v>16</v>
      </c>
      <c r="G6317" t="s">
        <v>17</v>
      </c>
      <c r="H6317" t="s">
        <v>18</v>
      </c>
      <c r="I6317" t="s">
        <v>19</v>
      </c>
      <c r="J6317" t="s">
        <v>20</v>
      </c>
      <c r="K6317" t="s">
        <v>21</v>
      </c>
      <c r="L6317" t="s">
        <v>22</v>
      </c>
      <c r="M6317" t="s">
        <v>23</v>
      </c>
    </row>
    <row r="6318" spans="2:13" x14ac:dyDescent="0.2">
      <c r="B6318" t="s">
        <v>33</v>
      </c>
      <c r="C6318">
        <v>89</v>
      </c>
      <c r="E6318" t="s">
        <v>25</v>
      </c>
      <c r="F6318">
        <v>8086.94</v>
      </c>
      <c r="G6318">
        <v>6.2</v>
      </c>
      <c r="K6318">
        <v>0.1</v>
      </c>
      <c r="L6318">
        <v>7</v>
      </c>
      <c r="M6318">
        <v>107.4</v>
      </c>
    </row>
    <row r="6319" spans="2:13" x14ac:dyDescent="0.2">
      <c r="C6319" t="s">
        <v>27</v>
      </c>
    </row>
    <row r="6320" spans="2:13" x14ac:dyDescent="0.2">
      <c r="C6320" t="s">
        <v>28</v>
      </c>
      <c r="D6320" t="s">
        <v>16</v>
      </c>
      <c r="E6320" t="s">
        <v>29</v>
      </c>
      <c r="F6320" t="s">
        <v>18</v>
      </c>
    </row>
    <row r="6321" spans="1:13" x14ac:dyDescent="0.2">
      <c r="C6321" t="b">
        <v>0</v>
      </c>
      <c r="D6321">
        <v>8512.9</v>
      </c>
      <c r="E6321" t="s">
        <v>30</v>
      </c>
    </row>
    <row r="6322" spans="1:13" x14ac:dyDescent="0.2">
      <c r="C6322" t="b">
        <v>0</v>
      </c>
      <c r="D6322">
        <v>7882.49</v>
      </c>
      <c r="E6322" t="s">
        <v>30</v>
      </c>
    </row>
    <row r="6323" spans="1:13" x14ac:dyDescent="0.2">
      <c r="C6323" t="b">
        <v>0</v>
      </c>
      <c r="D6323">
        <v>8102.8</v>
      </c>
      <c r="E6323" t="s">
        <v>30</v>
      </c>
    </row>
    <row r="6324" spans="1:13" x14ac:dyDescent="0.2">
      <c r="C6324" t="b">
        <v>0</v>
      </c>
      <c r="D6324">
        <v>7182.11</v>
      </c>
      <c r="E6324" t="s">
        <v>30</v>
      </c>
    </row>
    <row r="6325" spans="1:13" x14ac:dyDescent="0.2">
      <c r="C6325" t="b">
        <v>0</v>
      </c>
      <c r="D6325">
        <v>7962.58</v>
      </c>
      <c r="E6325" t="s">
        <v>30</v>
      </c>
    </row>
    <row r="6326" spans="1:13" x14ac:dyDescent="0.2">
      <c r="C6326" t="b">
        <v>0</v>
      </c>
      <c r="D6326">
        <v>8743.0300000000007</v>
      </c>
      <c r="E6326" t="s">
        <v>30</v>
      </c>
    </row>
    <row r="6327" spans="1:13" x14ac:dyDescent="0.2">
      <c r="C6327" t="b">
        <v>0</v>
      </c>
      <c r="D6327">
        <v>8222.68</v>
      </c>
      <c r="E6327" t="s">
        <v>30</v>
      </c>
    </row>
    <row r="6328" spans="1:13" x14ac:dyDescent="0.2">
      <c r="A6328" t="s">
        <v>0</v>
      </c>
    </row>
    <row r="6329" spans="1:13" x14ac:dyDescent="0.2">
      <c r="B6329" t="s">
        <v>1</v>
      </c>
      <c r="C6329" t="s">
        <v>2</v>
      </c>
      <c r="D6329" t="s">
        <v>3</v>
      </c>
      <c r="E6329" t="s">
        <v>4</v>
      </c>
      <c r="F6329" t="s">
        <v>5</v>
      </c>
      <c r="G6329" t="s">
        <v>6</v>
      </c>
    </row>
    <row r="6330" spans="1:13" x14ac:dyDescent="0.2">
      <c r="A6330" t="s">
        <v>421</v>
      </c>
      <c r="B6330" t="b">
        <v>0</v>
      </c>
      <c r="C6330" t="s">
        <v>422</v>
      </c>
      <c r="D6330" t="s">
        <v>423</v>
      </c>
      <c r="E6330" t="s">
        <v>0</v>
      </c>
      <c r="G6330" t="s">
        <v>424</v>
      </c>
    </row>
    <row r="6331" spans="1:13" x14ac:dyDescent="0.2">
      <c r="B6331" t="s">
        <v>11</v>
      </c>
    </row>
    <row r="6332" spans="1:13" x14ac:dyDescent="0.2">
      <c r="B6332" t="s">
        <v>12</v>
      </c>
      <c r="C6332" t="s">
        <v>13</v>
      </c>
      <c r="D6332" t="s">
        <v>14</v>
      </c>
      <c r="E6332" t="s">
        <v>15</v>
      </c>
      <c r="F6332" t="s">
        <v>16</v>
      </c>
      <c r="G6332" t="s">
        <v>17</v>
      </c>
      <c r="H6332" t="s">
        <v>18</v>
      </c>
      <c r="I6332" t="s">
        <v>19</v>
      </c>
      <c r="J6332" t="s">
        <v>20</v>
      </c>
      <c r="K6332" t="s">
        <v>21</v>
      </c>
      <c r="L6332" t="s">
        <v>22</v>
      </c>
      <c r="M6332" t="s">
        <v>23</v>
      </c>
    </row>
    <row r="6333" spans="1:13" x14ac:dyDescent="0.2">
      <c r="B6333" t="s">
        <v>24</v>
      </c>
      <c r="C6333">
        <v>59</v>
      </c>
      <c r="E6333" t="s">
        <v>25</v>
      </c>
      <c r="F6333">
        <v>16541630.83</v>
      </c>
      <c r="G6333">
        <v>1</v>
      </c>
      <c r="H6333">
        <v>5.0979999999999999</v>
      </c>
      <c r="I6333" t="s">
        <v>26</v>
      </c>
      <c r="J6333">
        <v>1</v>
      </c>
      <c r="K6333">
        <v>0.1</v>
      </c>
      <c r="L6333">
        <v>7</v>
      </c>
    </row>
    <row r="6334" spans="1:13" x14ac:dyDescent="0.2">
      <c r="C6334" t="s">
        <v>27</v>
      </c>
    </row>
    <row r="6335" spans="1:13" x14ac:dyDescent="0.2">
      <c r="C6335" t="s">
        <v>28</v>
      </c>
      <c r="D6335" t="s">
        <v>16</v>
      </c>
      <c r="E6335" t="s">
        <v>29</v>
      </c>
      <c r="F6335" t="s">
        <v>18</v>
      </c>
    </row>
    <row r="6336" spans="1:13" x14ac:dyDescent="0.2">
      <c r="C6336" t="b">
        <v>0</v>
      </c>
      <c r="D6336">
        <v>16738101</v>
      </c>
      <c r="E6336" t="s">
        <v>67</v>
      </c>
      <c r="F6336">
        <v>5.1589999999999998</v>
      </c>
    </row>
    <row r="6337" spans="2:13" x14ac:dyDescent="0.2">
      <c r="C6337" t="b">
        <v>0</v>
      </c>
      <c r="D6337">
        <v>16384222.26</v>
      </c>
      <c r="E6337" t="s">
        <v>67</v>
      </c>
      <c r="F6337">
        <v>5.05</v>
      </c>
    </row>
    <row r="6338" spans="2:13" x14ac:dyDescent="0.2">
      <c r="C6338" t="b">
        <v>0</v>
      </c>
      <c r="D6338">
        <v>16684423.5</v>
      </c>
      <c r="E6338" t="s">
        <v>67</v>
      </c>
      <c r="F6338">
        <v>5.1420000000000003</v>
      </c>
    </row>
    <row r="6339" spans="2:13" x14ac:dyDescent="0.2">
      <c r="C6339" t="b">
        <v>0</v>
      </c>
      <c r="D6339">
        <v>16429311.01</v>
      </c>
      <c r="E6339" t="s">
        <v>67</v>
      </c>
      <c r="F6339">
        <v>5.0640000000000001</v>
      </c>
    </row>
    <row r="6340" spans="2:13" x14ac:dyDescent="0.2">
      <c r="C6340" t="b">
        <v>0</v>
      </c>
      <c r="D6340">
        <v>16704604.75</v>
      </c>
      <c r="E6340" t="s">
        <v>67</v>
      </c>
      <c r="F6340">
        <v>5.1479999999999997</v>
      </c>
    </row>
    <row r="6341" spans="2:13" x14ac:dyDescent="0.2">
      <c r="C6341" t="b">
        <v>0</v>
      </c>
      <c r="D6341">
        <v>16504306</v>
      </c>
      <c r="E6341" t="s">
        <v>67</v>
      </c>
      <c r="F6341">
        <v>5.0869999999999997</v>
      </c>
    </row>
    <row r="6342" spans="2:13" x14ac:dyDescent="0.2">
      <c r="C6342" t="b">
        <v>0</v>
      </c>
      <c r="D6342">
        <v>16346447.26</v>
      </c>
      <c r="E6342" t="s">
        <v>67</v>
      </c>
      <c r="F6342">
        <v>5.0380000000000003</v>
      </c>
    </row>
    <row r="6343" spans="2:13" x14ac:dyDescent="0.2">
      <c r="B6343" t="s">
        <v>11</v>
      </c>
    </row>
    <row r="6344" spans="2:13" x14ac:dyDescent="0.2">
      <c r="B6344" t="s">
        <v>12</v>
      </c>
      <c r="C6344" t="s">
        <v>13</v>
      </c>
      <c r="D6344" t="s">
        <v>14</v>
      </c>
      <c r="E6344" t="s">
        <v>15</v>
      </c>
      <c r="F6344" t="s">
        <v>16</v>
      </c>
      <c r="G6344" t="s">
        <v>17</v>
      </c>
      <c r="H6344" t="s">
        <v>18</v>
      </c>
      <c r="I6344" t="s">
        <v>19</v>
      </c>
      <c r="J6344" t="s">
        <v>20</v>
      </c>
      <c r="K6344" t="s">
        <v>21</v>
      </c>
      <c r="L6344" t="s">
        <v>22</v>
      </c>
      <c r="M6344" t="s">
        <v>23</v>
      </c>
    </row>
    <row r="6345" spans="2:13" x14ac:dyDescent="0.2">
      <c r="B6345" t="s">
        <v>31</v>
      </c>
      <c r="C6345">
        <v>45</v>
      </c>
      <c r="E6345" t="s">
        <v>25</v>
      </c>
      <c r="F6345">
        <v>1160.0899999999999</v>
      </c>
      <c r="G6345">
        <v>5.4</v>
      </c>
      <c r="K6345">
        <v>0.1</v>
      </c>
      <c r="L6345">
        <v>7</v>
      </c>
      <c r="M6345">
        <v>89.4</v>
      </c>
    </row>
    <row r="6346" spans="2:13" x14ac:dyDescent="0.2">
      <c r="C6346" t="s">
        <v>27</v>
      </c>
    </row>
    <row r="6347" spans="2:13" x14ac:dyDescent="0.2">
      <c r="C6347" t="s">
        <v>28</v>
      </c>
      <c r="D6347" t="s">
        <v>16</v>
      </c>
      <c r="E6347" t="s">
        <v>29</v>
      </c>
      <c r="F6347" t="s">
        <v>18</v>
      </c>
    </row>
    <row r="6348" spans="2:13" x14ac:dyDescent="0.2">
      <c r="C6348" t="b">
        <v>0</v>
      </c>
      <c r="D6348">
        <v>1130.0899999999999</v>
      </c>
      <c r="E6348" t="s">
        <v>30</v>
      </c>
    </row>
    <row r="6349" spans="2:13" x14ac:dyDescent="0.2">
      <c r="C6349" t="b">
        <v>0</v>
      </c>
      <c r="D6349">
        <v>1130.0899999999999</v>
      </c>
      <c r="E6349" t="s">
        <v>30</v>
      </c>
    </row>
    <row r="6350" spans="2:13" x14ac:dyDescent="0.2">
      <c r="C6350" t="b">
        <v>0</v>
      </c>
      <c r="D6350">
        <v>1210.0999999999999</v>
      </c>
      <c r="E6350" t="s">
        <v>30</v>
      </c>
    </row>
    <row r="6351" spans="2:13" x14ac:dyDescent="0.2">
      <c r="C6351" t="b">
        <v>0</v>
      </c>
      <c r="D6351">
        <v>1270.0999999999999</v>
      </c>
      <c r="E6351" t="s">
        <v>30</v>
      </c>
    </row>
    <row r="6352" spans="2:13" x14ac:dyDescent="0.2">
      <c r="C6352" t="b">
        <v>0</v>
      </c>
      <c r="D6352">
        <v>1160.0899999999999</v>
      </c>
      <c r="E6352" t="s">
        <v>30</v>
      </c>
    </row>
    <row r="6353" spans="2:13" x14ac:dyDescent="0.2">
      <c r="C6353" t="b">
        <v>0</v>
      </c>
      <c r="D6353">
        <v>1140.08</v>
      </c>
      <c r="E6353" t="s">
        <v>30</v>
      </c>
    </row>
    <row r="6354" spans="2:13" x14ac:dyDescent="0.2">
      <c r="C6354" t="b">
        <v>0</v>
      </c>
      <c r="D6354">
        <v>1080.08</v>
      </c>
      <c r="E6354" t="s">
        <v>30</v>
      </c>
    </row>
    <row r="6355" spans="2:13" x14ac:dyDescent="0.2">
      <c r="B6355" t="s">
        <v>11</v>
      </c>
    </row>
    <row r="6356" spans="2:13" x14ac:dyDescent="0.2">
      <c r="B6356" t="s">
        <v>12</v>
      </c>
      <c r="C6356" t="s">
        <v>13</v>
      </c>
      <c r="D6356" t="s">
        <v>14</v>
      </c>
      <c r="E6356" t="s">
        <v>15</v>
      </c>
      <c r="F6356" t="s">
        <v>16</v>
      </c>
      <c r="G6356" t="s">
        <v>17</v>
      </c>
      <c r="H6356" t="s">
        <v>18</v>
      </c>
      <c r="I6356" t="s">
        <v>19</v>
      </c>
      <c r="J6356" t="s">
        <v>20</v>
      </c>
      <c r="K6356" t="s">
        <v>21</v>
      </c>
      <c r="L6356" t="s">
        <v>22</v>
      </c>
      <c r="M6356" t="s">
        <v>23</v>
      </c>
    </row>
    <row r="6357" spans="2:13" x14ac:dyDescent="0.2">
      <c r="B6357" t="s">
        <v>32</v>
      </c>
      <c r="C6357">
        <v>72</v>
      </c>
      <c r="E6357" t="s">
        <v>25</v>
      </c>
      <c r="F6357">
        <v>1157.23</v>
      </c>
      <c r="G6357">
        <v>9.3000000000000007</v>
      </c>
      <c r="K6357">
        <v>0.1</v>
      </c>
      <c r="L6357">
        <v>7</v>
      </c>
      <c r="M6357">
        <v>83.8</v>
      </c>
    </row>
    <row r="6358" spans="2:13" x14ac:dyDescent="0.2">
      <c r="C6358" t="s">
        <v>27</v>
      </c>
    </row>
    <row r="6359" spans="2:13" x14ac:dyDescent="0.2">
      <c r="C6359" t="s">
        <v>28</v>
      </c>
      <c r="D6359" t="s">
        <v>16</v>
      </c>
      <c r="E6359" t="s">
        <v>29</v>
      </c>
      <c r="F6359" t="s">
        <v>18</v>
      </c>
    </row>
    <row r="6360" spans="2:13" x14ac:dyDescent="0.2">
      <c r="C6360" t="b">
        <v>0</v>
      </c>
      <c r="D6360">
        <v>1030.07</v>
      </c>
      <c r="E6360" t="s">
        <v>30</v>
      </c>
    </row>
    <row r="6361" spans="2:13" x14ac:dyDescent="0.2">
      <c r="C6361" t="b">
        <v>0</v>
      </c>
      <c r="D6361">
        <v>1110.0899999999999</v>
      </c>
      <c r="E6361" t="s">
        <v>30</v>
      </c>
    </row>
    <row r="6362" spans="2:13" x14ac:dyDescent="0.2">
      <c r="C6362" t="b">
        <v>0</v>
      </c>
      <c r="D6362">
        <v>1230.0899999999999</v>
      </c>
      <c r="E6362" t="s">
        <v>30</v>
      </c>
    </row>
    <row r="6363" spans="2:13" x14ac:dyDescent="0.2">
      <c r="C6363" t="b">
        <v>0</v>
      </c>
      <c r="D6363">
        <v>1170.0899999999999</v>
      </c>
      <c r="E6363" t="s">
        <v>30</v>
      </c>
    </row>
    <row r="6364" spans="2:13" x14ac:dyDescent="0.2">
      <c r="C6364" t="b">
        <v>0</v>
      </c>
      <c r="D6364">
        <v>1020.07</v>
      </c>
      <c r="E6364" t="s">
        <v>30</v>
      </c>
    </row>
    <row r="6365" spans="2:13" x14ac:dyDescent="0.2">
      <c r="C6365" t="b">
        <v>0</v>
      </c>
      <c r="D6365">
        <v>1290.0899999999999</v>
      </c>
      <c r="E6365" t="s">
        <v>30</v>
      </c>
    </row>
    <row r="6366" spans="2:13" x14ac:dyDescent="0.2">
      <c r="C6366" t="b">
        <v>0</v>
      </c>
      <c r="D6366">
        <v>1250.1099999999999</v>
      </c>
      <c r="E6366" t="s">
        <v>30</v>
      </c>
    </row>
    <row r="6367" spans="2:13" x14ac:dyDescent="0.2">
      <c r="B6367" t="s">
        <v>11</v>
      </c>
    </row>
    <row r="6368" spans="2:13" x14ac:dyDescent="0.2">
      <c r="B6368" t="s">
        <v>12</v>
      </c>
      <c r="C6368" t="s">
        <v>13</v>
      </c>
      <c r="D6368" t="s">
        <v>14</v>
      </c>
      <c r="E6368" t="s">
        <v>15</v>
      </c>
      <c r="F6368" t="s">
        <v>16</v>
      </c>
      <c r="G6368" t="s">
        <v>17</v>
      </c>
      <c r="H6368" t="s">
        <v>18</v>
      </c>
      <c r="I6368" t="s">
        <v>19</v>
      </c>
      <c r="J6368" t="s">
        <v>20</v>
      </c>
      <c r="K6368" t="s">
        <v>21</v>
      </c>
      <c r="L6368" t="s">
        <v>22</v>
      </c>
      <c r="M6368" t="s">
        <v>23</v>
      </c>
    </row>
    <row r="6369" spans="1:13" x14ac:dyDescent="0.2">
      <c r="B6369" t="s">
        <v>33</v>
      </c>
      <c r="C6369">
        <v>89</v>
      </c>
      <c r="E6369" t="s">
        <v>25</v>
      </c>
      <c r="F6369">
        <v>5947.19</v>
      </c>
      <c r="G6369">
        <v>4.2</v>
      </c>
      <c r="K6369">
        <v>0.1</v>
      </c>
      <c r="L6369">
        <v>7</v>
      </c>
      <c r="M6369">
        <v>79</v>
      </c>
    </row>
    <row r="6370" spans="1:13" x14ac:dyDescent="0.2">
      <c r="C6370" t="s">
        <v>27</v>
      </c>
    </row>
    <row r="6371" spans="1:13" x14ac:dyDescent="0.2">
      <c r="C6371" t="s">
        <v>28</v>
      </c>
      <c r="D6371" t="s">
        <v>16</v>
      </c>
      <c r="E6371" t="s">
        <v>29</v>
      </c>
      <c r="F6371" t="s">
        <v>18</v>
      </c>
    </row>
    <row r="6372" spans="1:13" x14ac:dyDescent="0.2">
      <c r="C6372" t="b">
        <v>0</v>
      </c>
      <c r="D6372">
        <v>5611.34</v>
      </c>
      <c r="E6372" t="s">
        <v>30</v>
      </c>
    </row>
    <row r="6373" spans="1:13" x14ac:dyDescent="0.2">
      <c r="C6373" t="b">
        <v>0</v>
      </c>
      <c r="D6373">
        <v>6311.64</v>
      </c>
      <c r="E6373" t="s">
        <v>30</v>
      </c>
    </row>
    <row r="6374" spans="1:13" x14ac:dyDescent="0.2">
      <c r="C6374" t="b">
        <v>0</v>
      </c>
      <c r="D6374">
        <v>5771.43</v>
      </c>
      <c r="E6374" t="s">
        <v>30</v>
      </c>
    </row>
    <row r="6375" spans="1:13" x14ac:dyDescent="0.2">
      <c r="C6375" t="b">
        <v>0</v>
      </c>
      <c r="D6375">
        <v>5781.38</v>
      </c>
      <c r="E6375" t="s">
        <v>30</v>
      </c>
    </row>
    <row r="6376" spans="1:13" x14ac:dyDescent="0.2">
      <c r="C6376" t="b">
        <v>0</v>
      </c>
      <c r="D6376">
        <v>5921.44</v>
      </c>
      <c r="E6376" t="s">
        <v>30</v>
      </c>
    </row>
    <row r="6377" spans="1:13" x14ac:dyDescent="0.2">
      <c r="C6377" t="b">
        <v>0</v>
      </c>
      <c r="D6377">
        <v>6161.56</v>
      </c>
      <c r="E6377" t="s">
        <v>30</v>
      </c>
    </row>
    <row r="6378" spans="1:13" x14ac:dyDescent="0.2">
      <c r="C6378" t="b">
        <v>0</v>
      </c>
      <c r="D6378">
        <v>6071.51</v>
      </c>
      <c r="E6378" t="s">
        <v>30</v>
      </c>
    </row>
    <row r="6379" spans="1:13" x14ac:dyDescent="0.2">
      <c r="A6379" t="s">
        <v>0</v>
      </c>
    </row>
    <row r="6380" spans="1:13" x14ac:dyDescent="0.2">
      <c r="B6380" t="s">
        <v>1</v>
      </c>
      <c r="C6380" t="s">
        <v>2</v>
      </c>
      <c r="D6380" t="s">
        <v>3</v>
      </c>
      <c r="E6380" t="s">
        <v>4</v>
      </c>
      <c r="F6380" t="s">
        <v>5</v>
      </c>
      <c r="G6380" t="s">
        <v>6</v>
      </c>
    </row>
    <row r="6381" spans="1:13" x14ac:dyDescent="0.2">
      <c r="B6381" t="b">
        <v>0</v>
      </c>
      <c r="C6381" t="s">
        <v>425</v>
      </c>
      <c r="D6381" t="s">
        <v>426</v>
      </c>
      <c r="E6381" t="s">
        <v>9</v>
      </c>
      <c r="G6381" t="s">
        <v>194</v>
      </c>
    </row>
    <row r="6382" spans="1:13" x14ac:dyDescent="0.2">
      <c r="B6382" t="s">
        <v>11</v>
      </c>
    </row>
    <row r="6383" spans="1:13" x14ac:dyDescent="0.2">
      <c r="B6383" t="s">
        <v>12</v>
      </c>
      <c r="C6383" t="s">
        <v>13</v>
      </c>
      <c r="D6383" t="s">
        <v>14</v>
      </c>
      <c r="E6383" t="s">
        <v>15</v>
      </c>
      <c r="F6383" t="s">
        <v>16</v>
      </c>
      <c r="G6383" t="s">
        <v>17</v>
      </c>
      <c r="H6383" t="s">
        <v>18</v>
      </c>
      <c r="I6383" t="s">
        <v>19</v>
      </c>
      <c r="J6383" t="s">
        <v>20</v>
      </c>
      <c r="K6383" t="s">
        <v>21</v>
      </c>
      <c r="L6383" t="s">
        <v>22</v>
      </c>
      <c r="M6383" t="s">
        <v>23</v>
      </c>
    </row>
    <row r="6384" spans="1:13" x14ac:dyDescent="0.2">
      <c r="B6384" t="s">
        <v>24</v>
      </c>
      <c r="C6384">
        <v>59</v>
      </c>
      <c r="E6384" t="s">
        <v>25</v>
      </c>
      <c r="F6384">
        <v>368.59</v>
      </c>
      <c r="G6384">
        <v>10</v>
      </c>
      <c r="H6384">
        <v>0</v>
      </c>
      <c r="I6384" t="s">
        <v>26</v>
      </c>
      <c r="J6384">
        <v>11.1</v>
      </c>
      <c r="K6384">
        <v>0.1</v>
      </c>
      <c r="L6384">
        <v>7</v>
      </c>
    </row>
    <row r="6385" spans="2:13" x14ac:dyDescent="0.2">
      <c r="C6385" t="s">
        <v>27</v>
      </c>
    </row>
    <row r="6386" spans="2:13" x14ac:dyDescent="0.2">
      <c r="C6386" t="s">
        <v>28</v>
      </c>
      <c r="D6386" t="s">
        <v>16</v>
      </c>
      <c r="E6386" t="s">
        <v>29</v>
      </c>
      <c r="F6386" t="s">
        <v>18</v>
      </c>
    </row>
    <row r="6387" spans="2:13" x14ac:dyDescent="0.2">
      <c r="C6387" t="b">
        <v>0</v>
      </c>
      <c r="D6387">
        <v>330.02</v>
      </c>
      <c r="E6387" t="s">
        <v>30</v>
      </c>
      <c r="F6387">
        <v>0</v>
      </c>
    </row>
    <row r="6388" spans="2:13" x14ac:dyDescent="0.2">
      <c r="C6388" t="b">
        <v>0</v>
      </c>
      <c r="D6388">
        <v>410.02</v>
      </c>
      <c r="E6388" t="s">
        <v>30</v>
      </c>
      <c r="F6388">
        <v>0</v>
      </c>
    </row>
    <row r="6389" spans="2:13" x14ac:dyDescent="0.2">
      <c r="C6389" t="b">
        <v>0</v>
      </c>
      <c r="D6389">
        <v>370.02</v>
      </c>
      <c r="E6389" t="s">
        <v>30</v>
      </c>
      <c r="F6389">
        <v>0</v>
      </c>
    </row>
    <row r="6390" spans="2:13" x14ac:dyDescent="0.2">
      <c r="C6390" t="b">
        <v>0</v>
      </c>
      <c r="D6390">
        <v>400.02</v>
      </c>
      <c r="E6390" t="s">
        <v>30</v>
      </c>
      <c r="F6390">
        <v>0</v>
      </c>
    </row>
    <row r="6391" spans="2:13" x14ac:dyDescent="0.2">
      <c r="C6391" t="b">
        <v>0</v>
      </c>
      <c r="D6391">
        <v>370.02</v>
      </c>
      <c r="E6391" t="s">
        <v>30</v>
      </c>
      <c r="F6391">
        <v>0</v>
      </c>
    </row>
    <row r="6392" spans="2:13" x14ac:dyDescent="0.2">
      <c r="C6392" t="b">
        <v>0</v>
      </c>
      <c r="D6392">
        <v>310.02</v>
      </c>
      <c r="E6392" t="s">
        <v>30</v>
      </c>
      <c r="F6392">
        <v>0</v>
      </c>
    </row>
    <row r="6393" spans="2:13" x14ac:dyDescent="0.2">
      <c r="C6393" t="b">
        <v>0</v>
      </c>
      <c r="D6393">
        <v>390.02</v>
      </c>
      <c r="E6393" t="s">
        <v>30</v>
      </c>
      <c r="F6393">
        <v>0</v>
      </c>
    </row>
    <row r="6394" spans="2:13" x14ac:dyDescent="0.2">
      <c r="B6394" t="s">
        <v>11</v>
      </c>
    </row>
    <row r="6395" spans="2:13" x14ac:dyDescent="0.2">
      <c r="B6395" t="s">
        <v>12</v>
      </c>
      <c r="C6395" t="s">
        <v>13</v>
      </c>
      <c r="D6395" t="s">
        <v>14</v>
      </c>
      <c r="E6395" t="s">
        <v>15</v>
      </c>
      <c r="F6395" t="s">
        <v>16</v>
      </c>
      <c r="G6395" t="s">
        <v>17</v>
      </c>
      <c r="H6395" t="s">
        <v>18</v>
      </c>
      <c r="I6395" t="s">
        <v>19</v>
      </c>
      <c r="J6395" t="s">
        <v>20</v>
      </c>
      <c r="K6395" t="s">
        <v>21</v>
      </c>
      <c r="L6395" t="s">
        <v>22</v>
      </c>
      <c r="M6395" t="s">
        <v>23</v>
      </c>
    </row>
    <row r="6396" spans="2:13" x14ac:dyDescent="0.2">
      <c r="B6396" t="s">
        <v>31</v>
      </c>
      <c r="C6396">
        <v>45</v>
      </c>
      <c r="E6396" t="s">
        <v>25</v>
      </c>
      <c r="F6396">
        <v>1404.41</v>
      </c>
      <c r="G6396">
        <v>4.5</v>
      </c>
      <c r="K6396">
        <v>0.1</v>
      </c>
      <c r="L6396">
        <v>7</v>
      </c>
      <c r="M6396">
        <v>108.3</v>
      </c>
    </row>
    <row r="6397" spans="2:13" x14ac:dyDescent="0.2">
      <c r="C6397" t="s">
        <v>27</v>
      </c>
    </row>
    <row r="6398" spans="2:13" x14ac:dyDescent="0.2">
      <c r="C6398" t="s">
        <v>28</v>
      </c>
      <c r="D6398" t="s">
        <v>16</v>
      </c>
      <c r="E6398" t="s">
        <v>29</v>
      </c>
      <c r="F6398" t="s">
        <v>18</v>
      </c>
    </row>
    <row r="6399" spans="2:13" x14ac:dyDescent="0.2">
      <c r="C6399" t="b">
        <v>0</v>
      </c>
      <c r="D6399">
        <v>1300.1099999999999</v>
      </c>
      <c r="E6399" t="s">
        <v>30</v>
      </c>
    </row>
    <row r="6400" spans="2:13" x14ac:dyDescent="0.2">
      <c r="C6400" t="b">
        <v>0</v>
      </c>
      <c r="D6400">
        <v>1420.11</v>
      </c>
      <c r="E6400" t="s">
        <v>30</v>
      </c>
    </row>
    <row r="6401" spans="2:13" x14ac:dyDescent="0.2">
      <c r="C6401" t="b">
        <v>0</v>
      </c>
      <c r="D6401">
        <v>1340.12</v>
      </c>
      <c r="E6401" t="s">
        <v>30</v>
      </c>
    </row>
    <row r="6402" spans="2:13" x14ac:dyDescent="0.2">
      <c r="C6402" t="b">
        <v>0</v>
      </c>
      <c r="D6402">
        <v>1450.13</v>
      </c>
      <c r="E6402" t="s">
        <v>30</v>
      </c>
    </row>
    <row r="6403" spans="2:13" x14ac:dyDescent="0.2">
      <c r="C6403" t="b">
        <v>0</v>
      </c>
      <c r="D6403">
        <v>1420.12</v>
      </c>
      <c r="E6403" t="s">
        <v>30</v>
      </c>
    </row>
    <row r="6404" spans="2:13" x14ac:dyDescent="0.2">
      <c r="C6404" t="b">
        <v>0</v>
      </c>
      <c r="D6404">
        <v>1480.13</v>
      </c>
      <c r="E6404" t="s">
        <v>30</v>
      </c>
    </row>
    <row r="6405" spans="2:13" x14ac:dyDescent="0.2">
      <c r="C6405" t="b">
        <v>0</v>
      </c>
      <c r="D6405">
        <v>1420.13</v>
      </c>
      <c r="E6405" t="s">
        <v>30</v>
      </c>
    </row>
    <row r="6406" spans="2:13" x14ac:dyDescent="0.2">
      <c r="B6406" t="s">
        <v>11</v>
      </c>
    </row>
    <row r="6407" spans="2:13" x14ac:dyDescent="0.2">
      <c r="B6407" t="s">
        <v>12</v>
      </c>
      <c r="C6407" t="s">
        <v>13</v>
      </c>
      <c r="D6407" t="s">
        <v>14</v>
      </c>
      <c r="E6407" t="s">
        <v>15</v>
      </c>
      <c r="F6407" t="s">
        <v>16</v>
      </c>
      <c r="G6407" t="s">
        <v>17</v>
      </c>
      <c r="H6407" t="s">
        <v>18</v>
      </c>
      <c r="I6407" t="s">
        <v>19</v>
      </c>
      <c r="J6407" t="s">
        <v>20</v>
      </c>
      <c r="K6407" t="s">
        <v>21</v>
      </c>
      <c r="L6407" t="s">
        <v>22</v>
      </c>
      <c r="M6407" t="s">
        <v>23</v>
      </c>
    </row>
    <row r="6408" spans="2:13" x14ac:dyDescent="0.2">
      <c r="B6408" t="s">
        <v>32</v>
      </c>
      <c r="C6408">
        <v>72</v>
      </c>
      <c r="E6408" t="s">
        <v>25</v>
      </c>
      <c r="F6408">
        <v>1517.28</v>
      </c>
      <c r="G6408">
        <v>5.3</v>
      </c>
      <c r="K6408">
        <v>0.1</v>
      </c>
      <c r="L6408">
        <v>7</v>
      </c>
      <c r="M6408">
        <v>109.9</v>
      </c>
    </row>
    <row r="6409" spans="2:13" x14ac:dyDescent="0.2">
      <c r="C6409" t="s">
        <v>27</v>
      </c>
    </row>
    <row r="6410" spans="2:13" x14ac:dyDescent="0.2">
      <c r="C6410" t="s">
        <v>28</v>
      </c>
      <c r="D6410" t="s">
        <v>16</v>
      </c>
      <c r="E6410" t="s">
        <v>29</v>
      </c>
      <c r="F6410" t="s">
        <v>18</v>
      </c>
    </row>
    <row r="6411" spans="2:13" x14ac:dyDescent="0.2">
      <c r="C6411" t="b">
        <v>0</v>
      </c>
      <c r="D6411">
        <v>1590.15</v>
      </c>
      <c r="E6411" t="s">
        <v>30</v>
      </c>
    </row>
    <row r="6412" spans="2:13" x14ac:dyDescent="0.2">
      <c r="C6412" t="b">
        <v>0</v>
      </c>
      <c r="D6412">
        <v>1370.13</v>
      </c>
      <c r="E6412" t="s">
        <v>30</v>
      </c>
    </row>
    <row r="6413" spans="2:13" x14ac:dyDescent="0.2">
      <c r="C6413" t="b">
        <v>0</v>
      </c>
      <c r="D6413">
        <v>1570.13</v>
      </c>
      <c r="E6413" t="s">
        <v>30</v>
      </c>
    </row>
    <row r="6414" spans="2:13" x14ac:dyDescent="0.2">
      <c r="C6414" t="b">
        <v>0</v>
      </c>
      <c r="D6414">
        <v>1500.13</v>
      </c>
      <c r="E6414" t="s">
        <v>30</v>
      </c>
    </row>
    <row r="6415" spans="2:13" x14ac:dyDescent="0.2">
      <c r="C6415" t="b">
        <v>0</v>
      </c>
      <c r="D6415">
        <v>1600.14</v>
      </c>
      <c r="E6415" t="s">
        <v>30</v>
      </c>
    </row>
    <row r="6416" spans="2:13" x14ac:dyDescent="0.2">
      <c r="C6416" t="b">
        <v>0</v>
      </c>
      <c r="D6416">
        <v>1470.13</v>
      </c>
      <c r="E6416" t="s">
        <v>30</v>
      </c>
    </row>
    <row r="6417" spans="1:13" x14ac:dyDescent="0.2">
      <c r="C6417" t="b">
        <v>0</v>
      </c>
      <c r="D6417">
        <v>1520.13</v>
      </c>
      <c r="E6417" t="s">
        <v>30</v>
      </c>
    </row>
    <row r="6418" spans="1:13" x14ac:dyDescent="0.2">
      <c r="B6418" t="s">
        <v>11</v>
      </c>
    </row>
    <row r="6419" spans="1:13" x14ac:dyDescent="0.2">
      <c r="B6419" t="s">
        <v>12</v>
      </c>
      <c r="C6419" t="s">
        <v>13</v>
      </c>
      <c r="D6419" t="s">
        <v>14</v>
      </c>
      <c r="E6419" t="s">
        <v>15</v>
      </c>
      <c r="F6419" t="s">
        <v>16</v>
      </c>
      <c r="G6419" t="s">
        <v>17</v>
      </c>
      <c r="H6419" t="s">
        <v>18</v>
      </c>
      <c r="I6419" t="s">
        <v>19</v>
      </c>
      <c r="J6419" t="s">
        <v>20</v>
      </c>
      <c r="K6419" t="s">
        <v>21</v>
      </c>
      <c r="L6419" t="s">
        <v>22</v>
      </c>
      <c r="M6419" t="s">
        <v>23</v>
      </c>
    </row>
    <row r="6420" spans="1:13" x14ac:dyDescent="0.2">
      <c r="B6420" t="s">
        <v>33</v>
      </c>
      <c r="C6420">
        <v>89</v>
      </c>
      <c r="E6420" t="s">
        <v>25</v>
      </c>
      <c r="F6420">
        <v>8607.2800000000007</v>
      </c>
      <c r="G6420">
        <v>2.7</v>
      </c>
      <c r="K6420">
        <v>0.1</v>
      </c>
      <c r="L6420">
        <v>7</v>
      </c>
      <c r="M6420">
        <v>114.3</v>
      </c>
    </row>
    <row r="6421" spans="1:13" x14ac:dyDescent="0.2">
      <c r="C6421" t="s">
        <v>27</v>
      </c>
    </row>
    <row r="6422" spans="1:13" x14ac:dyDescent="0.2">
      <c r="C6422" t="s">
        <v>28</v>
      </c>
      <c r="D6422" t="s">
        <v>16</v>
      </c>
      <c r="E6422" t="s">
        <v>29</v>
      </c>
      <c r="F6422" t="s">
        <v>18</v>
      </c>
    </row>
    <row r="6423" spans="1:13" x14ac:dyDescent="0.2">
      <c r="C6423" t="b">
        <v>0</v>
      </c>
      <c r="D6423">
        <v>8693.01</v>
      </c>
      <c r="E6423" t="s">
        <v>30</v>
      </c>
    </row>
    <row r="6424" spans="1:13" x14ac:dyDescent="0.2">
      <c r="C6424" t="b">
        <v>0</v>
      </c>
      <c r="D6424">
        <v>8743</v>
      </c>
      <c r="E6424" t="s">
        <v>30</v>
      </c>
    </row>
    <row r="6425" spans="1:13" x14ac:dyDescent="0.2">
      <c r="C6425" t="b">
        <v>0</v>
      </c>
      <c r="D6425">
        <v>8632.99</v>
      </c>
      <c r="E6425" t="s">
        <v>30</v>
      </c>
    </row>
    <row r="6426" spans="1:13" x14ac:dyDescent="0.2">
      <c r="C6426" t="b">
        <v>0</v>
      </c>
      <c r="D6426">
        <v>8272.82</v>
      </c>
      <c r="E6426" t="s">
        <v>30</v>
      </c>
    </row>
    <row r="6427" spans="1:13" x14ac:dyDescent="0.2">
      <c r="C6427" t="b">
        <v>0</v>
      </c>
      <c r="D6427">
        <v>8362.8799999999992</v>
      </c>
      <c r="E6427" t="s">
        <v>30</v>
      </c>
    </row>
    <row r="6428" spans="1:13" x14ac:dyDescent="0.2">
      <c r="C6428" t="b">
        <v>0</v>
      </c>
      <c r="D6428">
        <v>8573.0300000000007</v>
      </c>
      <c r="E6428" t="s">
        <v>30</v>
      </c>
    </row>
    <row r="6429" spans="1:13" x14ac:dyDescent="0.2">
      <c r="C6429" t="b">
        <v>0</v>
      </c>
      <c r="D6429">
        <v>8973.26</v>
      </c>
      <c r="E6429" t="s">
        <v>30</v>
      </c>
    </row>
    <row r="6430" spans="1:13" x14ac:dyDescent="0.2">
      <c r="A6430" t="s">
        <v>0</v>
      </c>
    </row>
    <row r="6431" spans="1:13" x14ac:dyDescent="0.2">
      <c r="B6431" t="s">
        <v>1</v>
      </c>
      <c r="C6431" t="s">
        <v>2</v>
      </c>
      <c r="D6431" t="s">
        <v>3</v>
      </c>
      <c r="E6431" t="s">
        <v>4</v>
      </c>
      <c r="F6431" t="s">
        <v>5</v>
      </c>
      <c r="G6431" t="s">
        <v>6</v>
      </c>
    </row>
    <row r="6432" spans="1:13" x14ac:dyDescent="0.2">
      <c r="B6432" t="b">
        <v>0</v>
      </c>
      <c r="C6432" t="s">
        <v>427</v>
      </c>
      <c r="D6432" t="s">
        <v>428</v>
      </c>
      <c r="E6432" t="s">
        <v>9</v>
      </c>
      <c r="G6432" t="s">
        <v>194</v>
      </c>
    </row>
    <row r="6433" spans="2:13" x14ac:dyDescent="0.2">
      <c r="B6433" t="s">
        <v>11</v>
      </c>
    </row>
    <row r="6434" spans="2:13" x14ac:dyDescent="0.2">
      <c r="B6434" t="s">
        <v>12</v>
      </c>
      <c r="C6434" t="s">
        <v>13</v>
      </c>
      <c r="D6434" t="s">
        <v>14</v>
      </c>
      <c r="E6434" t="s">
        <v>15</v>
      </c>
      <c r="F6434" t="s">
        <v>16</v>
      </c>
      <c r="G6434" t="s">
        <v>17</v>
      </c>
      <c r="H6434" t="s">
        <v>18</v>
      </c>
      <c r="I6434" t="s">
        <v>19</v>
      </c>
      <c r="J6434" t="s">
        <v>20</v>
      </c>
      <c r="K6434" t="s">
        <v>21</v>
      </c>
      <c r="L6434" t="s">
        <v>22</v>
      </c>
      <c r="M6434" t="s">
        <v>23</v>
      </c>
    </row>
    <row r="6435" spans="2:13" x14ac:dyDescent="0.2">
      <c r="B6435" t="s">
        <v>24</v>
      </c>
      <c r="C6435">
        <v>59</v>
      </c>
      <c r="E6435" t="s">
        <v>25</v>
      </c>
      <c r="F6435">
        <v>334.3</v>
      </c>
      <c r="G6435">
        <v>17.3</v>
      </c>
      <c r="H6435">
        <v>0</v>
      </c>
      <c r="I6435" t="s">
        <v>26</v>
      </c>
      <c r="J6435">
        <v>19.5</v>
      </c>
      <c r="K6435">
        <v>0.1</v>
      </c>
      <c r="L6435">
        <v>7</v>
      </c>
    </row>
    <row r="6436" spans="2:13" x14ac:dyDescent="0.2">
      <c r="C6436" t="s">
        <v>27</v>
      </c>
    </row>
    <row r="6437" spans="2:13" x14ac:dyDescent="0.2">
      <c r="C6437" t="s">
        <v>28</v>
      </c>
      <c r="D6437" t="s">
        <v>16</v>
      </c>
      <c r="E6437" t="s">
        <v>29</v>
      </c>
      <c r="F6437" t="s">
        <v>18</v>
      </c>
    </row>
    <row r="6438" spans="2:13" x14ac:dyDescent="0.2">
      <c r="C6438" t="b">
        <v>0</v>
      </c>
      <c r="D6438">
        <v>400.02</v>
      </c>
      <c r="E6438" t="s">
        <v>30</v>
      </c>
      <c r="F6438">
        <v>0</v>
      </c>
    </row>
    <row r="6439" spans="2:13" x14ac:dyDescent="0.2">
      <c r="C6439" t="b">
        <v>0</v>
      </c>
      <c r="D6439">
        <v>370.02</v>
      </c>
      <c r="E6439" t="s">
        <v>30</v>
      </c>
      <c r="F6439">
        <v>0</v>
      </c>
    </row>
    <row r="6440" spans="2:13" x14ac:dyDescent="0.2">
      <c r="C6440" t="b">
        <v>0</v>
      </c>
      <c r="D6440">
        <v>250.01</v>
      </c>
      <c r="E6440" t="s">
        <v>30</v>
      </c>
      <c r="F6440">
        <v>0</v>
      </c>
    </row>
    <row r="6441" spans="2:13" x14ac:dyDescent="0.2">
      <c r="C6441" t="b">
        <v>0</v>
      </c>
      <c r="D6441">
        <v>290.01</v>
      </c>
      <c r="E6441" t="s">
        <v>30</v>
      </c>
      <c r="F6441">
        <v>0</v>
      </c>
    </row>
    <row r="6442" spans="2:13" x14ac:dyDescent="0.2">
      <c r="C6442" t="b">
        <v>0</v>
      </c>
      <c r="D6442">
        <v>290.01</v>
      </c>
      <c r="E6442" t="s">
        <v>30</v>
      </c>
      <c r="F6442">
        <v>0</v>
      </c>
    </row>
    <row r="6443" spans="2:13" x14ac:dyDescent="0.2">
      <c r="C6443" t="b">
        <v>0</v>
      </c>
      <c r="D6443">
        <v>350.02</v>
      </c>
      <c r="E6443" t="s">
        <v>30</v>
      </c>
      <c r="F6443">
        <v>0</v>
      </c>
    </row>
    <row r="6444" spans="2:13" x14ac:dyDescent="0.2">
      <c r="C6444" t="b">
        <v>0</v>
      </c>
      <c r="D6444">
        <v>390.02</v>
      </c>
      <c r="E6444" t="s">
        <v>30</v>
      </c>
      <c r="F6444">
        <v>0</v>
      </c>
    </row>
    <row r="6445" spans="2:13" x14ac:dyDescent="0.2">
      <c r="B6445" t="s">
        <v>11</v>
      </c>
    </row>
    <row r="6446" spans="2:13" x14ac:dyDescent="0.2">
      <c r="B6446" t="s">
        <v>12</v>
      </c>
      <c r="C6446" t="s">
        <v>13</v>
      </c>
      <c r="D6446" t="s">
        <v>14</v>
      </c>
      <c r="E6446" t="s">
        <v>15</v>
      </c>
      <c r="F6446" t="s">
        <v>16</v>
      </c>
      <c r="G6446" t="s">
        <v>17</v>
      </c>
      <c r="H6446" t="s">
        <v>18</v>
      </c>
      <c r="I6446" t="s">
        <v>19</v>
      </c>
      <c r="J6446" t="s">
        <v>20</v>
      </c>
      <c r="K6446" t="s">
        <v>21</v>
      </c>
      <c r="L6446" t="s">
        <v>22</v>
      </c>
      <c r="M6446" t="s">
        <v>23</v>
      </c>
    </row>
    <row r="6447" spans="2:13" x14ac:dyDescent="0.2">
      <c r="B6447" t="s">
        <v>31</v>
      </c>
      <c r="C6447">
        <v>45</v>
      </c>
      <c r="E6447" t="s">
        <v>25</v>
      </c>
      <c r="F6447">
        <v>1351.54</v>
      </c>
      <c r="G6447">
        <v>8.1999999999999993</v>
      </c>
      <c r="K6447">
        <v>0.1</v>
      </c>
      <c r="L6447">
        <v>7</v>
      </c>
      <c r="M6447">
        <v>104.2</v>
      </c>
    </row>
    <row r="6448" spans="2:13" x14ac:dyDescent="0.2">
      <c r="C6448" t="s">
        <v>27</v>
      </c>
    </row>
    <row r="6449" spans="2:13" x14ac:dyDescent="0.2">
      <c r="C6449" t="s">
        <v>28</v>
      </c>
      <c r="D6449" t="s">
        <v>16</v>
      </c>
      <c r="E6449" t="s">
        <v>29</v>
      </c>
      <c r="F6449" t="s">
        <v>18</v>
      </c>
    </row>
    <row r="6450" spans="2:13" x14ac:dyDescent="0.2">
      <c r="C6450" t="b">
        <v>0</v>
      </c>
      <c r="D6450">
        <v>1430.12</v>
      </c>
      <c r="E6450" t="s">
        <v>30</v>
      </c>
    </row>
    <row r="6451" spans="2:13" x14ac:dyDescent="0.2">
      <c r="C6451" t="b">
        <v>0</v>
      </c>
      <c r="D6451">
        <v>1380.13</v>
      </c>
      <c r="E6451" t="s">
        <v>30</v>
      </c>
    </row>
    <row r="6452" spans="2:13" x14ac:dyDescent="0.2">
      <c r="C6452" t="b">
        <v>0</v>
      </c>
      <c r="D6452">
        <v>1470.12</v>
      </c>
      <c r="E6452" t="s">
        <v>30</v>
      </c>
    </row>
    <row r="6453" spans="2:13" x14ac:dyDescent="0.2">
      <c r="C6453" t="b">
        <v>0</v>
      </c>
      <c r="D6453">
        <v>1190.0899999999999</v>
      </c>
      <c r="E6453" t="s">
        <v>30</v>
      </c>
    </row>
    <row r="6454" spans="2:13" x14ac:dyDescent="0.2">
      <c r="C6454" t="b">
        <v>0</v>
      </c>
      <c r="D6454">
        <v>1390.11</v>
      </c>
      <c r="E6454" t="s">
        <v>30</v>
      </c>
    </row>
    <row r="6455" spans="2:13" x14ac:dyDescent="0.2">
      <c r="C6455" t="b">
        <v>0</v>
      </c>
      <c r="D6455">
        <v>1400.12</v>
      </c>
      <c r="E6455" t="s">
        <v>30</v>
      </c>
    </row>
    <row r="6456" spans="2:13" x14ac:dyDescent="0.2">
      <c r="C6456" t="b">
        <v>0</v>
      </c>
      <c r="D6456">
        <v>1200.0999999999999</v>
      </c>
      <c r="E6456" t="s">
        <v>30</v>
      </c>
    </row>
    <row r="6457" spans="2:13" x14ac:dyDescent="0.2">
      <c r="B6457" t="s">
        <v>11</v>
      </c>
    </row>
    <row r="6458" spans="2:13" x14ac:dyDescent="0.2">
      <c r="B6458" t="s">
        <v>12</v>
      </c>
      <c r="C6458" t="s">
        <v>13</v>
      </c>
      <c r="D6458" t="s">
        <v>14</v>
      </c>
      <c r="E6458" t="s">
        <v>15</v>
      </c>
      <c r="F6458" t="s">
        <v>16</v>
      </c>
      <c r="G6458" t="s">
        <v>17</v>
      </c>
      <c r="H6458" t="s">
        <v>18</v>
      </c>
      <c r="I6458" t="s">
        <v>19</v>
      </c>
      <c r="J6458" t="s">
        <v>20</v>
      </c>
      <c r="K6458" t="s">
        <v>21</v>
      </c>
      <c r="L6458" t="s">
        <v>22</v>
      </c>
      <c r="M6458" t="s">
        <v>23</v>
      </c>
    </row>
    <row r="6459" spans="2:13" x14ac:dyDescent="0.2">
      <c r="B6459" t="s">
        <v>32</v>
      </c>
      <c r="C6459">
        <v>72</v>
      </c>
      <c r="E6459" t="s">
        <v>25</v>
      </c>
      <c r="F6459">
        <v>1271.53</v>
      </c>
      <c r="G6459">
        <v>7.5</v>
      </c>
      <c r="K6459">
        <v>0.1</v>
      </c>
      <c r="L6459">
        <v>7</v>
      </c>
      <c r="M6459">
        <v>92.1</v>
      </c>
    </row>
    <row r="6460" spans="2:13" x14ac:dyDescent="0.2">
      <c r="C6460" t="s">
        <v>27</v>
      </c>
    </row>
    <row r="6461" spans="2:13" x14ac:dyDescent="0.2">
      <c r="C6461" t="s">
        <v>28</v>
      </c>
      <c r="D6461" t="s">
        <v>16</v>
      </c>
      <c r="E6461" t="s">
        <v>29</v>
      </c>
      <c r="F6461" t="s">
        <v>18</v>
      </c>
    </row>
    <row r="6462" spans="2:13" x14ac:dyDescent="0.2">
      <c r="C6462" t="b">
        <v>0</v>
      </c>
      <c r="D6462">
        <v>1410.12</v>
      </c>
      <c r="E6462" t="s">
        <v>30</v>
      </c>
    </row>
    <row r="6463" spans="2:13" x14ac:dyDescent="0.2">
      <c r="C6463" t="b">
        <v>0</v>
      </c>
      <c r="D6463">
        <v>1240.0999999999999</v>
      </c>
      <c r="E6463" t="s">
        <v>30</v>
      </c>
    </row>
    <row r="6464" spans="2:13" x14ac:dyDescent="0.2">
      <c r="C6464" t="b">
        <v>0</v>
      </c>
      <c r="D6464">
        <v>1240.0999999999999</v>
      </c>
      <c r="E6464" t="s">
        <v>30</v>
      </c>
    </row>
    <row r="6465" spans="2:13" x14ac:dyDescent="0.2">
      <c r="C6465" t="b">
        <v>0</v>
      </c>
      <c r="D6465">
        <v>1170.0999999999999</v>
      </c>
      <c r="E6465" t="s">
        <v>30</v>
      </c>
    </row>
    <row r="6466" spans="2:13" x14ac:dyDescent="0.2">
      <c r="C6466" t="b">
        <v>0</v>
      </c>
      <c r="D6466">
        <v>1400.12</v>
      </c>
      <c r="E6466" t="s">
        <v>30</v>
      </c>
    </row>
    <row r="6467" spans="2:13" x14ac:dyDescent="0.2">
      <c r="C6467" t="b">
        <v>0</v>
      </c>
      <c r="D6467">
        <v>1240.1099999999999</v>
      </c>
      <c r="E6467" t="s">
        <v>30</v>
      </c>
    </row>
    <row r="6468" spans="2:13" x14ac:dyDescent="0.2">
      <c r="C6468" t="b">
        <v>0</v>
      </c>
      <c r="D6468">
        <v>1200.0899999999999</v>
      </c>
      <c r="E6468" t="s">
        <v>30</v>
      </c>
    </row>
    <row r="6469" spans="2:13" x14ac:dyDescent="0.2">
      <c r="B6469" t="s">
        <v>11</v>
      </c>
    </row>
    <row r="6470" spans="2:13" x14ac:dyDescent="0.2">
      <c r="B6470" t="s">
        <v>12</v>
      </c>
      <c r="C6470" t="s">
        <v>13</v>
      </c>
      <c r="D6470" t="s">
        <v>14</v>
      </c>
      <c r="E6470" t="s">
        <v>15</v>
      </c>
      <c r="F6470" t="s">
        <v>16</v>
      </c>
      <c r="G6470" t="s">
        <v>17</v>
      </c>
      <c r="H6470" t="s">
        <v>18</v>
      </c>
      <c r="I6470" t="s">
        <v>19</v>
      </c>
      <c r="J6470" t="s">
        <v>20</v>
      </c>
      <c r="K6470" t="s">
        <v>21</v>
      </c>
      <c r="L6470" t="s">
        <v>22</v>
      </c>
      <c r="M6470" t="s">
        <v>23</v>
      </c>
    </row>
    <row r="6471" spans="2:13" x14ac:dyDescent="0.2">
      <c r="B6471" t="s">
        <v>33</v>
      </c>
      <c r="C6471">
        <v>89</v>
      </c>
      <c r="E6471" t="s">
        <v>25</v>
      </c>
      <c r="F6471">
        <v>7360.79</v>
      </c>
      <c r="G6471">
        <v>6.4</v>
      </c>
      <c r="K6471">
        <v>0.1</v>
      </c>
      <c r="L6471">
        <v>7</v>
      </c>
      <c r="M6471">
        <v>97.7</v>
      </c>
    </row>
    <row r="6472" spans="2:13" x14ac:dyDescent="0.2">
      <c r="C6472" t="s">
        <v>27</v>
      </c>
    </row>
    <row r="6473" spans="2:13" x14ac:dyDescent="0.2">
      <c r="C6473" t="s">
        <v>28</v>
      </c>
      <c r="D6473" t="s">
        <v>16</v>
      </c>
      <c r="E6473" t="s">
        <v>29</v>
      </c>
      <c r="F6473" t="s">
        <v>18</v>
      </c>
    </row>
    <row r="6474" spans="2:13" x14ac:dyDescent="0.2">
      <c r="C6474" t="b">
        <v>0</v>
      </c>
      <c r="D6474">
        <v>7932.52</v>
      </c>
      <c r="E6474" t="s">
        <v>30</v>
      </c>
    </row>
    <row r="6475" spans="2:13" x14ac:dyDescent="0.2">
      <c r="C6475" t="b">
        <v>0</v>
      </c>
      <c r="D6475">
        <v>7762.44</v>
      </c>
      <c r="E6475" t="s">
        <v>30</v>
      </c>
    </row>
    <row r="6476" spans="2:13" x14ac:dyDescent="0.2">
      <c r="C6476" t="b">
        <v>0</v>
      </c>
      <c r="D6476">
        <v>7262.14</v>
      </c>
      <c r="E6476" t="s">
        <v>30</v>
      </c>
    </row>
    <row r="6477" spans="2:13" x14ac:dyDescent="0.2">
      <c r="C6477" t="b">
        <v>0</v>
      </c>
      <c r="D6477">
        <v>6651.83</v>
      </c>
      <c r="E6477" t="s">
        <v>30</v>
      </c>
    </row>
    <row r="6478" spans="2:13" x14ac:dyDescent="0.2">
      <c r="C6478" t="b">
        <v>0</v>
      </c>
      <c r="D6478">
        <v>6941.96</v>
      </c>
      <c r="E6478" t="s">
        <v>30</v>
      </c>
    </row>
    <row r="6479" spans="2:13" x14ac:dyDescent="0.2">
      <c r="C6479" t="b">
        <v>0</v>
      </c>
      <c r="D6479">
        <v>7752.44</v>
      </c>
      <c r="E6479" t="s">
        <v>30</v>
      </c>
    </row>
    <row r="6480" spans="2:13" x14ac:dyDescent="0.2">
      <c r="C6480" t="b">
        <v>0</v>
      </c>
      <c r="D6480">
        <v>7222.22</v>
      </c>
      <c r="E6480" t="s">
        <v>30</v>
      </c>
    </row>
    <row r="6481" spans="1:13" x14ac:dyDescent="0.2">
      <c r="A6481" t="s">
        <v>0</v>
      </c>
    </row>
    <row r="6482" spans="1:13" x14ac:dyDescent="0.2">
      <c r="B6482" t="s">
        <v>1</v>
      </c>
      <c r="C6482" t="s">
        <v>2</v>
      </c>
      <c r="D6482" t="s">
        <v>3</v>
      </c>
      <c r="E6482" t="s">
        <v>4</v>
      </c>
      <c r="F6482" t="s">
        <v>5</v>
      </c>
      <c r="G6482" t="s">
        <v>6</v>
      </c>
    </row>
    <row r="6483" spans="1:13" x14ac:dyDescent="0.2">
      <c r="B6483" t="b">
        <v>0</v>
      </c>
      <c r="C6483" t="s">
        <v>429</v>
      </c>
      <c r="D6483" t="s">
        <v>430</v>
      </c>
      <c r="E6483" t="s">
        <v>0</v>
      </c>
      <c r="G6483" t="s">
        <v>431</v>
      </c>
    </row>
    <row r="6484" spans="1:13" x14ac:dyDescent="0.2">
      <c r="B6484" t="s">
        <v>11</v>
      </c>
    </row>
    <row r="6485" spans="1:13" x14ac:dyDescent="0.2">
      <c r="B6485" t="s">
        <v>12</v>
      </c>
      <c r="C6485" t="s">
        <v>13</v>
      </c>
      <c r="D6485" t="s">
        <v>14</v>
      </c>
      <c r="E6485" t="s">
        <v>15</v>
      </c>
      <c r="F6485" t="s">
        <v>16</v>
      </c>
      <c r="G6485" t="s">
        <v>17</v>
      </c>
      <c r="H6485" t="s">
        <v>18</v>
      </c>
      <c r="I6485" t="s">
        <v>19</v>
      </c>
      <c r="J6485" t="s">
        <v>20</v>
      </c>
      <c r="K6485" t="s">
        <v>21</v>
      </c>
      <c r="L6485" t="s">
        <v>22</v>
      </c>
      <c r="M6485" t="s">
        <v>23</v>
      </c>
    </row>
    <row r="6486" spans="1:13" x14ac:dyDescent="0.2">
      <c r="B6486" t="s">
        <v>24</v>
      </c>
      <c r="C6486">
        <v>59</v>
      </c>
      <c r="E6486" t="s">
        <v>25</v>
      </c>
      <c r="F6486">
        <v>2433.16</v>
      </c>
      <c r="G6486">
        <v>6.3</v>
      </c>
      <c r="H6486">
        <v>1E-3</v>
      </c>
      <c r="I6486" t="s">
        <v>26</v>
      </c>
      <c r="J6486">
        <v>6.4</v>
      </c>
      <c r="K6486">
        <v>0.1</v>
      </c>
      <c r="L6486">
        <v>7</v>
      </c>
    </row>
    <row r="6487" spans="1:13" x14ac:dyDescent="0.2">
      <c r="C6487" t="s">
        <v>27</v>
      </c>
    </row>
    <row r="6488" spans="1:13" x14ac:dyDescent="0.2">
      <c r="C6488" t="s">
        <v>28</v>
      </c>
      <c r="D6488" t="s">
        <v>16</v>
      </c>
      <c r="E6488" t="s">
        <v>29</v>
      </c>
      <c r="F6488" t="s">
        <v>18</v>
      </c>
    </row>
    <row r="6489" spans="1:13" x14ac:dyDescent="0.2">
      <c r="C6489" t="b">
        <v>0</v>
      </c>
      <c r="D6489">
        <v>2350.2800000000002</v>
      </c>
      <c r="E6489" t="s">
        <v>30</v>
      </c>
      <c r="F6489">
        <v>1E-3</v>
      </c>
    </row>
    <row r="6490" spans="1:13" x14ac:dyDescent="0.2">
      <c r="C6490" t="b">
        <v>0</v>
      </c>
      <c r="D6490">
        <v>2610.34</v>
      </c>
      <c r="E6490" t="s">
        <v>30</v>
      </c>
      <c r="F6490">
        <v>1E-3</v>
      </c>
    </row>
    <row r="6491" spans="1:13" x14ac:dyDescent="0.2">
      <c r="C6491" t="b">
        <v>0</v>
      </c>
      <c r="D6491">
        <v>2650.34</v>
      </c>
      <c r="E6491" t="s">
        <v>30</v>
      </c>
      <c r="F6491">
        <v>1E-3</v>
      </c>
    </row>
    <row r="6492" spans="1:13" x14ac:dyDescent="0.2">
      <c r="C6492" t="b">
        <v>0</v>
      </c>
      <c r="D6492">
        <v>2370.29</v>
      </c>
      <c r="E6492" t="s">
        <v>30</v>
      </c>
      <c r="F6492">
        <v>1E-3</v>
      </c>
    </row>
    <row r="6493" spans="1:13" x14ac:dyDescent="0.2">
      <c r="C6493" t="b">
        <v>0</v>
      </c>
      <c r="D6493">
        <v>2210.25</v>
      </c>
      <c r="E6493" t="s">
        <v>30</v>
      </c>
      <c r="F6493">
        <v>1E-3</v>
      </c>
    </row>
    <row r="6494" spans="1:13" x14ac:dyDescent="0.2">
      <c r="C6494" t="b">
        <v>0</v>
      </c>
      <c r="D6494">
        <v>2430.31</v>
      </c>
      <c r="E6494" t="s">
        <v>30</v>
      </c>
      <c r="F6494">
        <v>1E-3</v>
      </c>
    </row>
    <row r="6495" spans="1:13" x14ac:dyDescent="0.2">
      <c r="C6495" t="b">
        <v>0</v>
      </c>
      <c r="D6495">
        <v>2410.3000000000002</v>
      </c>
      <c r="E6495" t="s">
        <v>30</v>
      </c>
      <c r="F6495">
        <v>1E-3</v>
      </c>
    </row>
    <row r="6496" spans="1:13" x14ac:dyDescent="0.2">
      <c r="B6496" t="s">
        <v>11</v>
      </c>
    </row>
    <row r="6497" spans="2:13" x14ac:dyDescent="0.2">
      <c r="B6497" t="s">
        <v>12</v>
      </c>
      <c r="C6497" t="s">
        <v>13</v>
      </c>
      <c r="D6497" t="s">
        <v>14</v>
      </c>
      <c r="E6497" t="s">
        <v>15</v>
      </c>
      <c r="F6497" t="s">
        <v>16</v>
      </c>
      <c r="G6497" t="s">
        <v>17</v>
      </c>
      <c r="H6497" t="s">
        <v>18</v>
      </c>
      <c r="I6497" t="s">
        <v>19</v>
      </c>
      <c r="J6497" t="s">
        <v>20</v>
      </c>
      <c r="K6497" t="s">
        <v>21</v>
      </c>
      <c r="L6497" t="s">
        <v>22</v>
      </c>
      <c r="M6497" t="s">
        <v>23</v>
      </c>
    </row>
    <row r="6498" spans="2:13" x14ac:dyDescent="0.2">
      <c r="B6498" t="s">
        <v>31</v>
      </c>
      <c r="C6498">
        <v>45</v>
      </c>
      <c r="E6498" t="s">
        <v>25</v>
      </c>
      <c r="F6498">
        <v>1275.82</v>
      </c>
      <c r="G6498">
        <v>13.9</v>
      </c>
      <c r="K6498">
        <v>0.1</v>
      </c>
      <c r="L6498">
        <v>7</v>
      </c>
      <c r="M6498">
        <v>98.3</v>
      </c>
    </row>
    <row r="6499" spans="2:13" x14ac:dyDescent="0.2">
      <c r="C6499" t="s">
        <v>27</v>
      </c>
    </row>
    <row r="6500" spans="2:13" x14ac:dyDescent="0.2">
      <c r="C6500" t="s">
        <v>28</v>
      </c>
      <c r="D6500" t="s">
        <v>16</v>
      </c>
      <c r="E6500" t="s">
        <v>29</v>
      </c>
      <c r="F6500" t="s">
        <v>18</v>
      </c>
    </row>
    <row r="6501" spans="2:13" x14ac:dyDescent="0.2">
      <c r="C6501" t="b">
        <v>0</v>
      </c>
      <c r="D6501">
        <v>1170.08</v>
      </c>
      <c r="E6501" t="s">
        <v>30</v>
      </c>
    </row>
    <row r="6502" spans="2:13" x14ac:dyDescent="0.2">
      <c r="C6502" t="b">
        <v>0</v>
      </c>
      <c r="D6502">
        <v>1250.1099999999999</v>
      </c>
      <c r="E6502" t="s">
        <v>30</v>
      </c>
    </row>
    <row r="6503" spans="2:13" x14ac:dyDescent="0.2">
      <c r="C6503" t="b">
        <v>0</v>
      </c>
      <c r="D6503">
        <v>1320.1</v>
      </c>
      <c r="E6503" t="s">
        <v>30</v>
      </c>
    </row>
    <row r="6504" spans="2:13" x14ac:dyDescent="0.2">
      <c r="C6504" t="b">
        <v>0</v>
      </c>
      <c r="D6504">
        <v>1210.0999999999999</v>
      </c>
      <c r="E6504" t="s">
        <v>30</v>
      </c>
    </row>
    <row r="6505" spans="2:13" x14ac:dyDescent="0.2">
      <c r="C6505" t="b">
        <v>0</v>
      </c>
      <c r="D6505">
        <v>1260.0999999999999</v>
      </c>
      <c r="E6505" t="s">
        <v>30</v>
      </c>
    </row>
    <row r="6506" spans="2:13" x14ac:dyDescent="0.2">
      <c r="C6506" t="b">
        <v>0</v>
      </c>
      <c r="D6506">
        <v>1080.08</v>
      </c>
      <c r="E6506" t="s">
        <v>30</v>
      </c>
    </row>
    <row r="6507" spans="2:13" x14ac:dyDescent="0.2">
      <c r="C6507" t="b">
        <v>0</v>
      </c>
      <c r="D6507">
        <v>1640.16</v>
      </c>
      <c r="E6507" t="s">
        <v>30</v>
      </c>
    </row>
    <row r="6508" spans="2:13" x14ac:dyDescent="0.2">
      <c r="B6508" t="s">
        <v>11</v>
      </c>
    </row>
    <row r="6509" spans="2:13" x14ac:dyDescent="0.2">
      <c r="B6509" t="s">
        <v>12</v>
      </c>
      <c r="C6509" t="s">
        <v>13</v>
      </c>
      <c r="D6509" t="s">
        <v>14</v>
      </c>
      <c r="E6509" t="s">
        <v>15</v>
      </c>
      <c r="F6509" t="s">
        <v>16</v>
      </c>
      <c r="G6509" t="s">
        <v>17</v>
      </c>
      <c r="H6509" t="s">
        <v>18</v>
      </c>
      <c r="I6509" t="s">
        <v>19</v>
      </c>
      <c r="J6509" t="s">
        <v>20</v>
      </c>
      <c r="K6509" t="s">
        <v>21</v>
      </c>
      <c r="L6509" t="s">
        <v>22</v>
      </c>
      <c r="M6509" t="s">
        <v>23</v>
      </c>
    </row>
    <row r="6510" spans="2:13" x14ac:dyDescent="0.2">
      <c r="B6510" t="s">
        <v>32</v>
      </c>
      <c r="C6510">
        <v>72</v>
      </c>
      <c r="E6510" t="s">
        <v>25</v>
      </c>
      <c r="F6510">
        <v>1321.54</v>
      </c>
      <c r="G6510">
        <v>15.6</v>
      </c>
      <c r="K6510">
        <v>0.1</v>
      </c>
      <c r="L6510">
        <v>7</v>
      </c>
      <c r="M6510">
        <v>95.8</v>
      </c>
    </row>
    <row r="6511" spans="2:13" x14ac:dyDescent="0.2">
      <c r="C6511" t="s">
        <v>27</v>
      </c>
    </row>
    <row r="6512" spans="2:13" x14ac:dyDescent="0.2">
      <c r="C6512" t="s">
        <v>28</v>
      </c>
      <c r="D6512" t="s">
        <v>16</v>
      </c>
      <c r="E6512" t="s">
        <v>29</v>
      </c>
      <c r="F6512" t="s">
        <v>18</v>
      </c>
    </row>
    <row r="6513" spans="2:13" x14ac:dyDescent="0.2">
      <c r="C6513" t="b">
        <v>0</v>
      </c>
      <c r="D6513">
        <v>1050.08</v>
      </c>
      <c r="E6513" t="s">
        <v>30</v>
      </c>
    </row>
    <row r="6514" spans="2:13" x14ac:dyDescent="0.2">
      <c r="C6514" t="b">
        <v>0</v>
      </c>
      <c r="D6514">
        <v>1450.13</v>
      </c>
      <c r="E6514" t="s">
        <v>30</v>
      </c>
    </row>
    <row r="6515" spans="2:13" x14ac:dyDescent="0.2">
      <c r="C6515" t="b">
        <v>0</v>
      </c>
      <c r="D6515">
        <v>1470.13</v>
      </c>
      <c r="E6515" t="s">
        <v>30</v>
      </c>
    </row>
    <row r="6516" spans="2:13" x14ac:dyDescent="0.2">
      <c r="C6516" t="b">
        <v>0</v>
      </c>
      <c r="D6516">
        <v>1200.0899999999999</v>
      </c>
      <c r="E6516" t="s">
        <v>30</v>
      </c>
    </row>
    <row r="6517" spans="2:13" x14ac:dyDescent="0.2">
      <c r="C6517" t="b">
        <v>0</v>
      </c>
      <c r="D6517">
        <v>1580.14</v>
      </c>
      <c r="E6517" t="s">
        <v>30</v>
      </c>
    </row>
    <row r="6518" spans="2:13" x14ac:dyDescent="0.2">
      <c r="C6518" t="b">
        <v>0</v>
      </c>
      <c r="D6518">
        <v>1410.11</v>
      </c>
      <c r="E6518" t="s">
        <v>30</v>
      </c>
    </row>
    <row r="6519" spans="2:13" x14ac:dyDescent="0.2">
      <c r="C6519" t="b">
        <v>0</v>
      </c>
      <c r="D6519">
        <v>1090.0899999999999</v>
      </c>
      <c r="E6519" t="s">
        <v>30</v>
      </c>
    </row>
    <row r="6520" spans="2:13" x14ac:dyDescent="0.2">
      <c r="B6520" t="s">
        <v>11</v>
      </c>
    </row>
    <row r="6521" spans="2:13" x14ac:dyDescent="0.2">
      <c r="B6521" t="s">
        <v>12</v>
      </c>
      <c r="C6521" t="s">
        <v>13</v>
      </c>
      <c r="D6521" t="s">
        <v>14</v>
      </c>
      <c r="E6521" t="s">
        <v>15</v>
      </c>
      <c r="F6521" t="s">
        <v>16</v>
      </c>
      <c r="G6521" t="s">
        <v>17</v>
      </c>
      <c r="H6521" t="s">
        <v>18</v>
      </c>
      <c r="I6521" t="s">
        <v>19</v>
      </c>
      <c r="J6521" t="s">
        <v>20</v>
      </c>
      <c r="K6521" t="s">
        <v>21</v>
      </c>
      <c r="L6521" t="s">
        <v>22</v>
      </c>
      <c r="M6521" t="s">
        <v>23</v>
      </c>
    </row>
    <row r="6522" spans="2:13" x14ac:dyDescent="0.2">
      <c r="B6522" t="s">
        <v>33</v>
      </c>
      <c r="C6522">
        <v>89</v>
      </c>
      <c r="E6522" t="s">
        <v>25</v>
      </c>
      <c r="F6522">
        <v>7519.46</v>
      </c>
      <c r="G6522">
        <v>2.2000000000000002</v>
      </c>
      <c r="K6522">
        <v>0.1</v>
      </c>
      <c r="L6522">
        <v>7</v>
      </c>
      <c r="M6522">
        <v>99.8</v>
      </c>
    </row>
    <row r="6523" spans="2:13" x14ac:dyDescent="0.2">
      <c r="C6523" t="s">
        <v>27</v>
      </c>
    </row>
    <row r="6524" spans="2:13" x14ac:dyDescent="0.2">
      <c r="C6524" t="s">
        <v>28</v>
      </c>
      <c r="D6524" t="s">
        <v>16</v>
      </c>
      <c r="E6524" t="s">
        <v>29</v>
      </c>
      <c r="F6524" t="s">
        <v>18</v>
      </c>
    </row>
    <row r="6525" spans="2:13" x14ac:dyDescent="0.2">
      <c r="C6525" t="b">
        <v>0</v>
      </c>
      <c r="D6525">
        <v>7742.47</v>
      </c>
      <c r="E6525" t="s">
        <v>30</v>
      </c>
    </row>
    <row r="6526" spans="2:13" x14ac:dyDescent="0.2">
      <c r="C6526" t="b">
        <v>0</v>
      </c>
      <c r="D6526">
        <v>7552.34</v>
      </c>
      <c r="E6526" t="s">
        <v>30</v>
      </c>
    </row>
    <row r="6527" spans="2:13" x14ac:dyDescent="0.2">
      <c r="C6527" t="b">
        <v>0</v>
      </c>
      <c r="D6527">
        <v>7322.24</v>
      </c>
      <c r="E6527" t="s">
        <v>30</v>
      </c>
    </row>
    <row r="6528" spans="2:13" x14ac:dyDescent="0.2">
      <c r="C6528" t="b">
        <v>0</v>
      </c>
      <c r="D6528">
        <v>7292.15</v>
      </c>
      <c r="E6528" t="s">
        <v>30</v>
      </c>
    </row>
    <row r="6529" spans="1:13" x14ac:dyDescent="0.2">
      <c r="C6529" t="b">
        <v>0</v>
      </c>
      <c r="D6529">
        <v>7662.37</v>
      </c>
      <c r="E6529" t="s">
        <v>30</v>
      </c>
    </row>
    <row r="6530" spans="1:13" x14ac:dyDescent="0.2">
      <c r="C6530" t="b">
        <v>0</v>
      </c>
      <c r="D6530">
        <v>7492.32</v>
      </c>
      <c r="E6530" t="s">
        <v>30</v>
      </c>
    </row>
    <row r="6531" spans="1:13" x14ac:dyDescent="0.2">
      <c r="C6531" t="b">
        <v>0</v>
      </c>
      <c r="D6531">
        <v>7572.36</v>
      </c>
      <c r="E6531" t="s">
        <v>30</v>
      </c>
    </row>
    <row r="6532" spans="1:13" x14ac:dyDescent="0.2">
      <c r="A6532" t="s">
        <v>0</v>
      </c>
    </row>
    <row r="6533" spans="1:13" x14ac:dyDescent="0.2">
      <c r="B6533" t="s">
        <v>1</v>
      </c>
      <c r="C6533" t="s">
        <v>2</v>
      </c>
      <c r="D6533" t="s">
        <v>3</v>
      </c>
      <c r="E6533" t="s">
        <v>4</v>
      </c>
      <c r="F6533" t="s">
        <v>5</v>
      </c>
      <c r="G6533" t="s">
        <v>6</v>
      </c>
    </row>
    <row r="6534" spans="1:13" x14ac:dyDescent="0.2">
      <c r="B6534" t="b">
        <v>0</v>
      </c>
      <c r="C6534" t="s">
        <v>432</v>
      </c>
      <c r="D6534" t="s">
        <v>433</v>
      </c>
      <c r="E6534" t="s">
        <v>0</v>
      </c>
      <c r="G6534" t="s">
        <v>434</v>
      </c>
    </row>
    <row r="6535" spans="1:13" x14ac:dyDescent="0.2">
      <c r="B6535" t="s">
        <v>11</v>
      </c>
    </row>
    <row r="6536" spans="1:13" x14ac:dyDescent="0.2">
      <c r="B6536" t="s">
        <v>12</v>
      </c>
      <c r="C6536" t="s">
        <v>13</v>
      </c>
      <c r="D6536" t="s">
        <v>14</v>
      </c>
      <c r="E6536" t="s">
        <v>15</v>
      </c>
      <c r="F6536" t="s">
        <v>16</v>
      </c>
      <c r="G6536" t="s">
        <v>17</v>
      </c>
      <c r="H6536" t="s">
        <v>18</v>
      </c>
      <c r="I6536" t="s">
        <v>19</v>
      </c>
      <c r="J6536" t="s">
        <v>20</v>
      </c>
      <c r="K6536" t="s">
        <v>21</v>
      </c>
      <c r="L6536" t="s">
        <v>22</v>
      </c>
      <c r="M6536" t="s">
        <v>23</v>
      </c>
    </row>
    <row r="6537" spans="1:13" x14ac:dyDescent="0.2">
      <c r="B6537" t="s">
        <v>24</v>
      </c>
      <c r="C6537">
        <v>59</v>
      </c>
      <c r="E6537" t="s">
        <v>25</v>
      </c>
      <c r="F6537">
        <v>3527.7</v>
      </c>
      <c r="G6537">
        <v>6.5</v>
      </c>
      <c r="H6537">
        <v>1E-3</v>
      </c>
      <c r="I6537" t="s">
        <v>26</v>
      </c>
      <c r="J6537">
        <v>6.6</v>
      </c>
      <c r="K6537">
        <v>0.1</v>
      </c>
      <c r="L6537">
        <v>7</v>
      </c>
    </row>
    <row r="6538" spans="1:13" x14ac:dyDescent="0.2">
      <c r="C6538" t="s">
        <v>27</v>
      </c>
    </row>
    <row r="6539" spans="1:13" x14ac:dyDescent="0.2">
      <c r="C6539" t="s">
        <v>28</v>
      </c>
      <c r="D6539" t="s">
        <v>16</v>
      </c>
      <c r="E6539" t="s">
        <v>29</v>
      </c>
      <c r="F6539" t="s">
        <v>18</v>
      </c>
    </row>
    <row r="6540" spans="1:13" x14ac:dyDescent="0.2">
      <c r="C6540" t="b">
        <v>0</v>
      </c>
      <c r="D6540">
        <v>3510.53</v>
      </c>
      <c r="E6540" t="s">
        <v>30</v>
      </c>
      <c r="F6540">
        <v>1E-3</v>
      </c>
    </row>
    <row r="6541" spans="1:13" x14ac:dyDescent="0.2">
      <c r="C6541" t="b">
        <v>0</v>
      </c>
      <c r="D6541">
        <v>3400.53</v>
      </c>
      <c r="E6541" t="s">
        <v>30</v>
      </c>
      <c r="F6541">
        <v>1E-3</v>
      </c>
    </row>
    <row r="6542" spans="1:13" x14ac:dyDescent="0.2">
      <c r="C6542" t="b">
        <v>0</v>
      </c>
      <c r="D6542">
        <v>3400.51</v>
      </c>
      <c r="E6542" t="s">
        <v>30</v>
      </c>
      <c r="F6542">
        <v>1E-3</v>
      </c>
    </row>
    <row r="6543" spans="1:13" x14ac:dyDescent="0.2">
      <c r="C6543" t="b">
        <v>0</v>
      </c>
      <c r="D6543">
        <v>3480.53</v>
      </c>
      <c r="E6543" t="s">
        <v>30</v>
      </c>
      <c r="F6543">
        <v>1E-3</v>
      </c>
    </row>
    <row r="6544" spans="1:13" x14ac:dyDescent="0.2">
      <c r="C6544" t="b">
        <v>0</v>
      </c>
      <c r="D6544">
        <v>3750.63</v>
      </c>
      <c r="E6544" t="s">
        <v>30</v>
      </c>
      <c r="F6544">
        <v>1E-3</v>
      </c>
    </row>
    <row r="6545" spans="2:13" x14ac:dyDescent="0.2">
      <c r="C6545" t="b">
        <v>0</v>
      </c>
      <c r="D6545">
        <v>3240.47</v>
      </c>
      <c r="E6545" t="s">
        <v>30</v>
      </c>
      <c r="F6545">
        <v>1E-3</v>
      </c>
    </row>
    <row r="6546" spans="2:13" x14ac:dyDescent="0.2">
      <c r="C6546" t="b">
        <v>0</v>
      </c>
      <c r="D6546">
        <v>3910.7</v>
      </c>
      <c r="E6546" t="s">
        <v>30</v>
      </c>
      <c r="F6546">
        <v>1E-3</v>
      </c>
    </row>
    <row r="6547" spans="2:13" x14ac:dyDescent="0.2">
      <c r="B6547" t="s">
        <v>11</v>
      </c>
    </row>
    <row r="6548" spans="2:13" x14ac:dyDescent="0.2">
      <c r="B6548" t="s">
        <v>12</v>
      </c>
      <c r="C6548" t="s">
        <v>13</v>
      </c>
      <c r="D6548" t="s">
        <v>14</v>
      </c>
      <c r="E6548" t="s">
        <v>15</v>
      </c>
      <c r="F6548" t="s">
        <v>16</v>
      </c>
      <c r="G6548" t="s">
        <v>17</v>
      </c>
      <c r="H6548" t="s">
        <v>18</v>
      </c>
      <c r="I6548" t="s">
        <v>19</v>
      </c>
      <c r="J6548" t="s">
        <v>20</v>
      </c>
      <c r="K6548" t="s">
        <v>21</v>
      </c>
      <c r="L6548" t="s">
        <v>22</v>
      </c>
      <c r="M6548" t="s">
        <v>23</v>
      </c>
    </row>
    <row r="6549" spans="2:13" x14ac:dyDescent="0.2">
      <c r="B6549" t="s">
        <v>31</v>
      </c>
      <c r="C6549">
        <v>45</v>
      </c>
      <c r="E6549" t="s">
        <v>25</v>
      </c>
      <c r="F6549">
        <v>1555.86</v>
      </c>
      <c r="G6549">
        <v>3.8</v>
      </c>
      <c r="K6549">
        <v>0.1</v>
      </c>
      <c r="L6549">
        <v>7</v>
      </c>
      <c r="M6549">
        <v>119.9</v>
      </c>
    </row>
    <row r="6550" spans="2:13" x14ac:dyDescent="0.2">
      <c r="C6550" t="s">
        <v>27</v>
      </c>
    </row>
    <row r="6551" spans="2:13" x14ac:dyDescent="0.2">
      <c r="C6551" t="s">
        <v>28</v>
      </c>
      <c r="D6551" t="s">
        <v>16</v>
      </c>
      <c r="E6551" t="s">
        <v>29</v>
      </c>
      <c r="F6551" t="s">
        <v>18</v>
      </c>
    </row>
    <row r="6552" spans="2:13" x14ac:dyDescent="0.2">
      <c r="C6552" t="b">
        <v>0</v>
      </c>
      <c r="D6552">
        <v>1580.15</v>
      </c>
      <c r="E6552" t="s">
        <v>30</v>
      </c>
    </row>
    <row r="6553" spans="2:13" x14ac:dyDescent="0.2">
      <c r="C6553" t="b">
        <v>0</v>
      </c>
      <c r="D6553">
        <v>1480.12</v>
      </c>
      <c r="E6553" t="s">
        <v>30</v>
      </c>
    </row>
    <row r="6554" spans="2:13" x14ac:dyDescent="0.2">
      <c r="C6554" t="b">
        <v>0</v>
      </c>
      <c r="D6554">
        <v>1530.14</v>
      </c>
      <c r="E6554" t="s">
        <v>30</v>
      </c>
    </row>
    <row r="6555" spans="2:13" x14ac:dyDescent="0.2">
      <c r="C6555" t="b">
        <v>0</v>
      </c>
      <c r="D6555">
        <v>1620.14</v>
      </c>
      <c r="E6555" t="s">
        <v>30</v>
      </c>
    </row>
    <row r="6556" spans="2:13" x14ac:dyDescent="0.2">
      <c r="C6556" t="b">
        <v>0</v>
      </c>
      <c r="D6556">
        <v>1590.14</v>
      </c>
      <c r="E6556" t="s">
        <v>30</v>
      </c>
    </row>
    <row r="6557" spans="2:13" x14ac:dyDescent="0.2">
      <c r="C6557" t="b">
        <v>0</v>
      </c>
      <c r="D6557">
        <v>1480.15</v>
      </c>
      <c r="E6557" t="s">
        <v>30</v>
      </c>
    </row>
    <row r="6558" spans="2:13" x14ac:dyDescent="0.2">
      <c r="C6558" t="b">
        <v>0</v>
      </c>
      <c r="D6558">
        <v>1610.15</v>
      </c>
      <c r="E6558" t="s">
        <v>30</v>
      </c>
    </row>
    <row r="6559" spans="2:13" x14ac:dyDescent="0.2">
      <c r="B6559" t="s">
        <v>11</v>
      </c>
    </row>
    <row r="6560" spans="2:13" x14ac:dyDescent="0.2">
      <c r="B6560" t="s">
        <v>12</v>
      </c>
      <c r="C6560" t="s">
        <v>13</v>
      </c>
      <c r="D6560" t="s">
        <v>14</v>
      </c>
      <c r="E6560" t="s">
        <v>15</v>
      </c>
      <c r="F6560" t="s">
        <v>16</v>
      </c>
      <c r="G6560" t="s">
        <v>17</v>
      </c>
      <c r="H6560" t="s">
        <v>18</v>
      </c>
      <c r="I6560" t="s">
        <v>19</v>
      </c>
      <c r="J6560" t="s">
        <v>20</v>
      </c>
      <c r="K6560" t="s">
        <v>21</v>
      </c>
      <c r="L6560" t="s">
        <v>22</v>
      </c>
      <c r="M6560" t="s">
        <v>23</v>
      </c>
    </row>
    <row r="6561" spans="2:13" x14ac:dyDescent="0.2">
      <c r="B6561" t="s">
        <v>32</v>
      </c>
      <c r="C6561">
        <v>72</v>
      </c>
      <c r="E6561" t="s">
        <v>25</v>
      </c>
      <c r="F6561">
        <v>1475.84</v>
      </c>
      <c r="G6561">
        <v>8.1</v>
      </c>
      <c r="K6561">
        <v>0.1</v>
      </c>
      <c r="L6561">
        <v>7</v>
      </c>
      <c r="M6561">
        <v>106.9</v>
      </c>
    </row>
    <row r="6562" spans="2:13" x14ac:dyDescent="0.2">
      <c r="C6562" t="s">
        <v>27</v>
      </c>
    </row>
    <row r="6563" spans="2:13" x14ac:dyDescent="0.2">
      <c r="C6563" t="s">
        <v>28</v>
      </c>
      <c r="D6563" t="s">
        <v>16</v>
      </c>
      <c r="E6563" t="s">
        <v>29</v>
      </c>
      <c r="F6563" t="s">
        <v>18</v>
      </c>
    </row>
    <row r="6564" spans="2:13" x14ac:dyDescent="0.2">
      <c r="C6564" t="b">
        <v>0</v>
      </c>
      <c r="D6564">
        <v>1360.11</v>
      </c>
      <c r="E6564" t="s">
        <v>30</v>
      </c>
    </row>
    <row r="6565" spans="2:13" x14ac:dyDescent="0.2">
      <c r="C6565" t="b">
        <v>0</v>
      </c>
      <c r="D6565">
        <v>1300.1099999999999</v>
      </c>
      <c r="E6565" t="s">
        <v>30</v>
      </c>
    </row>
    <row r="6566" spans="2:13" x14ac:dyDescent="0.2">
      <c r="C6566" t="b">
        <v>0</v>
      </c>
      <c r="D6566">
        <v>1590.14</v>
      </c>
      <c r="E6566" t="s">
        <v>30</v>
      </c>
    </row>
    <row r="6567" spans="2:13" x14ac:dyDescent="0.2">
      <c r="C6567" t="b">
        <v>0</v>
      </c>
      <c r="D6567">
        <v>1480.13</v>
      </c>
      <c r="E6567" t="s">
        <v>30</v>
      </c>
    </row>
    <row r="6568" spans="2:13" x14ac:dyDescent="0.2">
      <c r="C6568" t="b">
        <v>0</v>
      </c>
      <c r="D6568">
        <v>1430.12</v>
      </c>
      <c r="E6568" t="s">
        <v>30</v>
      </c>
    </row>
    <row r="6569" spans="2:13" x14ac:dyDescent="0.2">
      <c r="C6569" t="b">
        <v>0</v>
      </c>
      <c r="D6569">
        <v>1550.14</v>
      </c>
      <c r="E6569" t="s">
        <v>30</v>
      </c>
    </row>
    <row r="6570" spans="2:13" x14ac:dyDescent="0.2">
      <c r="C6570" t="b">
        <v>0</v>
      </c>
      <c r="D6570">
        <v>1620.15</v>
      </c>
      <c r="E6570" t="s">
        <v>30</v>
      </c>
    </row>
    <row r="6571" spans="2:13" x14ac:dyDescent="0.2">
      <c r="B6571" t="s">
        <v>11</v>
      </c>
    </row>
    <row r="6572" spans="2:13" x14ac:dyDescent="0.2">
      <c r="B6572" t="s">
        <v>12</v>
      </c>
      <c r="C6572" t="s">
        <v>13</v>
      </c>
      <c r="D6572" t="s">
        <v>14</v>
      </c>
      <c r="E6572" t="s">
        <v>15</v>
      </c>
      <c r="F6572" t="s">
        <v>16</v>
      </c>
      <c r="G6572" t="s">
        <v>17</v>
      </c>
      <c r="H6572" t="s">
        <v>18</v>
      </c>
      <c r="I6572" t="s">
        <v>19</v>
      </c>
      <c r="J6572" t="s">
        <v>20</v>
      </c>
      <c r="K6572" t="s">
        <v>21</v>
      </c>
      <c r="L6572" t="s">
        <v>22</v>
      </c>
      <c r="M6572" t="s">
        <v>23</v>
      </c>
    </row>
    <row r="6573" spans="2:13" x14ac:dyDescent="0.2">
      <c r="B6573" t="s">
        <v>33</v>
      </c>
      <c r="C6573">
        <v>89</v>
      </c>
      <c r="E6573" t="s">
        <v>25</v>
      </c>
      <c r="F6573">
        <v>8049.78</v>
      </c>
      <c r="G6573">
        <v>4.8</v>
      </c>
      <c r="K6573">
        <v>0.1</v>
      </c>
      <c r="L6573">
        <v>7</v>
      </c>
      <c r="M6573">
        <v>106.9</v>
      </c>
    </row>
    <row r="6574" spans="2:13" x14ac:dyDescent="0.2">
      <c r="C6574" t="s">
        <v>27</v>
      </c>
    </row>
    <row r="6575" spans="2:13" x14ac:dyDescent="0.2">
      <c r="C6575" t="s">
        <v>28</v>
      </c>
      <c r="D6575" t="s">
        <v>16</v>
      </c>
      <c r="E6575" t="s">
        <v>29</v>
      </c>
      <c r="F6575" t="s">
        <v>18</v>
      </c>
    </row>
    <row r="6576" spans="2:13" x14ac:dyDescent="0.2">
      <c r="C6576" t="b">
        <v>0</v>
      </c>
      <c r="D6576">
        <v>7532.38</v>
      </c>
      <c r="E6576" t="s">
        <v>30</v>
      </c>
    </row>
    <row r="6577" spans="1:13" x14ac:dyDescent="0.2">
      <c r="C6577" t="b">
        <v>0</v>
      </c>
      <c r="D6577">
        <v>8302.7900000000009</v>
      </c>
      <c r="E6577" t="s">
        <v>30</v>
      </c>
    </row>
    <row r="6578" spans="1:13" x14ac:dyDescent="0.2">
      <c r="C6578" t="b">
        <v>0</v>
      </c>
      <c r="D6578">
        <v>7672.41</v>
      </c>
      <c r="E6578" t="s">
        <v>30</v>
      </c>
    </row>
    <row r="6579" spans="1:13" x14ac:dyDescent="0.2">
      <c r="C6579" t="b">
        <v>0</v>
      </c>
      <c r="D6579">
        <v>7722.41</v>
      </c>
      <c r="E6579" t="s">
        <v>30</v>
      </c>
    </row>
    <row r="6580" spans="1:13" x14ac:dyDescent="0.2">
      <c r="C6580" t="b">
        <v>0</v>
      </c>
      <c r="D6580">
        <v>8482.8799999999992</v>
      </c>
      <c r="E6580" t="s">
        <v>30</v>
      </c>
    </row>
    <row r="6581" spans="1:13" x14ac:dyDescent="0.2">
      <c r="C6581" t="b">
        <v>0</v>
      </c>
      <c r="D6581">
        <v>8292.81</v>
      </c>
      <c r="E6581" t="s">
        <v>30</v>
      </c>
    </row>
    <row r="6582" spans="1:13" x14ac:dyDescent="0.2">
      <c r="C6582" t="b">
        <v>0</v>
      </c>
      <c r="D6582">
        <v>8342.7900000000009</v>
      </c>
      <c r="E6582" t="s">
        <v>30</v>
      </c>
    </row>
    <row r="6583" spans="1:13" x14ac:dyDescent="0.2">
      <c r="A6583" t="s">
        <v>0</v>
      </c>
    </row>
    <row r="6584" spans="1:13" x14ac:dyDescent="0.2">
      <c r="B6584" t="s">
        <v>1</v>
      </c>
      <c r="C6584" t="s">
        <v>2</v>
      </c>
      <c r="D6584" t="s">
        <v>3</v>
      </c>
      <c r="E6584" t="s">
        <v>4</v>
      </c>
      <c r="F6584" t="s">
        <v>5</v>
      </c>
      <c r="G6584" t="s">
        <v>6</v>
      </c>
    </row>
    <row r="6585" spans="1:13" x14ac:dyDescent="0.2">
      <c r="B6585" t="b">
        <v>0</v>
      </c>
      <c r="C6585" t="s">
        <v>435</v>
      </c>
      <c r="D6585" t="s">
        <v>436</v>
      </c>
      <c r="E6585" t="s">
        <v>0</v>
      </c>
      <c r="G6585" t="s">
        <v>437</v>
      </c>
    </row>
    <row r="6586" spans="1:13" x14ac:dyDescent="0.2">
      <c r="B6586" t="s">
        <v>11</v>
      </c>
    </row>
    <row r="6587" spans="1:13" x14ac:dyDescent="0.2">
      <c r="B6587" t="s">
        <v>12</v>
      </c>
      <c r="C6587" t="s">
        <v>13</v>
      </c>
      <c r="D6587" t="s">
        <v>14</v>
      </c>
      <c r="E6587" t="s">
        <v>15</v>
      </c>
      <c r="F6587" t="s">
        <v>16</v>
      </c>
      <c r="G6587" t="s">
        <v>17</v>
      </c>
      <c r="H6587" t="s">
        <v>18</v>
      </c>
      <c r="I6587" t="s">
        <v>19</v>
      </c>
      <c r="J6587" t="s">
        <v>20</v>
      </c>
      <c r="K6587" t="s">
        <v>21</v>
      </c>
      <c r="L6587" t="s">
        <v>22</v>
      </c>
      <c r="M6587" t="s">
        <v>23</v>
      </c>
    </row>
    <row r="6588" spans="1:13" x14ac:dyDescent="0.2">
      <c r="B6588" t="s">
        <v>24</v>
      </c>
      <c r="C6588">
        <v>59</v>
      </c>
      <c r="E6588" t="s">
        <v>25</v>
      </c>
      <c r="F6588">
        <v>2684.64</v>
      </c>
      <c r="G6588">
        <v>3.8</v>
      </c>
      <c r="H6588">
        <v>1E-3</v>
      </c>
      <c r="I6588" t="s">
        <v>26</v>
      </c>
      <c r="J6588">
        <v>3.9</v>
      </c>
      <c r="K6588">
        <v>0.1</v>
      </c>
      <c r="L6588">
        <v>7</v>
      </c>
    </row>
    <row r="6589" spans="1:13" x14ac:dyDescent="0.2">
      <c r="C6589" t="s">
        <v>27</v>
      </c>
    </row>
    <row r="6590" spans="1:13" x14ac:dyDescent="0.2">
      <c r="C6590" t="s">
        <v>28</v>
      </c>
      <c r="D6590" t="s">
        <v>16</v>
      </c>
      <c r="E6590" t="s">
        <v>29</v>
      </c>
      <c r="F6590" t="s">
        <v>18</v>
      </c>
    </row>
    <row r="6591" spans="1:13" x14ac:dyDescent="0.2">
      <c r="C6591" t="b">
        <v>0</v>
      </c>
      <c r="D6591">
        <v>2710.36</v>
      </c>
      <c r="E6591" t="s">
        <v>30</v>
      </c>
      <c r="F6591">
        <v>1E-3</v>
      </c>
    </row>
    <row r="6592" spans="1:13" x14ac:dyDescent="0.2">
      <c r="C6592" t="b">
        <v>0</v>
      </c>
      <c r="D6592">
        <v>2510.3000000000002</v>
      </c>
      <c r="E6592" t="s">
        <v>30</v>
      </c>
      <c r="F6592">
        <v>1E-3</v>
      </c>
    </row>
    <row r="6593" spans="2:13" x14ac:dyDescent="0.2">
      <c r="C6593" t="b">
        <v>0</v>
      </c>
      <c r="D6593">
        <v>2740.36</v>
      </c>
      <c r="E6593" t="s">
        <v>30</v>
      </c>
      <c r="F6593">
        <v>1E-3</v>
      </c>
    </row>
    <row r="6594" spans="2:13" x14ac:dyDescent="0.2">
      <c r="C6594" t="b">
        <v>0</v>
      </c>
      <c r="D6594">
        <v>2770.39</v>
      </c>
      <c r="E6594" t="s">
        <v>30</v>
      </c>
      <c r="F6594">
        <v>1E-3</v>
      </c>
    </row>
    <row r="6595" spans="2:13" x14ac:dyDescent="0.2">
      <c r="C6595" t="b">
        <v>0</v>
      </c>
      <c r="D6595">
        <v>2720.35</v>
      </c>
      <c r="E6595" t="s">
        <v>30</v>
      </c>
      <c r="F6595">
        <v>1E-3</v>
      </c>
    </row>
    <row r="6596" spans="2:13" x14ac:dyDescent="0.2">
      <c r="C6596" t="b">
        <v>0</v>
      </c>
      <c r="D6596">
        <v>2770.37</v>
      </c>
      <c r="E6596" t="s">
        <v>30</v>
      </c>
      <c r="F6596">
        <v>1E-3</v>
      </c>
    </row>
    <row r="6597" spans="2:13" x14ac:dyDescent="0.2">
      <c r="C6597" t="b">
        <v>0</v>
      </c>
      <c r="D6597">
        <v>2570.33</v>
      </c>
      <c r="E6597" t="s">
        <v>30</v>
      </c>
      <c r="F6597">
        <v>1E-3</v>
      </c>
    </row>
    <row r="6598" spans="2:13" x14ac:dyDescent="0.2">
      <c r="B6598" t="s">
        <v>11</v>
      </c>
    </row>
    <row r="6599" spans="2:13" x14ac:dyDescent="0.2">
      <c r="B6599" t="s">
        <v>12</v>
      </c>
      <c r="C6599" t="s">
        <v>13</v>
      </c>
      <c r="D6599" t="s">
        <v>14</v>
      </c>
      <c r="E6599" t="s">
        <v>15</v>
      </c>
      <c r="F6599" t="s">
        <v>16</v>
      </c>
      <c r="G6599" t="s">
        <v>17</v>
      </c>
      <c r="H6599" t="s">
        <v>18</v>
      </c>
      <c r="I6599" t="s">
        <v>19</v>
      </c>
      <c r="J6599" t="s">
        <v>20</v>
      </c>
      <c r="K6599" t="s">
        <v>21</v>
      </c>
      <c r="L6599" t="s">
        <v>22</v>
      </c>
      <c r="M6599" t="s">
        <v>23</v>
      </c>
    </row>
    <row r="6600" spans="2:13" x14ac:dyDescent="0.2">
      <c r="B6600" t="s">
        <v>31</v>
      </c>
      <c r="C6600">
        <v>45</v>
      </c>
      <c r="E6600" t="s">
        <v>25</v>
      </c>
      <c r="F6600">
        <v>1375.83</v>
      </c>
      <c r="G6600">
        <v>8.5</v>
      </c>
      <c r="K6600">
        <v>0.1</v>
      </c>
      <c r="L6600">
        <v>7</v>
      </c>
      <c r="M6600">
        <v>106.1</v>
      </c>
    </row>
    <row r="6601" spans="2:13" x14ac:dyDescent="0.2">
      <c r="C6601" t="s">
        <v>27</v>
      </c>
    </row>
    <row r="6602" spans="2:13" x14ac:dyDescent="0.2">
      <c r="C6602" t="s">
        <v>28</v>
      </c>
      <c r="D6602" t="s">
        <v>16</v>
      </c>
      <c r="E6602" t="s">
        <v>29</v>
      </c>
      <c r="F6602" t="s">
        <v>18</v>
      </c>
    </row>
    <row r="6603" spans="2:13" x14ac:dyDescent="0.2">
      <c r="C6603" t="b">
        <v>0</v>
      </c>
      <c r="D6603">
        <v>1240.0899999999999</v>
      </c>
      <c r="E6603" t="s">
        <v>30</v>
      </c>
    </row>
    <row r="6604" spans="2:13" x14ac:dyDescent="0.2">
      <c r="C6604" t="b">
        <v>0</v>
      </c>
      <c r="D6604">
        <v>1420.14</v>
      </c>
      <c r="E6604" t="s">
        <v>30</v>
      </c>
    </row>
    <row r="6605" spans="2:13" x14ac:dyDescent="0.2">
      <c r="C6605" t="b">
        <v>0</v>
      </c>
      <c r="D6605">
        <v>1530.15</v>
      </c>
      <c r="E6605" t="s">
        <v>30</v>
      </c>
    </row>
    <row r="6606" spans="2:13" x14ac:dyDescent="0.2">
      <c r="C6606" t="b">
        <v>0</v>
      </c>
      <c r="D6606">
        <v>1220.1099999999999</v>
      </c>
      <c r="E6606" t="s">
        <v>30</v>
      </c>
    </row>
    <row r="6607" spans="2:13" x14ac:dyDescent="0.2">
      <c r="C6607" t="b">
        <v>0</v>
      </c>
      <c r="D6607">
        <v>1460.12</v>
      </c>
      <c r="E6607" t="s">
        <v>30</v>
      </c>
    </row>
    <row r="6608" spans="2:13" x14ac:dyDescent="0.2">
      <c r="C6608" t="b">
        <v>0</v>
      </c>
      <c r="D6608">
        <v>1440.12</v>
      </c>
      <c r="E6608" t="s">
        <v>30</v>
      </c>
    </row>
    <row r="6609" spans="2:13" x14ac:dyDescent="0.2">
      <c r="C6609" t="b">
        <v>0</v>
      </c>
      <c r="D6609">
        <v>1320.1</v>
      </c>
      <c r="E6609" t="s">
        <v>30</v>
      </c>
    </row>
    <row r="6610" spans="2:13" x14ac:dyDescent="0.2">
      <c r="B6610" t="s">
        <v>11</v>
      </c>
    </row>
    <row r="6611" spans="2:13" x14ac:dyDescent="0.2">
      <c r="B6611" t="s">
        <v>12</v>
      </c>
      <c r="C6611" t="s">
        <v>13</v>
      </c>
      <c r="D6611" t="s">
        <v>14</v>
      </c>
      <c r="E6611" t="s">
        <v>15</v>
      </c>
      <c r="F6611" t="s">
        <v>16</v>
      </c>
      <c r="G6611" t="s">
        <v>17</v>
      </c>
      <c r="H6611" t="s">
        <v>18</v>
      </c>
      <c r="I6611" t="s">
        <v>19</v>
      </c>
      <c r="J6611" t="s">
        <v>20</v>
      </c>
      <c r="K6611" t="s">
        <v>21</v>
      </c>
      <c r="L6611" t="s">
        <v>22</v>
      </c>
      <c r="M6611" t="s">
        <v>23</v>
      </c>
    </row>
    <row r="6612" spans="2:13" x14ac:dyDescent="0.2">
      <c r="B6612" t="s">
        <v>32</v>
      </c>
      <c r="C6612">
        <v>72</v>
      </c>
      <c r="E6612" t="s">
        <v>25</v>
      </c>
      <c r="F6612">
        <v>1201.53</v>
      </c>
      <c r="G6612">
        <v>7.6</v>
      </c>
      <c r="K6612">
        <v>0.1</v>
      </c>
      <c r="L6612">
        <v>7</v>
      </c>
      <c r="M6612">
        <v>87.1</v>
      </c>
    </row>
    <row r="6613" spans="2:13" x14ac:dyDescent="0.2">
      <c r="C6613" t="s">
        <v>27</v>
      </c>
    </row>
    <row r="6614" spans="2:13" x14ac:dyDescent="0.2">
      <c r="C6614" t="s">
        <v>28</v>
      </c>
      <c r="D6614" t="s">
        <v>16</v>
      </c>
      <c r="E6614" t="s">
        <v>29</v>
      </c>
      <c r="F6614" t="s">
        <v>18</v>
      </c>
    </row>
    <row r="6615" spans="2:13" x14ac:dyDescent="0.2">
      <c r="C6615" t="b">
        <v>0</v>
      </c>
      <c r="D6615">
        <v>1110.0899999999999</v>
      </c>
      <c r="E6615" t="s">
        <v>30</v>
      </c>
    </row>
    <row r="6616" spans="2:13" x14ac:dyDescent="0.2">
      <c r="C6616" t="b">
        <v>0</v>
      </c>
      <c r="D6616">
        <v>1200.0999999999999</v>
      </c>
      <c r="E6616" t="s">
        <v>30</v>
      </c>
    </row>
    <row r="6617" spans="2:13" x14ac:dyDescent="0.2">
      <c r="C6617" t="b">
        <v>0</v>
      </c>
      <c r="D6617">
        <v>1080.0899999999999</v>
      </c>
      <c r="E6617" t="s">
        <v>30</v>
      </c>
    </row>
    <row r="6618" spans="2:13" x14ac:dyDescent="0.2">
      <c r="C6618" t="b">
        <v>0</v>
      </c>
      <c r="D6618">
        <v>1280.0999999999999</v>
      </c>
      <c r="E6618" t="s">
        <v>30</v>
      </c>
    </row>
    <row r="6619" spans="2:13" x14ac:dyDescent="0.2">
      <c r="C6619" t="b">
        <v>0</v>
      </c>
      <c r="D6619">
        <v>1340.12</v>
      </c>
      <c r="E6619" t="s">
        <v>30</v>
      </c>
    </row>
    <row r="6620" spans="2:13" x14ac:dyDescent="0.2">
      <c r="C6620" t="b">
        <v>0</v>
      </c>
      <c r="D6620">
        <v>1170.0899999999999</v>
      </c>
      <c r="E6620" t="s">
        <v>30</v>
      </c>
    </row>
    <row r="6621" spans="2:13" x14ac:dyDescent="0.2">
      <c r="C6621" t="b">
        <v>0</v>
      </c>
      <c r="D6621">
        <v>1230.0999999999999</v>
      </c>
      <c r="E6621" t="s">
        <v>30</v>
      </c>
    </row>
    <row r="6622" spans="2:13" x14ac:dyDescent="0.2">
      <c r="B6622" t="s">
        <v>11</v>
      </c>
    </row>
    <row r="6623" spans="2:13" x14ac:dyDescent="0.2">
      <c r="B6623" t="s">
        <v>12</v>
      </c>
      <c r="C6623" t="s">
        <v>13</v>
      </c>
      <c r="D6623" t="s">
        <v>14</v>
      </c>
      <c r="E6623" t="s">
        <v>15</v>
      </c>
      <c r="F6623" t="s">
        <v>16</v>
      </c>
      <c r="G6623" t="s">
        <v>17</v>
      </c>
      <c r="H6623" t="s">
        <v>18</v>
      </c>
      <c r="I6623" t="s">
        <v>19</v>
      </c>
      <c r="J6623" t="s">
        <v>20</v>
      </c>
      <c r="K6623" t="s">
        <v>21</v>
      </c>
      <c r="L6623" t="s">
        <v>22</v>
      </c>
      <c r="M6623" t="s">
        <v>23</v>
      </c>
    </row>
    <row r="6624" spans="2:13" x14ac:dyDescent="0.2">
      <c r="B6624" t="s">
        <v>33</v>
      </c>
      <c r="C6624">
        <v>89</v>
      </c>
      <c r="E6624" t="s">
        <v>25</v>
      </c>
      <c r="F6624">
        <v>7295.07</v>
      </c>
      <c r="G6624">
        <v>6.9</v>
      </c>
      <c r="K6624">
        <v>0.1</v>
      </c>
      <c r="L6624">
        <v>7</v>
      </c>
      <c r="M6624">
        <v>96.9</v>
      </c>
    </row>
    <row r="6625" spans="1:13" x14ac:dyDescent="0.2">
      <c r="C6625" t="s">
        <v>27</v>
      </c>
    </row>
    <row r="6626" spans="1:13" x14ac:dyDescent="0.2">
      <c r="C6626" t="s">
        <v>28</v>
      </c>
      <c r="D6626" t="s">
        <v>16</v>
      </c>
      <c r="E6626" t="s">
        <v>29</v>
      </c>
      <c r="F6626" t="s">
        <v>18</v>
      </c>
    </row>
    <row r="6627" spans="1:13" x14ac:dyDescent="0.2">
      <c r="C6627" t="b">
        <v>0</v>
      </c>
      <c r="D6627">
        <v>6401.76</v>
      </c>
      <c r="E6627" t="s">
        <v>30</v>
      </c>
    </row>
    <row r="6628" spans="1:13" x14ac:dyDescent="0.2">
      <c r="C6628" t="b">
        <v>0</v>
      </c>
      <c r="D6628">
        <v>7172.14</v>
      </c>
      <c r="E6628" t="s">
        <v>30</v>
      </c>
    </row>
    <row r="6629" spans="1:13" x14ac:dyDescent="0.2">
      <c r="C6629" t="b">
        <v>0</v>
      </c>
      <c r="D6629">
        <v>7602.4</v>
      </c>
      <c r="E6629" t="s">
        <v>30</v>
      </c>
    </row>
    <row r="6630" spans="1:13" x14ac:dyDescent="0.2">
      <c r="C6630" t="b">
        <v>0</v>
      </c>
      <c r="D6630">
        <v>7512.33</v>
      </c>
      <c r="E6630" t="s">
        <v>30</v>
      </c>
    </row>
    <row r="6631" spans="1:13" x14ac:dyDescent="0.2">
      <c r="C6631" t="b">
        <v>0</v>
      </c>
      <c r="D6631">
        <v>7332.24</v>
      </c>
      <c r="E6631" t="s">
        <v>30</v>
      </c>
    </row>
    <row r="6632" spans="1:13" x14ac:dyDescent="0.2">
      <c r="C6632" t="b">
        <v>0</v>
      </c>
      <c r="D6632">
        <v>7052.06</v>
      </c>
      <c r="E6632" t="s">
        <v>30</v>
      </c>
    </row>
    <row r="6633" spans="1:13" x14ac:dyDescent="0.2">
      <c r="C6633" t="b">
        <v>0</v>
      </c>
      <c r="D6633">
        <v>7992.57</v>
      </c>
      <c r="E6633" t="s">
        <v>30</v>
      </c>
    </row>
    <row r="6634" spans="1:13" x14ac:dyDescent="0.2">
      <c r="A6634" t="s">
        <v>0</v>
      </c>
    </row>
    <row r="6635" spans="1:13" x14ac:dyDescent="0.2">
      <c r="B6635" t="s">
        <v>1</v>
      </c>
      <c r="C6635" t="s">
        <v>2</v>
      </c>
      <c r="D6635" t="s">
        <v>3</v>
      </c>
      <c r="E6635" t="s">
        <v>4</v>
      </c>
      <c r="F6635" t="s">
        <v>5</v>
      </c>
      <c r="G6635" t="s">
        <v>6</v>
      </c>
    </row>
    <row r="6636" spans="1:13" x14ac:dyDescent="0.2">
      <c r="B6636" t="b">
        <v>0</v>
      </c>
      <c r="C6636" t="s">
        <v>438</v>
      </c>
      <c r="D6636" t="s">
        <v>439</v>
      </c>
      <c r="E6636" t="s">
        <v>0</v>
      </c>
      <c r="G6636" t="s">
        <v>440</v>
      </c>
    </row>
    <row r="6637" spans="1:13" x14ac:dyDescent="0.2">
      <c r="B6637" t="s">
        <v>11</v>
      </c>
    </row>
    <row r="6638" spans="1:13" x14ac:dyDescent="0.2">
      <c r="B6638" t="s">
        <v>12</v>
      </c>
      <c r="C6638" t="s">
        <v>13</v>
      </c>
      <c r="D6638" t="s">
        <v>14</v>
      </c>
      <c r="E6638" t="s">
        <v>15</v>
      </c>
      <c r="F6638" t="s">
        <v>16</v>
      </c>
      <c r="G6638" t="s">
        <v>17</v>
      </c>
      <c r="H6638" t="s">
        <v>18</v>
      </c>
      <c r="I6638" t="s">
        <v>19</v>
      </c>
      <c r="J6638" t="s">
        <v>20</v>
      </c>
      <c r="K6638" t="s">
        <v>21</v>
      </c>
      <c r="L6638" t="s">
        <v>22</v>
      </c>
      <c r="M6638" t="s">
        <v>23</v>
      </c>
    </row>
    <row r="6639" spans="1:13" x14ac:dyDescent="0.2">
      <c r="B6639" t="s">
        <v>24</v>
      </c>
      <c r="C6639">
        <v>59</v>
      </c>
      <c r="E6639" t="s">
        <v>25</v>
      </c>
      <c r="F6639">
        <v>3333.36</v>
      </c>
      <c r="G6639">
        <v>6.1</v>
      </c>
      <c r="H6639">
        <v>1E-3</v>
      </c>
      <c r="I6639" t="s">
        <v>26</v>
      </c>
      <c r="J6639">
        <v>6.1</v>
      </c>
      <c r="K6639">
        <v>0.1</v>
      </c>
      <c r="L6639">
        <v>7</v>
      </c>
    </row>
    <row r="6640" spans="1:13" x14ac:dyDescent="0.2">
      <c r="C6640" t="s">
        <v>27</v>
      </c>
    </row>
    <row r="6641" spans="2:13" x14ac:dyDescent="0.2">
      <c r="C6641" t="s">
        <v>28</v>
      </c>
      <c r="D6641" t="s">
        <v>16</v>
      </c>
      <c r="E6641" t="s">
        <v>29</v>
      </c>
      <c r="F6641" t="s">
        <v>18</v>
      </c>
    </row>
    <row r="6642" spans="2:13" x14ac:dyDescent="0.2">
      <c r="C6642" t="b">
        <v>0</v>
      </c>
      <c r="D6642">
        <v>3030.43</v>
      </c>
      <c r="E6642" t="s">
        <v>30</v>
      </c>
      <c r="F6642">
        <v>1E-3</v>
      </c>
    </row>
    <row r="6643" spans="2:13" x14ac:dyDescent="0.2">
      <c r="C6643" t="b">
        <v>0</v>
      </c>
      <c r="D6643">
        <v>3580.56</v>
      </c>
      <c r="E6643" t="s">
        <v>30</v>
      </c>
      <c r="F6643">
        <v>1E-3</v>
      </c>
    </row>
    <row r="6644" spans="2:13" x14ac:dyDescent="0.2">
      <c r="C6644" t="b">
        <v>0</v>
      </c>
      <c r="D6644">
        <v>3440.54</v>
      </c>
      <c r="E6644" t="s">
        <v>30</v>
      </c>
      <c r="F6644">
        <v>1E-3</v>
      </c>
    </row>
    <row r="6645" spans="2:13" x14ac:dyDescent="0.2">
      <c r="C6645" t="b">
        <v>0</v>
      </c>
      <c r="D6645">
        <v>3540.58</v>
      </c>
      <c r="E6645" t="s">
        <v>30</v>
      </c>
      <c r="F6645">
        <v>1E-3</v>
      </c>
    </row>
    <row r="6646" spans="2:13" x14ac:dyDescent="0.2">
      <c r="C6646" t="b">
        <v>0</v>
      </c>
      <c r="D6646">
        <v>3190.46</v>
      </c>
      <c r="E6646" t="s">
        <v>30</v>
      </c>
      <c r="F6646">
        <v>1E-3</v>
      </c>
    </row>
    <row r="6647" spans="2:13" x14ac:dyDescent="0.2">
      <c r="C6647" t="b">
        <v>0</v>
      </c>
      <c r="D6647">
        <v>3200.47</v>
      </c>
      <c r="E6647" t="s">
        <v>30</v>
      </c>
      <c r="F6647">
        <v>1E-3</v>
      </c>
    </row>
    <row r="6648" spans="2:13" x14ac:dyDescent="0.2">
      <c r="C6648" t="b">
        <v>0</v>
      </c>
      <c r="D6648">
        <v>3350.5</v>
      </c>
      <c r="E6648" t="s">
        <v>30</v>
      </c>
      <c r="F6648">
        <v>1E-3</v>
      </c>
    </row>
    <row r="6649" spans="2:13" x14ac:dyDescent="0.2">
      <c r="B6649" t="s">
        <v>11</v>
      </c>
    </row>
    <row r="6650" spans="2:13" x14ac:dyDescent="0.2">
      <c r="B6650" t="s">
        <v>12</v>
      </c>
      <c r="C6650" t="s">
        <v>13</v>
      </c>
      <c r="D6650" t="s">
        <v>14</v>
      </c>
      <c r="E6650" t="s">
        <v>15</v>
      </c>
      <c r="F6650" t="s">
        <v>16</v>
      </c>
      <c r="G6650" t="s">
        <v>17</v>
      </c>
      <c r="H6650" t="s">
        <v>18</v>
      </c>
      <c r="I6650" t="s">
        <v>19</v>
      </c>
      <c r="J6650" t="s">
        <v>20</v>
      </c>
      <c r="K6650" t="s">
        <v>21</v>
      </c>
      <c r="L6650" t="s">
        <v>22</v>
      </c>
      <c r="M6650" t="s">
        <v>23</v>
      </c>
    </row>
    <row r="6651" spans="2:13" x14ac:dyDescent="0.2">
      <c r="B6651" t="s">
        <v>31</v>
      </c>
      <c r="C6651">
        <v>45</v>
      </c>
      <c r="E6651" t="s">
        <v>25</v>
      </c>
      <c r="F6651">
        <v>1298.68</v>
      </c>
      <c r="G6651">
        <v>10.6</v>
      </c>
      <c r="K6651">
        <v>0.1</v>
      </c>
      <c r="L6651">
        <v>7</v>
      </c>
      <c r="M6651">
        <v>100.1</v>
      </c>
    </row>
    <row r="6652" spans="2:13" x14ac:dyDescent="0.2">
      <c r="C6652" t="s">
        <v>27</v>
      </c>
    </row>
    <row r="6653" spans="2:13" x14ac:dyDescent="0.2">
      <c r="C6653" t="s">
        <v>28</v>
      </c>
      <c r="D6653" t="s">
        <v>16</v>
      </c>
      <c r="E6653" t="s">
        <v>29</v>
      </c>
      <c r="F6653" t="s">
        <v>18</v>
      </c>
    </row>
    <row r="6654" spans="2:13" x14ac:dyDescent="0.2">
      <c r="C6654" t="b">
        <v>0</v>
      </c>
      <c r="D6654">
        <v>1310.1099999999999</v>
      </c>
      <c r="E6654" t="s">
        <v>30</v>
      </c>
    </row>
    <row r="6655" spans="2:13" x14ac:dyDescent="0.2">
      <c r="C6655" t="b">
        <v>0</v>
      </c>
      <c r="D6655">
        <v>1380.11</v>
      </c>
      <c r="E6655" t="s">
        <v>30</v>
      </c>
    </row>
    <row r="6656" spans="2:13" x14ac:dyDescent="0.2">
      <c r="C6656" t="b">
        <v>0</v>
      </c>
      <c r="D6656">
        <v>1250.0899999999999</v>
      </c>
      <c r="E6656" t="s">
        <v>30</v>
      </c>
    </row>
    <row r="6657" spans="2:13" x14ac:dyDescent="0.2">
      <c r="C6657" t="b">
        <v>0</v>
      </c>
      <c r="D6657">
        <v>1080.07</v>
      </c>
      <c r="E6657" t="s">
        <v>30</v>
      </c>
    </row>
    <row r="6658" spans="2:13" x14ac:dyDescent="0.2">
      <c r="C6658" t="b">
        <v>0</v>
      </c>
      <c r="D6658">
        <v>1240.1099999999999</v>
      </c>
      <c r="E6658" t="s">
        <v>30</v>
      </c>
    </row>
    <row r="6659" spans="2:13" x14ac:dyDescent="0.2">
      <c r="C6659" t="b">
        <v>0</v>
      </c>
      <c r="D6659">
        <v>1300.1099999999999</v>
      </c>
      <c r="E6659" t="s">
        <v>30</v>
      </c>
    </row>
    <row r="6660" spans="2:13" x14ac:dyDescent="0.2">
      <c r="C6660" t="b">
        <v>0</v>
      </c>
      <c r="D6660">
        <v>1530.13</v>
      </c>
      <c r="E6660" t="s">
        <v>30</v>
      </c>
    </row>
    <row r="6661" spans="2:13" x14ac:dyDescent="0.2">
      <c r="B6661" t="s">
        <v>11</v>
      </c>
    </row>
    <row r="6662" spans="2:13" x14ac:dyDescent="0.2">
      <c r="B6662" t="s">
        <v>12</v>
      </c>
      <c r="C6662" t="s">
        <v>13</v>
      </c>
      <c r="D6662" t="s">
        <v>14</v>
      </c>
      <c r="E6662" t="s">
        <v>15</v>
      </c>
      <c r="F6662" t="s">
        <v>16</v>
      </c>
      <c r="G6662" t="s">
        <v>17</v>
      </c>
      <c r="H6662" t="s">
        <v>18</v>
      </c>
      <c r="I6662" t="s">
        <v>19</v>
      </c>
      <c r="J6662" t="s">
        <v>20</v>
      </c>
      <c r="K6662" t="s">
        <v>21</v>
      </c>
      <c r="L6662" t="s">
        <v>22</v>
      </c>
      <c r="M6662" t="s">
        <v>23</v>
      </c>
    </row>
    <row r="6663" spans="2:13" x14ac:dyDescent="0.2">
      <c r="B6663" t="s">
        <v>32</v>
      </c>
      <c r="C6663">
        <v>72</v>
      </c>
      <c r="E6663" t="s">
        <v>25</v>
      </c>
      <c r="F6663">
        <v>1377.25</v>
      </c>
      <c r="G6663">
        <v>7.3</v>
      </c>
      <c r="K6663">
        <v>0.1</v>
      </c>
      <c r="L6663">
        <v>7</v>
      </c>
      <c r="M6663">
        <v>99.8</v>
      </c>
    </row>
    <row r="6664" spans="2:13" x14ac:dyDescent="0.2">
      <c r="C6664" t="s">
        <v>27</v>
      </c>
    </row>
    <row r="6665" spans="2:13" x14ac:dyDescent="0.2">
      <c r="C6665" t="s">
        <v>28</v>
      </c>
      <c r="D6665" t="s">
        <v>16</v>
      </c>
      <c r="E6665" t="s">
        <v>29</v>
      </c>
      <c r="F6665" t="s">
        <v>18</v>
      </c>
    </row>
    <row r="6666" spans="2:13" x14ac:dyDescent="0.2">
      <c r="C6666" t="b">
        <v>0</v>
      </c>
      <c r="D6666">
        <v>1510.13</v>
      </c>
      <c r="E6666" t="s">
        <v>30</v>
      </c>
    </row>
    <row r="6667" spans="2:13" x14ac:dyDescent="0.2">
      <c r="C6667" t="b">
        <v>0</v>
      </c>
      <c r="D6667">
        <v>1230.0899999999999</v>
      </c>
      <c r="E6667" t="s">
        <v>30</v>
      </c>
    </row>
    <row r="6668" spans="2:13" x14ac:dyDescent="0.2">
      <c r="C6668" t="b">
        <v>0</v>
      </c>
      <c r="D6668">
        <v>1490.13</v>
      </c>
      <c r="E6668" t="s">
        <v>30</v>
      </c>
    </row>
    <row r="6669" spans="2:13" x14ac:dyDescent="0.2">
      <c r="C6669" t="b">
        <v>0</v>
      </c>
      <c r="D6669">
        <v>1420.12</v>
      </c>
      <c r="E6669" t="s">
        <v>30</v>
      </c>
    </row>
    <row r="6670" spans="2:13" x14ac:dyDescent="0.2">
      <c r="C6670" t="b">
        <v>0</v>
      </c>
      <c r="D6670">
        <v>1340.11</v>
      </c>
      <c r="E6670" t="s">
        <v>30</v>
      </c>
    </row>
    <row r="6671" spans="2:13" x14ac:dyDescent="0.2">
      <c r="C6671" t="b">
        <v>0</v>
      </c>
      <c r="D6671">
        <v>1310.0899999999999</v>
      </c>
      <c r="E6671" t="s">
        <v>30</v>
      </c>
    </row>
    <row r="6672" spans="2:13" x14ac:dyDescent="0.2">
      <c r="C6672" t="b">
        <v>0</v>
      </c>
      <c r="D6672">
        <v>1340.11</v>
      </c>
      <c r="E6672" t="s">
        <v>30</v>
      </c>
    </row>
    <row r="6673" spans="1:13" x14ac:dyDescent="0.2">
      <c r="B6673" t="s">
        <v>11</v>
      </c>
    </row>
    <row r="6674" spans="1:13" x14ac:dyDescent="0.2">
      <c r="B6674" t="s">
        <v>12</v>
      </c>
      <c r="C6674" t="s">
        <v>13</v>
      </c>
      <c r="D6674" t="s">
        <v>14</v>
      </c>
      <c r="E6674" t="s">
        <v>15</v>
      </c>
      <c r="F6674" t="s">
        <v>16</v>
      </c>
      <c r="G6674" t="s">
        <v>17</v>
      </c>
      <c r="H6674" t="s">
        <v>18</v>
      </c>
      <c r="I6674" t="s">
        <v>19</v>
      </c>
      <c r="J6674" t="s">
        <v>20</v>
      </c>
      <c r="K6674" t="s">
        <v>21</v>
      </c>
      <c r="L6674" t="s">
        <v>22</v>
      </c>
      <c r="M6674" t="s">
        <v>23</v>
      </c>
    </row>
    <row r="6675" spans="1:13" x14ac:dyDescent="0.2">
      <c r="B6675" t="s">
        <v>33</v>
      </c>
      <c r="C6675">
        <v>89</v>
      </c>
      <c r="E6675" t="s">
        <v>25</v>
      </c>
      <c r="F6675">
        <v>7716.73</v>
      </c>
      <c r="G6675">
        <v>5.4</v>
      </c>
      <c r="K6675">
        <v>0.1</v>
      </c>
      <c r="L6675">
        <v>7</v>
      </c>
      <c r="M6675">
        <v>102.4</v>
      </c>
    </row>
    <row r="6676" spans="1:13" x14ac:dyDescent="0.2">
      <c r="C6676" t="s">
        <v>27</v>
      </c>
    </row>
    <row r="6677" spans="1:13" x14ac:dyDescent="0.2">
      <c r="C6677" t="s">
        <v>28</v>
      </c>
      <c r="D6677" t="s">
        <v>16</v>
      </c>
      <c r="E6677" t="s">
        <v>29</v>
      </c>
      <c r="F6677" t="s">
        <v>18</v>
      </c>
    </row>
    <row r="6678" spans="1:13" x14ac:dyDescent="0.2">
      <c r="C6678" t="b">
        <v>0</v>
      </c>
      <c r="D6678">
        <v>7542.34</v>
      </c>
      <c r="E6678" t="s">
        <v>30</v>
      </c>
    </row>
    <row r="6679" spans="1:13" x14ac:dyDescent="0.2">
      <c r="C6679" t="b">
        <v>0</v>
      </c>
      <c r="D6679">
        <v>7392.26</v>
      </c>
      <c r="E6679" t="s">
        <v>30</v>
      </c>
    </row>
    <row r="6680" spans="1:13" x14ac:dyDescent="0.2">
      <c r="C6680" t="b">
        <v>0</v>
      </c>
      <c r="D6680">
        <v>7832.55</v>
      </c>
      <c r="E6680" t="s">
        <v>30</v>
      </c>
    </row>
    <row r="6681" spans="1:13" x14ac:dyDescent="0.2">
      <c r="C6681" t="b">
        <v>0</v>
      </c>
      <c r="D6681">
        <v>8292.74</v>
      </c>
      <c r="E6681" t="s">
        <v>30</v>
      </c>
    </row>
    <row r="6682" spans="1:13" x14ac:dyDescent="0.2">
      <c r="C6682" t="b">
        <v>0</v>
      </c>
      <c r="D6682">
        <v>7152.17</v>
      </c>
      <c r="E6682" t="s">
        <v>30</v>
      </c>
    </row>
    <row r="6683" spans="1:13" x14ac:dyDescent="0.2">
      <c r="C6683" t="b">
        <v>0</v>
      </c>
      <c r="D6683">
        <v>7622.31</v>
      </c>
      <c r="E6683" t="s">
        <v>30</v>
      </c>
    </row>
    <row r="6684" spans="1:13" x14ac:dyDescent="0.2">
      <c r="C6684" t="b">
        <v>0</v>
      </c>
      <c r="D6684">
        <v>8182.74</v>
      </c>
      <c r="E6684" t="s">
        <v>30</v>
      </c>
    </row>
    <row r="6685" spans="1:13" x14ac:dyDescent="0.2">
      <c r="A6685" t="s">
        <v>0</v>
      </c>
    </row>
    <row r="6686" spans="1:13" x14ac:dyDescent="0.2">
      <c r="B6686" t="s">
        <v>1</v>
      </c>
      <c r="C6686" t="s">
        <v>2</v>
      </c>
      <c r="D6686" t="s">
        <v>3</v>
      </c>
      <c r="E6686" t="s">
        <v>4</v>
      </c>
      <c r="F6686" t="s">
        <v>5</v>
      </c>
      <c r="G6686" t="s">
        <v>6</v>
      </c>
    </row>
    <row r="6687" spans="1:13" x14ac:dyDescent="0.2">
      <c r="A6687" t="s">
        <v>441</v>
      </c>
      <c r="B6687" t="b">
        <v>0</v>
      </c>
      <c r="C6687" t="s">
        <v>442</v>
      </c>
      <c r="D6687" t="s">
        <v>443</v>
      </c>
      <c r="E6687" t="s">
        <v>0</v>
      </c>
      <c r="G6687" t="s">
        <v>444</v>
      </c>
    </row>
    <row r="6688" spans="1:13" x14ac:dyDescent="0.2">
      <c r="B6688" t="s">
        <v>11</v>
      </c>
    </row>
    <row r="6689" spans="2:13" x14ac:dyDescent="0.2">
      <c r="B6689" t="s">
        <v>12</v>
      </c>
      <c r="C6689" t="s">
        <v>13</v>
      </c>
      <c r="D6689" t="s">
        <v>14</v>
      </c>
      <c r="E6689" t="s">
        <v>15</v>
      </c>
      <c r="F6689" t="s">
        <v>16</v>
      </c>
      <c r="G6689" t="s">
        <v>17</v>
      </c>
      <c r="H6689" t="s">
        <v>18</v>
      </c>
      <c r="I6689" t="s">
        <v>19</v>
      </c>
      <c r="J6689" t="s">
        <v>20</v>
      </c>
      <c r="K6689" t="s">
        <v>21</v>
      </c>
      <c r="L6689" t="s">
        <v>22</v>
      </c>
      <c r="M6689" t="s">
        <v>23</v>
      </c>
    </row>
    <row r="6690" spans="2:13" x14ac:dyDescent="0.2">
      <c r="B6690" t="s">
        <v>24</v>
      </c>
      <c r="C6690">
        <v>59</v>
      </c>
      <c r="E6690" t="s">
        <v>25</v>
      </c>
      <c r="F6690">
        <v>3826.35</v>
      </c>
      <c r="G6690">
        <v>6.9</v>
      </c>
      <c r="H6690">
        <v>1E-3</v>
      </c>
      <c r="I6690" t="s">
        <v>26</v>
      </c>
      <c r="J6690">
        <v>6.9</v>
      </c>
      <c r="K6690">
        <v>0.1</v>
      </c>
      <c r="L6690">
        <v>7</v>
      </c>
    </row>
    <row r="6691" spans="2:13" x14ac:dyDescent="0.2">
      <c r="C6691" t="s">
        <v>27</v>
      </c>
    </row>
    <row r="6692" spans="2:13" x14ac:dyDescent="0.2">
      <c r="C6692" t="s">
        <v>28</v>
      </c>
      <c r="D6692" t="s">
        <v>16</v>
      </c>
      <c r="E6692" t="s">
        <v>29</v>
      </c>
      <c r="F6692" t="s">
        <v>18</v>
      </c>
    </row>
    <row r="6693" spans="2:13" x14ac:dyDescent="0.2">
      <c r="C6693" t="b">
        <v>0</v>
      </c>
      <c r="D6693">
        <v>3820.6</v>
      </c>
      <c r="E6693" t="s">
        <v>30</v>
      </c>
      <c r="F6693">
        <v>1E-3</v>
      </c>
    </row>
    <row r="6694" spans="2:13" x14ac:dyDescent="0.2">
      <c r="C6694" t="b">
        <v>0</v>
      </c>
      <c r="D6694">
        <v>3990.71</v>
      </c>
      <c r="E6694" t="s">
        <v>30</v>
      </c>
      <c r="F6694">
        <v>1E-3</v>
      </c>
    </row>
    <row r="6695" spans="2:13" x14ac:dyDescent="0.2">
      <c r="C6695" t="b">
        <v>0</v>
      </c>
      <c r="D6695">
        <v>3910.68</v>
      </c>
      <c r="E6695" t="s">
        <v>30</v>
      </c>
      <c r="F6695">
        <v>1E-3</v>
      </c>
    </row>
    <row r="6696" spans="2:13" x14ac:dyDescent="0.2">
      <c r="C6696" t="b">
        <v>0</v>
      </c>
      <c r="D6696">
        <v>3820.62</v>
      </c>
      <c r="E6696" t="s">
        <v>30</v>
      </c>
      <c r="F6696">
        <v>1E-3</v>
      </c>
    </row>
    <row r="6697" spans="2:13" x14ac:dyDescent="0.2">
      <c r="C6697" t="b">
        <v>0</v>
      </c>
      <c r="D6697">
        <v>3400.51</v>
      </c>
      <c r="E6697" t="s">
        <v>30</v>
      </c>
      <c r="F6697">
        <v>1E-3</v>
      </c>
    </row>
    <row r="6698" spans="2:13" x14ac:dyDescent="0.2">
      <c r="C6698" t="b">
        <v>0</v>
      </c>
      <c r="D6698">
        <v>4220.74</v>
      </c>
      <c r="E6698" t="s">
        <v>30</v>
      </c>
      <c r="F6698">
        <v>1E-3</v>
      </c>
    </row>
    <row r="6699" spans="2:13" x14ac:dyDescent="0.2">
      <c r="C6699" t="b">
        <v>0</v>
      </c>
      <c r="D6699">
        <v>3620.59</v>
      </c>
      <c r="E6699" t="s">
        <v>30</v>
      </c>
      <c r="F6699">
        <v>1E-3</v>
      </c>
    </row>
    <row r="6700" spans="2:13" x14ac:dyDescent="0.2">
      <c r="B6700" t="s">
        <v>11</v>
      </c>
    </row>
    <row r="6701" spans="2:13" x14ac:dyDescent="0.2">
      <c r="B6701" t="s">
        <v>12</v>
      </c>
      <c r="C6701" t="s">
        <v>13</v>
      </c>
      <c r="D6701" t="s">
        <v>14</v>
      </c>
      <c r="E6701" t="s">
        <v>15</v>
      </c>
      <c r="F6701" t="s">
        <v>16</v>
      </c>
      <c r="G6701" t="s">
        <v>17</v>
      </c>
      <c r="H6701" t="s">
        <v>18</v>
      </c>
      <c r="I6701" t="s">
        <v>19</v>
      </c>
      <c r="J6701" t="s">
        <v>20</v>
      </c>
      <c r="K6701" t="s">
        <v>21</v>
      </c>
      <c r="L6701" t="s">
        <v>22</v>
      </c>
      <c r="M6701" t="s">
        <v>23</v>
      </c>
    </row>
    <row r="6702" spans="2:13" x14ac:dyDescent="0.2">
      <c r="B6702" t="s">
        <v>31</v>
      </c>
      <c r="C6702">
        <v>45</v>
      </c>
      <c r="E6702" t="s">
        <v>25</v>
      </c>
      <c r="F6702">
        <v>1627.29</v>
      </c>
      <c r="G6702">
        <v>9.5</v>
      </c>
      <c r="K6702">
        <v>0.1</v>
      </c>
      <c r="L6702">
        <v>7</v>
      </c>
      <c r="M6702">
        <v>125.4</v>
      </c>
    </row>
    <row r="6703" spans="2:13" x14ac:dyDescent="0.2">
      <c r="C6703" t="s">
        <v>27</v>
      </c>
    </row>
    <row r="6704" spans="2:13" x14ac:dyDescent="0.2">
      <c r="C6704" t="s">
        <v>28</v>
      </c>
      <c r="D6704" t="s">
        <v>16</v>
      </c>
      <c r="E6704" t="s">
        <v>29</v>
      </c>
      <c r="F6704" t="s">
        <v>18</v>
      </c>
    </row>
    <row r="6705" spans="2:13" x14ac:dyDescent="0.2">
      <c r="C6705" t="b">
        <v>0</v>
      </c>
      <c r="D6705">
        <v>1340.1</v>
      </c>
      <c r="E6705" t="s">
        <v>30</v>
      </c>
    </row>
    <row r="6706" spans="2:13" x14ac:dyDescent="0.2">
      <c r="C6706" t="b">
        <v>0</v>
      </c>
      <c r="D6706">
        <v>1670.16</v>
      </c>
      <c r="E6706" t="s">
        <v>30</v>
      </c>
    </row>
    <row r="6707" spans="2:13" x14ac:dyDescent="0.2">
      <c r="C6707" t="b">
        <v>0</v>
      </c>
      <c r="D6707">
        <v>1780.18</v>
      </c>
      <c r="E6707" t="s">
        <v>30</v>
      </c>
    </row>
    <row r="6708" spans="2:13" x14ac:dyDescent="0.2">
      <c r="C6708" t="b">
        <v>0</v>
      </c>
      <c r="D6708">
        <v>1810.18</v>
      </c>
      <c r="E6708" t="s">
        <v>30</v>
      </c>
    </row>
    <row r="6709" spans="2:13" x14ac:dyDescent="0.2">
      <c r="C6709" t="b">
        <v>0</v>
      </c>
      <c r="D6709">
        <v>1580.13</v>
      </c>
      <c r="E6709" t="s">
        <v>30</v>
      </c>
    </row>
    <row r="6710" spans="2:13" x14ac:dyDescent="0.2">
      <c r="C6710" t="b">
        <v>0</v>
      </c>
      <c r="D6710">
        <v>1620.15</v>
      </c>
      <c r="E6710" t="s">
        <v>30</v>
      </c>
    </row>
    <row r="6711" spans="2:13" x14ac:dyDescent="0.2">
      <c r="C6711" t="b">
        <v>0</v>
      </c>
      <c r="D6711">
        <v>1590.15</v>
      </c>
      <c r="E6711" t="s">
        <v>30</v>
      </c>
    </row>
    <row r="6712" spans="2:13" x14ac:dyDescent="0.2">
      <c r="B6712" t="s">
        <v>11</v>
      </c>
    </row>
    <row r="6713" spans="2:13" x14ac:dyDescent="0.2">
      <c r="B6713" t="s">
        <v>12</v>
      </c>
      <c r="C6713" t="s">
        <v>13</v>
      </c>
      <c r="D6713" t="s">
        <v>14</v>
      </c>
      <c r="E6713" t="s">
        <v>15</v>
      </c>
      <c r="F6713" t="s">
        <v>16</v>
      </c>
      <c r="G6713" t="s">
        <v>17</v>
      </c>
      <c r="H6713" t="s">
        <v>18</v>
      </c>
      <c r="I6713" t="s">
        <v>19</v>
      </c>
      <c r="J6713" t="s">
        <v>20</v>
      </c>
      <c r="K6713" t="s">
        <v>21</v>
      </c>
      <c r="L6713" t="s">
        <v>22</v>
      </c>
      <c r="M6713" t="s">
        <v>23</v>
      </c>
    </row>
    <row r="6714" spans="2:13" x14ac:dyDescent="0.2">
      <c r="B6714" t="s">
        <v>32</v>
      </c>
      <c r="C6714">
        <v>72</v>
      </c>
      <c r="E6714" t="s">
        <v>25</v>
      </c>
      <c r="F6714">
        <v>1450.13</v>
      </c>
      <c r="G6714">
        <v>9.1</v>
      </c>
      <c r="K6714">
        <v>0.1</v>
      </c>
      <c r="L6714">
        <v>7</v>
      </c>
      <c r="M6714">
        <v>105.1</v>
      </c>
    </row>
    <row r="6715" spans="2:13" x14ac:dyDescent="0.2">
      <c r="C6715" t="s">
        <v>27</v>
      </c>
    </row>
    <row r="6716" spans="2:13" x14ac:dyDescent="0.2">
      <c r="C6716" t="s">
        <v>28</v>
      </c>
      <c r="D6716" t="s">
        <v>16</v>
      </c>
      <c r="E6716" t="s">
        <v>29</v>
      </c>
      <c r="F6716" t="s">
        <v>18</v>
      </c>
    </row>
    <row r="6717" spans="2:13" x14ac:dyDescent="0.2">
      <c r="C6717" t="b">
        <v>0</v>
      </c>
      <c r="D6717">
        <v>1300.1199999999999</v>
      </c>
      <c r="E6717" t="s">
        <v>30</v>
      </c>
    </row>
    <row r="6718" spans="2:13" x14ac:dyDescent="0.2">
      <c r="C6718" t="b">
        <v>0</v>
      </c>
      <c r="D6718">
        <v>1400.13</v>
      </c>
      <c r="E6718" t="s">
        <v>30</v>
      </c>
    </row>
    <row r="6719" spans="2:13" x14ac:dyDescent="0.2">
      <c r="C6719" t="b">
        <v>0</v>
      </c>
      <c r="D6719">
        <v>1620.14</v>
      </c>
      <c r="E6719" t="s">
        <v>30</v>
      </c>
    </row>
    <row r="6720" spans="2:13" x14ac:dyDescent="0.2">
      <c r="C6720" t="b">
        <v>0</v>
      </c>
      <c r="D6720">
        <v>1640.15</v>
      </c>
      <c r="E6720" t="s">
        <v>30</v>
      </c>
    </row>
    <row r="6721" spans="1:13" x14ac:dyDescent="0.2">
      <c r="C6721" t="b">
        <v>0</v>
      </c>
      <c r="D6721">
        <v>1340.12</v>
      </c>
      <c r="E6721" t="s">
        <v>30</v>
      </c>
    </row>
    <row r="6722" spans="1:13" x14ac:dyDescent="0.2">
      <c r="C6722" t="b">
        <v>0</v>
      </c>
      <c r="D6722">
        <v>1400.12</v>
      </c>
      <c r="E6722" t="s">
        <v>30</v>
      </c>
    </row>
    <row r="6723" spans="1:13" x14ac:dyDescent="0.2">
      <c r="C6723" t="b">
        <v>0</v>
      </c>
      <c r="D6723">
        <v>1450.13</v>
      </c>
      <c r="E6723" t="s">
        <v>30</v>
      </c>
    </row>
    <row r="6724" spans="1:13" x14ac:dyDescent="0.2">
      <c r="B6724" t="s">
        <v>11</v>
      </c>
    </row>
    <row r="6725" spans="1:13" x14ac:dyDescent="0.2">
      <c r="B6725" t="s">
        <v>12</v>
      </c>
      <c r="C6725" t="s">
        <v>13</v>
      </c>
      <c r="D6725" t="s">
        <v>14</v>
      </c>
      <c r="E6725" t="s">
        <v>15</v>
      </c>
      <c r="F6725" t="s">
        <v>16</v>
      </c>
      <c r="G6725" t="s">
        <v>17</v>
      </c>
      <c r="H6725" t="s">
        <v>18</v>
      </c>
      <c r="I6725" t="s">
        <v>19</v>
      </c>
      <c r="J6725" t="s">
        <v>20</v>
      </c>
      <c r="K6725" t="s">
        <v>21</v>
      </c>
      <c r="L6725" t="s">
        <v>22</v>
      </c>
      <c r="M6725" t="s">
        <v>23</v>
      </c>
    </row>
    <row r="6726" spans="1:13" x14ac:dyDescent="0.2">
      <c r="B6726" t="s">
        <v>33</v>
      </c>
      <c r="C6726">
        <v>89</v>
      </c>
      <c r="E6726" t="s">
        <v>25</v>
      </c>
      <c r="F6726">
        <v>8315.69</v>
      </c>
      <c r="G6726">
        <v>8.3000000000000007</v>
      </c>
      <c r="K6726">
        <v>0.1</v>
      </c>
      <c r="L6726">
        <v>7</v>
      </c>
      <c r="M6726">
        <v>110.4</v>
      </c>
    </row>
    <row r="6727" spans="1:13" x14ac:dyDescent="0.2">
      <c r="C6727" t="s">
        <v>27</v>
      </c>
    </row>
    <row r="6728" spans="1:13" x14ac:dyDescent="0.2">
      <c r="C6728" t="s">
        <v>28</v>
      </c>
      <c r="D6728" t="s">
        <v>16</v>
      </c>
      <c r="E6728" t="s">
        <v>29</v>
      </c>
      <c r="F6728" t="s">
        <v>18</v>
      </c>
    </row>
    <row r="6729" spans="1:13" x14ac:dyDescent="0.2">
      <c r="C6729" t="b">
        <v>0</v>
      </c>
      <c r="D6729">
        <v>7782.52</v>
      </c>
      <c r="E6729" t="s">
        <v>30</v>
      </c>
    </row>
    <row r="6730" spans="1:13" x14ac:dyDescent="0.2">
      <c r="C6730" t="b">
        <v>0</v>
      </c>
      <c r="D6730">
        <v>8652.93</v>
      </c>
      <c r="E6730" t="s">
        <v>30</v>
      </c>
    </row>
    <row r="6731" spans="1:13" x14ac:dyDescent="0.2">
      <c r="C6731" t="b">
        <v>0</v>
      </c>
      <c r="D6731">
        <v>8683.02</v>
      </c>
      <c r="E6731" t="s">
        <v>30</v>
      </c>
    </row>
    <row r="6732" spans="1:13" x14ac:dyDescent="0.2">
      <c r="C6732" t="b">
        <v>0</v>
      </c>
      <c r="D6732">
        <v>9433.7199999999993</v>
      </c>
      <c r="E6732" t="s">
        <v>30</v>
      </c>
    </row>
    <row r="6733" spans="1:13" x14ac:dyDescent="0.2">
      <c r="C6733" t="b">
        <v>0</v>
      </c>
      <c r="D6733">
        <v>8432.85</v>
      </c>
      <c r="E6733" t="s">
        <v>30</v>
      </c>
    </row>
    <row r="6734" spans="1:13" x14ac:dyDescent="0.2">
      <c r="C6734" t="b">
        <v>0</v>
      </c>
      <c r="D6734">
        <v>7812.5</v>
      </c>
      <c r="E6734" t="s">
        <v>30</v>
      </c>
    </row>
    <row r="6735" spans="1:13" x14ac:dyDescent="0.2">
      <c r="C6735" t="b">
        <v>0</v>
      </c>
      <c r="D6735">
        <v>7412.26</v>
      </c>
      <c r="E6735" t="s">
        <v>30</v>
      </c>
    </row>
    <row r="6736" spans="1:13" x14ac:dyDescent="0.2">
      <c r="A6736" t="s">
        <v>0</v>
      </c>
    </row>
    <row r="6737" spans="2:13" x14ac:dyDescent="0.2">
      <c r="B6737" t="s">
        <v>1</v>
      </c>
      <c r="C6737" t="s">
        <v>2</v>
      </c>
      <c r="D6737" t="s">
        <v>3</v>
      </c>
      <c r="E6737" t="s">
        <v>4</v>
      </c>
      <c r="F6737" t="s">
        <v>5</v>
      </c>
      <c r="G6737" t="s">
        <v>6</v>
      </c>
    </row>
    <row r="6738" spans="2:13" x14ac:dyDescent="0.2">
      <c r="B6738" t="b">
        <v>0</v>
      </c>
      <c r="C6738" t="s">
        <v>445</v>
      </c>
      <c r="D6738" t="s">
        <v>446</v>
      </c>
      <c r="E6738" t="s">
        <v>0</v>
      </c>
      <c r="G6738" t="s">
        <v>447</v>
      </c>
    </row>
    <row r="6739" spans="2:13" x14ac:dyDescent="0.2">
      <c r="B6739" t="s">
        <v>11</v>
      </c>
    </row>
    <row r="6740" spans="2:13" x14ac:dyDescent="0.2">
      <c r="B6740" t="s">
        <v>12</v>
      </c>
      <c r="C6740" t="s">
        <v>13</v>
      </c>
      <c r="D6740" t="s">
        <v>14</v>
      </c>
      <c r="E6740" t="s">
        <v>15</v>
      </c>
      <c r="F6740" t="s">
        <v>16</v>
      </c>
      <c r="G6740" t="s">
        <v>17</v>
      </c>
      <c r="H6740" t="s">
        <v>18</v>
      </c>
      <c r="I6740" t="s">
        <v>19</v>
      </c>
      <c r="J6740" t="s">
        <v>20</v>
      </c>
      <c r="K6740" t="s">
        <v>21</v>
      </c>
      <c r="L6740" t="s">
        <v>22</v>
      </c>
      <c r="M6740" t="s">
        <v>23</v>
      </c>
    </row>
    <row r="6741" spans="2:13" x14ac:dyDescent="0.2">
      <c r="B6741" t="s">
        <v>24</v>
      </c>
      <c r="C6741">
        <v>59</v>
      </c>
      <c r="E6741" t="s">
        <v>25</v>
      </c>
      <c r="F6741">
        <v>4458.01</v>
      </c>
      <c r="G6741">
        <v>9.8000000000000007</v>
      </c>
      <c r="H6741">
        <v>1E-3</v>
      </c>
      <c r="I6741" t="s">
        <v>26</v>
      </c>
      <c r="J6741">
        <v>9.9</v>
      </c>
      <c r="K6741">
        <v>0.1</v>
      </c>
      <c r="L6741">
        <v>7</v>
      </c>
    </row>
    <row r="6742" spans="2:13" x14ac:dyDescent="0.2">
      <c r="C6742" t="s">
        <v>27</v>
      </c>
    </row>
    <row r="6743" spans="2:13" x14ac:dyDescent="0.2">
      <c r="C6743" t="s">
        <v>28</v>
      </c>
      <c r="D6743" t="s">
        <v>16</v>
      </c>
      <c r="E6743" t="s">
        <v>29</v>
      </c>
      <c r="F6743" t="s">
        <v>18</v>
      </c>
    </row>
    <row r="6744" spans="2:13" x14ac:dyDescent="0.2">
      <c r="C6744" t="b">
        <v>0</v>
      </c>
      <c r="D6744">
        <v>4110.74</v>
      </c>
      <c r="E6744" t="s">
        <v>30</v>
      </c>
      <c r="F6744">
        <v>1E-3</v>
      </c>
    </row>
    <row r="6745" spans="2:13" x14ac:dyDescent="0.2">
      <c r="C6745" t="b">
        <v>0</v>
      </c>
      <c r="D6745">
        <v>4450.8999999999996</v>
      </c>
      <c r="E6745" t="s">
        <v>30</v>
      </c>
      <c r="F6745">
        <v>1E-3</v>
      </c>
    </row>
    <row r="6746" spans="2:13" x14ac:dyDescent="0.2">
      <c r="C6746" t="b">
        <v>0</v>
      </c>
      <c r="D6746">
        <v>4440.87</v>
      </c>
      <c r="E6746" t="s">
        <v>30</v>
      </c>
      <c r="F6746">
        <v>1E-3</v>
      </c>
    </row>
    <row r="6747" spans="2:13" x14ac:dyDescent="0.2">
      <c r="C6747" t="b">
        <v>0</v>
      </c>
      <c r="D6747">
        <v>4500.8599999999997</v>
      </c>
      <c r="E6747" t="s">
        <v>30</v>
      </c>
      <c r="F6747">
        <v>1E-3</v>
      </c>
    </row>
    <row r="6748" spans="2:13" x14ac:dyDescent="0.2">
      <c r="C6748" t="b">
        <v>0</v>
      </c>
      <c r="D6748">
        <v>3760.62</v>
      </c>
      <c r="E6748" t="s">
        <v>30</v>
      </c>
      <c r="F6748">
        <v>1E-3</v>
      </c>
    </row>
    <row r="6749" spans="2:13" x14ac:dyDescent="0.2">
      <c r="C6749" t="b">
        <v>0</v>
      </c>
      <c r="D6749">
        <v>4901.04</v>
      </c>
      <c r="E6749" t="s">
        <v>30</v>
      </c>
      <c r="F6749">
        <v>1E-3</v>
      </c>
    </row>
    <row r="6750" spans="2:13" x14ac:dyDescent="0.2">
      <c r="C6750" t="b">
        <v>0</v>
      </c>
      <c r="D6750">
        <v>5041.04</v>
      </c>
      <c r="E6750" t="s">
        <v>30</v>
      </c>
      <c r="F6750">
        <v>2E-3</v>
      </c>
    </row>
    <row r="6751" spans="2:13" x14ac:dyDescent="0.2">
      <c r="B6751" t="s">
        <v>11</v>
      </c>
    </row>
    <row r="6752" spans="2:13" x14ac:dyDescent="0.2">
      <c r="B6752" t="s">
        <v>12</v>
      </c>
      <c r="C6752" t="s">
        <v>13</v>
      </c>
      <c r="D6752" t="s">
        <v>14</v>
      </c>
      <c r="E6752" t="s">
        <v>15</v>
      </c>
      <c r="F6752" t="s">
        <v>16</v>
      </c>
      <c r="G6752" t="s">
        <v>17</v>
      </c>
      <c r="H6752" t="s">
        <v>18</v>
      </c>
      <c r="I6752" t="s">
        <v>19</v>
      </c>
      <c r="J6752" t="s">
        <v>20</v>
      </c>
      <c r="K6752" t="s">
        <v>21</v>
      </c>
      <c r="L6752" t="s">
        <v>22</v>
      </c>
      <c r="M6752" t="s">
        <v>23</v>
      </c>
    </row>
    <row r="6753" spans="2:13" x14ac:dyDescent="0.2">
      <c r="B6753" t="s">
        <v>31</v>
      </c>
      <c r="C6753">
        <v>45</v>
      </c>
      <c r="E6753" t="s">
        <v>25</v>
      </c>
      <c r="F6753">
        <v>1540.13</v>
      </c>
      <c r="G6753">
        <v>5.9</v>
      </c>
      <c r="K6753">
        <v>0.1</v>
      </c>
      <c r="L6753">
        <v>7</v>
      </c>
      <c r="M6753">
        <v>118.7</v>
      </c>
    </row>
    <row r="6754" spans="2:13" x14ac:dyDescent="0.2">
      <c r="C6754" t="s">
        <v>27</v>
      </c>
    </row>
    <row r="6755" spans="2:13" x14ac:dyDescent="0.2">
      <c r="C6755" t="s">
        <v>28</v>
      </c>
      <c r="D6755" t="s">
        <v>16</v>
      </c>
      <c r="E6755" t="s">
        <v>29</v>
      </c>
      <c r="F6755" t="s">
        <v>18</v>
      </c>
    </row>
    <row r="6756" spans="2:13" x14ac:dyDescent="0.2">
      <c r="C6756" t="b">
        <v>0</v>
      </c>
      <c r="D6756">
        <v>1600.14</v>
      </c>
      <c r="E6756" t="s">
        <v>30</v>
      </c>
    </row>
    <row r="6757" spans="2:13" x14ac:dyDescent="0.2">
      <c r="C6757" t="b">
        <v>0</v>
      </c>
      <c r="D6757">
        <v>1370.12</v>
      </c>
      <c r="E6757" t="s">
        <v>30</v>
      </c>
    </row>
    <row r="6758" spans="2:13" x14ac:dyDescent="0.2">
      <c r="C6758" t="b">
        <v>0</v>
      </c>
      <c r="D6758">
        <v>1540.13</v>
      </c>
      <c r="E6758" t="s">
        <v>30</v>
      </c>
    </row>
    <row r="6759" spans="2:13" x14ac:dyDescent="0.2">
      <c r="C6759" t="b">
        <v>0</v>
      </c>
      <c r="D6759">
        <v>1530.13</v>
      </c>
      <c r="E6759" t="s">
        <v>30</v>
      </c>
    </row>
    <row r="6760" spans="2:13" x14ac:dyDescent="0.2">
      <c r="C6760" t="b">
        <v>0</v>
      </c>
      <c r="D6760">
        <v>1520.12</v>
      </c>
      <c r="E6760" t="s">
        <v>30</v>
      </c>
    </row>
    <row r="6761" spans="2:13" x14ac:dyDescent="0.2">
      <c r="C6761" t="b">
        <v>0</v>
      </c>
      <c r="D6761">
        <v>1670.14</v>
      </c>
      <c r="E6761" t="s">
        <v>30</v>
      </c>
    </row>
    <row r="6762" spans="2:13" x14ac:dyDescent="0.2">
      <c r="C6762" t="b">
        <v>0</v>
      </c>
      <c r="D6762">
        <v>1550.15</v>
      </c>
      <c r="E6762" t="s">
        <v>30</v>
      </c>
    </row>
    <row r="6763" spans="2:13" x14ac:dyDescent="0.2">
      <c r="B6763" t="s">
        <v>11</v>
      </c>
    </row>
    <row r="6764" spans="2:13" x14ac:dyDescent="0.2">
      <c r="B6764" t="s">
        <v>12</v>
      </c>
      <c r="C6764" t="s">
        <v>13</v>
      </c>
      <c r="D6764" t="s">
        <v>14</v>
      </c>
      <c r="E6764" t="s">
        <v>15</v>
      </c>
      <c r="F6764" t="s">
        <v>16</v>
      </c>
      <c r="G6764" t="s">
        <v>17</v>
      </c>
      <c r="H6764" t="s">
        <v>18</v>
      </c>
      <c r="I6764" t="s">
        <v>19</v>
      </c>
      <c r="J6764" t="s">
        <v>20</v>
      </c>
      <c r="K6764" t="s">
        <v>21</v>
      </c>
      <c r="L6764" t="s">
        <v>22</v>
      </c>
      <c r="M6764" t="s">
        <v>23</v>
      </c>
    </row>
    <row r="6765" spans="2:13" x14ac:dyDescent="0.2">
      <c r="B6765" t="s">
        <v>32</v>
      </c>
      <c r="C6765">
        <v>72</v>
      </c>
      <c r="E6765" t="s">
        <v>25</v>
      </c>
      <c r="F6765">
        <v>1435.84</v>
      </c>
      <c r="G6765">
        <v>10.9</v>
      </c>
      <c r="K6765">
        <v>0.1</v>
      </c>
      <c r="L6765">
        <v>7</v>
      </c>
      <c r="M6765">
        <v>104</v>
      </c>
    </row>
    <row r="6766" spans="2:13" x14ac:dyDescent="0.2">
      <c r="C6766" t="s">
        <v>27</v>
      </c>
    </row>
    <row r="6767" spans="2:13" x14ac:dyDescent="0.2">
      <c r="C6767" t="s">
        <v>28</v>
      </c>
      <c r="D6767" t="s">
        <v>16</v>
      </c>
      <c r="E6767" t="s">
        <v>29</v>
      </c>
      <c r="F6767" t="s">
        <v>18</v>
      </c>
    </row>
    <row r="6768" spans="2:13" x14ac:dyDescent="0.2">
      <c r="C6768" t="b">
        <v>0</v>
      </c>
      <c r="D6768">
        <v>1550.14</v>
      </c>
      <c r="E6768" t="s">
        <v>30</v>
      </c>
    </row>
    <row r="6769" spans="2:13" x14ac:dyDescent="0.2">
      <c r="C6769" t="b">
        <v>0</v>
      </c>
      <c r="D6769">
        <v>1570.16</v>
      </c>
      <c r="E6769" t="s">
        <v>30</v>
      </c>
    </row>
    <row r="6770" spans="2:13" x14ac:dyDescent="0.2">
      <c r="C6770" t="b">
        <v>0</v>
      </c>
      <c r="D6770">
        <v>1270.0999999999999</v>
      </c>
      <c r="E6770" t="s">
        <v>30</v>
      </c>
    </row>
    <row r="6771" spans="2:13" x14ac:dyDescent="0.2">
      <c r="C6771" t="b">
        <v>0</v>
      </c>
      <c r="D6771">
        <v>1340.12</v>
      </c>
      <c r="E6771" t="s">
        <v>30</v>
      </c>
    </row>
    <row r="6772" spans="2:13" x14ac:dyDescent="0.2">
      <c r="C6772" t="b">
        <v>0</v>
      </c>
      <c r="D6772">
        <v>1320.11</v>
      </c>
      <c r="E6772" t="s">
        <v>30</v>
      </c>
    </row>
    <row r="6773" spans="2:13" x14ac:dyDescent="0.2">
      <c r="C6773" t="b">
        <v>0</v>
      </c>
      <c r="D6773">
        <v>1330.11</v>
      </c>
      <c r="E6773" t="s">
        <v>30</v>
      </c>
    </row>
    <row r="6774" spans="2:13" x14ac:dyDescent="0.2">
      <c r="C6774" t="b">
        <v>0</v>
      </c>
      <c r="D6774">
        <v>1670.15</v>
      </c>
      <c r="E6774" t="s">
        <v>30</v>
      </c>
    </row>
    <row r="6775" spans="2:13" x14ac:dyDescent="0.2">
      <c r="B6775" t="s">
        <v>11</v>
      </c>
    </row>
    <row r="6776" spans="2:13" x14ac:dyDescent="0.2">
      <c r="B6776" t="s">
        <v>12</v>
      </c>
      <c r="C6776" t="s">
        <v>13</v>
      </c>
      <c r="D6776" t="s">
        <v>14</v>
      </c>
      <c r="E6776" t="s">
        <v>15</v>
      </c>
      <c r="F6776" t="s">
        <v>16</v>
      </c>
      <c r="G6776" t="s">
        <v>17</v>
      </c>
      <c r="H6776" t="s">
        <v>18</v>
      </c>
      <c r="I6776" t="s">
        <v>19</v>
      </c>
      <c r="J6776" t="s">
        <v>20</v>
      </c>
      <c r="K6776" t="s">
        <v>21</v>
      </c>
      <c r="L6776" t="s">
        <v>22</v>
      </c>
      <c r="M6776" t="s">
        <v>23</v>
      </c>
    </row>
    <row r="6777" spans="2:13" x14ac:dyDescent="0.2">
      <c r="B6777" t="s">
        <v>33</v>
      </c>
      <c r="C6777">
        <v>89</v>
      </c>
      <c r="E6777" t="s">
        <v>25</v>
      </c>
      <c r="F6777">
        <v>7836.77</v>
      </c>
      <c r="G6777">
        <v>5.7</v>
      </c>
      <c r="K6777">
        <v>0.1</v>
      </c>
      <c r="L6777">
        <v>7</v>
      </c>
      <c r="M6777">
        <v>104</v>
      </c>
    </row>
    <row r="6778" spans="2:13" x14ac:dyDescent="0.2">
      <c r="C6778" t="s">
        <v>27</v>
      </c>
    </row>
    <row r="6779" spans="2:13" x14ac:dyDescent="0.2">
      <c r="C6779" t="s">
        <v>28</v>
      </c>
      <c r="D6779" t="s">
        <v>16</v>
      </c>
      <c r="E6779" t="s">
        <v>29</v>
      </c>
      <c r="F6779" t="s">
        <v>18</v>
      </c>
    </row>
    <row r="6780" spans="2:13" x14ac:dyDescent="0.2">
      <c r="C6780" t="b">
        <v>0</v>
      </c>
      <c r="D6780">
        <v>7672.47</v>
      </c>
      <c r="E6780" t="s">
        <v>30</v>
      </c>
    </row>
    <row r="6781" spans="2:13" x14ac:dyDescent="0.2">
      <c r="C6781" t="b">
        <v>0</v>
      </c>
      <c r="D6781">
        <v>7422.23</v>
      </c>
      <c r="E6781" t="s">
        <v>30</v>
      </c>
    </row>
    <row r="6782" spans="2:13" x14ac:dyDescent="0.2">
      <c r="C6782" t="b">
        <v>0</v>
      </c>
      <c r="D6782">
        <v>7622.35</v>
      </c>
      <c r="E6782" t="s">
        <v>30</v>
      </c>
    </row>
    <row r="6783" spans="2:13" x14ac:dyDescent="0.2">
      <c r="C6783" t="b">
        <v>0</v>
      </c>
      <c r="D6783">
        <v>7932.55</v>
      </c>
      <c r="E6783" t="s">
        <v>30</v>
      </c>
    </row>
    <row r="6784" spans="2:13" x14ac:dyDescent="0.2">
      <c r="C6784" t="b">
        <v>0</v>
      </c>
      <c r="D6784">
        <v>7402.17</v>
      </c>
      <c r="E6784" t="s">
        <v>30</v>
      </c>
    </row>
    <row r="6785" spans="1:13" x14ac:dyDescent="0.2">
      <c r="C6785" t="b">
        <v>0</v>
      </c>
      <c r="D6785">
        <v>8152.63</v>
      </c>
      <c r="E6785" t="s">
        <v>30</v>
      </c>
    </row>
    <row r="6786" spans="1:13" x14ac:dyDescent="0.2">
      <c r="C6786" t="b">
        <v>0</v>
      </c>
      <c r="D6786">
        <v>8653.02</v>
      </c>
      <c r="E6786" t="s">
        <v>30</v>
      </c>
    </row>
    <row r="6787" spans="1:13" x14ac:dyDescent="0.2">
      <c r="A6787" t="s">
        <v>0</v>
      </c>
    </row>
    <row r="6788" spans="1:13" x14ac:dyDescent="0.2">
      <c r="B6788" t="s">
        <v>1</v>
      </c>
      <c r="C6788" t="s">
        <v>2</v>
      </c>
      <c r="D6788" t="s">
        <v>3</v>
      </c>
      <c r="E6788" t="s">
        <v>4</v>
      </c>
      <c r="F6788" t="s">
        <v>5</v>
      </c>
      <c r="G6788" t="s">
        <v>6</v>
      </c>
    </row>
    <row r="6789" spans="1:13" x14ac:dyDescent="0.2">
      <c r="B6789" t="b">
        <v>0</v>
      </c>
      <c r="C6789" t="s">
        <v>448</v>
      </c>
      <c r="D6789" t="s">
        <v>449</v>
      </c>
      <c r="E6789" t="s">
        <v>0</v>
      </c>
      <c r="G6789" t="s">
        <v>450</v>
      </c>
    </row>
    <row r="6790" spans="1:13" x14ac:dyDescent="0.2">
      <c r="B6790" t="s">
        <v>11</v>
      </c>
    </row>
    <row r="6791" spans="1:13" x14ac:dyDescent="0.2">
      <c r="B6791" t="s">
        <v>12</v>
      </c>
      <c r="C6791" t="s">
        <v>13</v>
      </c>
      <c r="D6791" t="s">
        <v>14</v>
      </c>
      <c r="E6791" t="s">
        <v>15</v>
      </c>
      <c r="F6791" t="s">
        <v>16</v>
      </c>
      <c r="G6791" t="s">
        <v>17</v>
      </c>
      <c r="H6791" t="s">
        <v>18</v>
      </c>
      <c r="I6791" t="s">
        <v>19</v>
      </c>
      <c r="J6791" t="s">
        <v>20</v>
      </c>
      <c r="K6791" t="s">
        <v>21</v>
      </c>
      <c r="L6791" t="s">
        <v>22</v>
      </c>
      <c r="M6791" t="s">
        <v>23</v>
      </c>
    </row>
    <row r="6792" spans="1:13" x14ac:dyDescent="0.2">
      <c r="B6792" t="s">
        <v>24</v>
      </c>
      <c r="C6792">
        <v>59</v>
      </c>
      <c r="E6792" t="s">
        <v>25</v>
      </c>
      <c r="F6792">
        <v>3643.47</v>
      </c>
      <c r="G6792">
        <v>6.8</v>
      </c>
      <c r="H6792">
        <v>1E-3</v>
      </c>
      <c r="I6792" t="s">
        <v>26</v>
      </c>
      <c r="J6792">
        <v>6.9</v>
      </c>
      <c r="K6792">
        <v>0.1</v>
      </c>
      <c r="L6792">
        <v>7</v>
      </c>
    </row>
    <row r="6793" spans="1:13" x14ac:dyDescent="0.2">
      <c r="C6793" t="s">
        <v>27</v>
      </c>
    </row>
    <row r="6794" spans="1:13" x14ac:dyDescent="0.2">
      <c r="C6794" t="s">
        <v>28</v>
      </c>
      <c r="D6794" t="s">
        <v>16</v>
      </c>
      <c r="E6794" t="s">
        <v>29</v>
      </c>
      <c r="F6794" t="s">
        <v>18</v>
      </c>
    </row>
    <row r="6795" spans="1:13" x14ac:dyDescent="0.2">
      <c r="C6795" t="b">
        <v>0</v>
      </c>
      <c r="D6795">
        <v>3500.55</v>
      </c>
      <c r="E6795" t="s">
        <v>30</v>
      </c>
      <c r="F6795">
        <v>1E-3</v>
      </c>
    </row>
    <row r="6796" spans="1:13" x14ac:dyDescent="0.2">
      <c r="C6796" t="b">
        <v>0</v>
      </c>
      <c r="D6796">
        <v>3530.56</v>
      </c>
      <c r="E6796" t="s">
        <v>30</v>
      </c>
      <c r="F6796">
        <v>1E-3</v>
      </c>
    </row>
    <row r="6797" spans="1:13" x14ac:dyDescent="0.2">
      <c r="C6797" t="b">
        <v>0</v>
      </c>
      <c r="D6797">
        <v>3440.55</v>
      </c>
      <c r="E6797" t="s">
        <v>30</v>
      </c>
      <c r="F6797">
        <v>1E-3</v>
      </c>
    </row>
    <row r="6798" spans="1:13" x14ac:dyDescent="0.2">
      <c r="C6798" t="b">
        <v>0</v>
      </c>
      <c r="D6798">
        <v>4180.79</v>
      </c>
      <c r="E6798" t="s">
        <v>30</v>
      </c>
      <c r="F6798">
        <v>1E-3</v>
      </c>
    </row>
    <row r="6799" spans="1:13" x14ac:dyDescent="0.2">
      <c r="C6799" t="b">
        <v>0</v>
      </c>
      <c r="D6799">
        <v>3570.62</v>
      </c>
      <c r="E6799" t="s">
        <v>30</v>
      </c>
      <c r="F6799">
        <v>1E-3</v>
      </c>
    </row>
    <row r="6800" spans="1:13" x14ac:dyDescent="0.2">
      <c r="C6800" t="b">
        <v>0</v>
      </c>
      <c r="D6800">
        <v>3600.57</v>
      </c>
      <c r="E6800" t="s">
        <v>30</v>
      </c>
      <c r="F6800">
        <v>1E-3</v>
      </c>
    </row>
    <row r="6801" spans="2:13" x14ac:dyDescent="0.2">
      <c r="C6801" t="b">
        <v>0</v>
      </c>
      <c r="D6801">
        <v>3680.62</v>
      </c>
      <c r="E6801" t="s">
        <v>30</v>
      </c>
      <c r="F6801">
        <v>1E-3</v>
      </c>
    </row>
    <row r="6802" spans="2:13" x14ac:dyDescent="0.2">
      <c r="B6802" t="s">
        <v>11</v>
      </c>
    </row>
    <row r="6803" spans="2:13" x14ac:dyDescent="0.2">
      <c r="B6803" t="s">
        <v>12</v>
      </c>
      <c r="C6803" t="s">
        <v>13</v>
      </c>
      <c r="D6803" t="s">
        <v>14</v>
      </c>
      <c r="E6803" t="s">
        <v>15</v>
      </c>
      <c r="F6803" t="s">
        <v>16</v>
      </c>
      <c r="G6803" t="s">
        <v>17</v>
      </c>
      <c r="H6803" t="s">
        <v>18</v>
      </c>
      <c r="I6803" t="s">
        <v>19</v>
      </c>
      <c r="J6803" t="s">
        <v>20</v>
      </c>
      <c r="K6803" t="s">
        <v>21</v>
      </c>
      <c r="L6803" t="s">
        <v>22</v>
      </c>
      <c r="M6803" t="s">
        <v>23</v>
      </c>
    </row>
    <row r="6804" spans="2:13" x14ac:dyDescent="0.2">
      <c r="B6804" t="s">
        <v>31</v>
      </c>
      <c r="C6804">
        <v>45</v>
      </c>
      <c r="E6804" t="s">
        <v>25</v>
      </c>
      <c r="F6804">
        <v>1487.28</v>
      </c>
      <c r="G6804">
        <v>9.5</v>
      </c>
      <c r="K6804">
        <v>0.1</v>
      </c>
      <c r="L6804">
        <v>7</v>
      </c>
      <c r="M6804">
        <v>114.6</v>
      </c>
    </row>
    <row r="6805" spans="2:13" x14ac:dyDescent="0.2">
      <c r="C6805" t="s">
        <v>27</v>
      </c>
    </row>
    <row r="6806" spans="2:13" x14ac:dyDescent="0.2">
      <c r="C6806" t="s">
        <v>28</v>
      </c>
      <c r="D6806" t="s">
        <v>16</v>
      </c>
      <c r="E6806" t="s">
        <v>29</v>
      </c>
      <c r="F6806" t="s">
        <v>18</v>
      </c>
    </row>
    <row r="6807" spans="2:13" x14ac:dyDescent="0.2">
      <c r="C6807" t="b">
        <v>0</v>
      </c>
      <c r="D6807">
        <v>1370.12</v>
      </c>
      <c r="E6807" t="s">
        <v>30</v>
      </c>
    </row>
    <row r="6808" spans="2:13" x14ac:dyDescent="0.2">
      <c r="C6808" t="b">
        <v>0</v>
      </c>
      <c r="D6808">
        <v>1390.13</v>
      </c>
      <c r="E6808" t="s">
        <v>30</v>
      </c>
    </row>
    <row r="6809" spans="2:13" x14ac:dyDescent="0.2">
      <c r="C6809" t="b">
        <v>0</v>
      </c>
      <c r="D6809">
        <v>1750.17</v>
      </c>
      <c r="E6809" t="s">
        <v>30</v>
      </c>
    </row>
    <row r="6810" spans="2:13" x14ac:dyDescent="0.2">
      <c r="C6810" t="b">
        <v>0</v>
      </c>
      <c r="D6810">
        <v>1490.12</v>
      </c>
      <c r="E6810" t="s">
        <v>30</v>
      </c>
    </row>
    <row r="6811" spans="2:13" x14ac:dyDescent="0.2">
      <c r="C6811" t="b">
        <v>0</v>
      </c>
      <c r="D6811">
        <v>1370.11</v>
      </c>
      <c r="E6811" t="s">
        <v>30</v>
      </c>
    </row>
    <row r="6812" spans="2:13" x14ac:dyDescent="0.2">
      <c r="C6812" t="b">
        <v>0</v>
      </c>
      <c r="D6812">
        <v>1440.14</v>
      </c>
      <c r="E6812" t="s">
        <v>30</v>
      </c>
    </row>
    <row r="6813" spans="2:13" x14ac:dyDescent="0.2">
      <c r="C6813" t="b">
        <v>0</v>
      </c>
      <c r="D6813">
        <v>1600.15</v>
      </c>
      <c r="E6813" t="s">
        <v>30</v>
      </c>
    </row>
    <row r="6814" spans="2:13" x14ac:dyDescent="0.2">
      <c r="B6814" t="s">
        <v>11</v>
      </c>
    </row>
    <row r="6815" spans="2:13" x14ac:dyDescent="0.2">
      <c r="B6815" t="s">
        <v>12</v>
      </c>
      <c r="C6815" t="s">
        <v>13</v>
      </c>
      <c r="D6815" t="s">
        <v>14</v>
      </c>
      <c r="E6815" t="s">
        <v>15</v>
      </c>
      <c r="F6815" t="s">
        <v>16</v>
      </c>
      <c r="G6815" t="s">
        <v>17</v>
      </c>
      <c r="H6815" t="s">
        <v>18</v>
      </c>
      <c r="I6815" t="s">
        <v>19</v>
      </c>
      <c r="J6815" t="s">
        <v>20</v>
      </c>
      <c r="K6815" t="s">
        <v>21</v>
      </c>
      <c r="L6815" t="s">
        <v>22</v>
      </c>
      <c r="M6815" t="s">
        <v>23</v>
      </c>
    </row>
    <row r="6816" spans="2:13" x14ac:dyDescent="0.2">
      <c r="B6816" t="s">
        <v>32</v>
      </c>
      <c r="C6816">
        <v>72</v>
      </c>
      <c r="E6816" t="s">
        <v>25</v>
      </c>
      <c r="F6816">
        <v>1390.12</v>
      </c>
      <c r="G6816">
        <v>9.4</v>
      </c>
      <c r="K6816">
        <v>0.1</v>
      </c>
      <c r="L6816">
        <v>7</v>
      </c>
      <c r="M6816">
        <v>100.7</v>
      </c>
    </row>
    <row r="6817" spans="2:13" x14ac:dyDescent="0.2">
      <c r="C6817" t="s">
        <v>27</v>
      </c>
    </row>
    <row r="6818" spans="2:13" x14ac:dyDescent="0.2">
      <c r="C6818" t="s">
        <v>28</v>
      </c>
      <c r="D6818" t="s">
        <v>16</v>
      </c>
      <c r="E6818" t="s">
        <v>29</v>
      </c>
      <c r="F6818" t="s">
        <v>18</v>
      </c>
    </row>
    <row r="6819" spans="2:13" x14ac:dyDescent="0.2">
      <c r="C6819" t="b">
        <v>0</v>
      </c>
      <c r="D6819">
        <v>1360.11</v>
      </c>
      <c r="E6819" t="s">
        <v>30</v>
      </c>
    </row>
    <row r="6820" spans="2:13" x14ac:dyDescent="0.2">
      <c r="C6820" t="b">
        <v>0</v>
      </c>
      <c r="D6820">
        <v>1520.13</v>
      </c>
      <c r="E6820" t="s">
        <v>30</v>
      </c>
    </row>
    <row r="6821" spans="2:13" x14ac:dyDescent="0.2">
      <c r="C6821" t="b">
        <v>0</v>
      </c>
      <c r="D6821">
        <v>1520.14</v>
      </c>
      <c r="E6821" t="s">
        <v>30</v>
      </c>
    </row>
    <row r="6822" spans="2:13" x14ac:dyDescent="0.2">
      <c r="C6822" t="b">
        <v>0</v>
      </c>
      <c r="D6822">
        <v>1520.14</v>
      </c>
      <c r="E6822" t="s">
        <v>30</v>
      </c>
    </row>
    <row r="6823" spans="2:13" x14ac:dyDescent="0.2">
      <c r="C6823" t="b">
        <v>0</v>
      </c>
      <c r="D6823">
        <v>1200.0999999999999</v>
      </c>
      <c r="E6823" t="s">
        <v>30</v>
      </c>
    </row>
    <row r="6824" spans="2:13" x14ac:dyDescent="0.2">
      <c r="C6824" t="b">
        <v>0</v>
      </c>
      <c r="D6824">
        <v>1300.1099999999999</v>
      </c>
      <c r="E6824" t="s">
        <v>30</v>
      </c>
    </row>
    <row r="6825" spans="2:13" x14ac:dyDescent="0.2">
      <c r="C6825" t="b">
        <v>0</v>
      </c>
      <c r="D6825">
        <v>1310.0999999999999</v>
      </c>
      <c r="E6825" t="s">
        <v>30</v>
      </c>
    </row>
    <row r="6826" spans="2:13" x14ac:dyDescent="0.2">
      <c r="B6826" t="s">
        <v>11</v>
      </c>
    </row>
    <row r="6827" spans="2:13" x14ac:dyDescent="0.2">
      <c r="B6827" t="s">
        <v>12</v>
      </c>
      <c r="C6827" t="s">
        <v>13</v>
      </c>
      <c r="D6827" t="s">
        <v>14</v>
      </c>
      <c r="E6827" t="s">
        <v>15</v>
      </c>
      <c r="F6827" t="s">
        <v>16</v>
      </c>
      <c r="G6827" t="s">
        <v>17</v>
      </c>
      <c r="H6827" t="s">
        <v>18</v>
      </c>
      <c r="I6827" t="s">
        <v>19</v>
      </c>
      <c r="J6827" t="s">
        <v>20</v>
      </c>
      <c r="K6827" t="s">
        <v>21</v>
      </c>
      <c r="L6827" t="s">
        <v>22</v>
      </c>
      <c r="M6827" t="s">
        <v>23</v>
      </c>
    </row>
    <row r="6828" spans="2:13" x14ac:dyDescent="0.2">
      <c r="B6828" t="s">
        <v>33</v>
      </c>
      <c r="C6828">
        <v>89</v>
      </c>
      <c r="E6828" t="s">
        <v>25</v>
      </c>
      <c r="F6828">
        <v>8079.77</v>
      </c>
      <c r="G6828">
        <v>6.8</v>
      </c>
      <c r="K6828">
        <v>0.1</v>
      </c>
      <c r="L6828">
        <v>7</v>
      </c>
      <c r="M6828">
        <v>107.3</v>
      </c>
    </row>
    <row r="6829" spans="2:13" x14ac:dyDescent="0.2">
      <c r="C6829" t="s">
        <v>27</v>
      </c>
    </row>
    <row r="6830" spans="2:13" x14ac:dyDescent="0.2">
      <c r="C6830" t="s">
        <v>28</v>
      </c>
      <c r="D6830" t="s">
        <v>16</v>
      </c>
      <c r="E6830" t="s">
        <v>29</v>
      </c>
      <c r="F6830" t="s">
        <v>18</v>
      </c>
    </row>
    <row r="6831" spans="2:13" x14ac:dyDescent="0.2">
      <c r="C6831" t="b">
        <v>0</v>
      </c>
      <c r="D6831">
        <v>7092.04</v>
      </c>
      <c r="E6831" t="s">
        <v>30</v>
      </c>
    </row>
    <row r="6832" spans="2:13" x14ac:dyDescent="0.2">
      <c r="C6832" t="b">
        <v>0</v>
      </c>
      <c r="D6832">
        <v>7762.42</v>
      </c>
      <c r="E6832" t="s">
        <v>30</v>
      </c>
    </row>
    <row r="6833" spans="1:13" x14ac:dyDescent="0.2">
      <c r="C6833" t="b">
        <v>0</v>
      </c>
      <c r="D6833">
        <v>8102.56</v>
      </c>
      <c r="E6833" t="s">
        <v>30</v>
      </c>
    </row>
    <row r="6834" spans="1:13" x14ac:dyDescent="0.2">
      <c r="C6834" t="b">
        <v>0</v>
      </c>
      <c r="D6834">
        <v>8172.65</v>
      </c>
      <c r="E6834" t="s">
        <v>30</v>
      </c>
    </row>
    <row r="6835" spans="1:13" x14ac:dyDescent="0.2">
      <c r="C6835" t="b">
        <v>0</v>
      </c>
      <c r="D6835">
        <v>8262.7999999999993</v>
      </c>
      <c r="E6835" t="s">
        <v>30</v>
      </c>
    </row>
    <row r="6836" spans="1:13" x14ac:dyDescent="0.2">
      <c r="C6836" t="b">
        <v>0</v>
      </c>
      <c r="D6836">
        <v>8903.15</v>
      </c>
      <c r="E6836" t="s">
        <v>30</v>
      </c>
    </row>
    <row r="6837" spans="1:13" x14ac:dyDescent="0.2">
      <c r="C6837" t="b">
        <v>0</v>
      </c>
      <c r="D6837">
        <v>8262.7800000000007</v>
      </c>
      <c r="E6837" t="s">
        <v>30</v>
      </c>
    </row>
    <row r="6838" spans="1:13" x14ac:dyDescent="0.2">
      <c r="A6838" t="s">
        <v>0</v>
      </c>
    </row>
    <row r="6839" spans="1:13" x14ac:dyDescent="0.2">
      <c r="B6839" t="s">
        <v>1</v>
      </c>
      <c r="C6839" t="s">
        <v>2</v>
      </c>
      <c r="D6839" t="s">
        <v>3</v>
      </c>
      <c r="E6839" t="s">
        <v>4</v>
      </c>
      <c r="F6839" t="s">
        <v>5</v>
      </c>
      <c r="G6839" t="s">
        <v>6</v>
      </c>
    </row>
    <row r="6840" spans="1:13" x14ac:dyDescent="0.2">
      <c r="B6840" t="b">
        <v>0</v>
      </c>
      <c r="C6840" t="s">
        <v>451</v>
      </c>
      <c r="D6840" t="s">
        <v>452</v>
      </c>
      <c r="E6840" t="s">
        <v>0</v>
      </c>
      <c r="G6840" t="s">
        <v>453</v>
      </c>
    </row>
    <row r="6841" spans="1:13" x14ac:dyDescent="0.2">
      <c r="B6841" t="s">
        <v>11</v>
      </c>
    </row>
    <row r="6842" spans="1:13" x14ac:dyDescent="0.2">
      <c r="B6842" t="s">
        <v>12</v>
      </c>
      <c r="C6842" t="s">
        <v>13</v>
      </c>
      <c r="D6842" t="s">
        <v>14</v>
      </c>
      <c r="E6842" t="s">
        <v>15</v>
      </c>
      <c r="F6842" t="s">
        <v>16</v>
      </c>
      <c r="G6842" t="s">
        <v>17</v>
      </c>
      <c r="H6842" t="s">
        <v>18</v>
      </c>
      <c r="I6842" t="s">
        <v>19</v>
      </c>
      <c r="J6842" t="s">
        <v>20</v>
      </c>
      <c r="K6842" t="s">
        <v>21</v>
      </c>
      <c r="L6842" t="s">
        <v>22</v>
      </c>
      <c r="M6842" t="s">
        <v>23</v>
      </c>
    </row>
    <row r="6843" spans="1:13" x14ac:dyDescent="0.2">
      <c r="B6843" t="s">
        <v>24</v>
      </c>
      <c r="C6843">
        <v>59</v>
      </c>
      <c r="E6843" t="s">
        <v>25</v>
      </c>
      <c r="F6843">
        <v>77736.509999999995</v>
      </c>
      <c r="G6843">
        <v>1.4</v>
      </c>
      <c r="H6843">
        <v>2.4E-2</v>
      </c>
      <c r="I6843" t="s">
        <v>26</v>
      </c>
      <c r="J6843">
        <v>1.4</v>
      </c>
      <c r="K6843">
        <v>0.1</v>
      </c>
      <c r="L6843">
        <v>7</v>
      </c>
    </row>
    <row r="6844" spans="1:13" x14ac:dyDescent="0.2">
      <c r="C6844" t="s">
        <v>27</v>
      </c>
    </row>
    <row r="6845" spans="1:13" x14ac:dyDescent="0.2">
      <c r="C6845" t="s">
        <v>28</v>
      </c>
      <c r="D6845" t="s">
        <v>16</v>
      </c>
      <c r="E6845" t="s">
        <v>29</v>
      </c>
      <c r="F6845" t="s">
        <v>18</v>
      </c>
    </row>
    <row r="6846" spans="1:13" x14ac:dyDescent="0.2">
      <c r="C6846" t="b">
        <v>0</v>
      </c>
      <c r="D6846">
        <v>77202.44</v>
      </c>
      <c r="E6846" t="s">
        <v>30</v>
      </c>
      <c r="F6846">
        <v>2.4E-2</v>
      </c>
    </row>
    <row r="6847" spans="1:13" x14ac:dyDescent="0.2">
      <c r="C6847" t="b">
        <v>0</v>
      </c>
      <c r="D6847">
        <v>79303.89</v>
      </c>
      <c r="E6847" t="s">
        <v>30</v>
      </c>
      <c r="F6847">
        <v>2.4E-2</v>
      </c>
    </row>
    <row r="6848" spans="1:13" x14ac:dyDescent="0.2">
      <c r="C6848" t="b">
        <v>0</v>
      </c>
      <c r="D6848">
        <v>78016.13</v>
      </c>
      <c r="E6848" t="s">
        <v>30</v>
      </c>
      <c r="F6848">
        <v>2.4E-2</v>
      </c>
    </row>
    <row r="6849" spans="2:13" x14ac:dyDescent="0.2">
      <c r="C6849" t="b">
        <v>0</v>
      </c>
      <c r="D6849">
        <v>77162.12</v>
      </c>
      <c r="E6849" t="s">
        <v>30</v>
      </c>
      <c r="F6849">
        <v>2.4E-2</v>
      </c>
    </row>
    <row r="6850" spans="2:13" x14ac:dyDescent="0.2">
      <c r="C6850" t="b">
        <v>0</v>
      </c>
      <c r="D6850">
        <v>77050.81</v>
      </c>
      <c r="E6850" t="s">
        <v>30</v>
      </c>
      <c r="F6850">
        <v>2.4E-2</v>
      </c>
    </row>
    <row r="6851" spans="2:13" x14ac:dyDescent="0.2">
      <c r="C6851" t="b">
        <v>0</v>
      </c>
      <c r="D6851">
        <v>76427.070000000007</v>
      </c>
      <c r="E6851" t="s">
        <v>30</v>
      </c>
      <c r="F6851">
        <v>2.4E-2</v>
      </c>
    </row>
    <row r="6852" spans="2:13" x14ac:dyDescent="0.2">
      <c r="C6852" t="b">
        <v>0</v>
      </c>
      <c r="D6852">
        <v>78993.100000000006</v>
      </c>
      <c r="E6852" t="s">
        <v>30</v>
      </c>
      <c r="F6852">
        <v>2.4E-2</v>
      </c>
    </row>
    <row r="6853" spans="2:13" x14ac:dyDescent="0.2">
      <c r="B6853" t="s">
        <v>11</v>
      </c>
    </row>
    <row r="6854" spans="2:13" x14ac:dyDescent="0.2">
      <c r="B6854" t="s">
        <v>12</v>
      </c>
      <c r="C6854" t="s">
        <v>13</v>
      </c>
      <c r="D6854" t="s">
        <v>14</v>
      </c>
      <c r="E6854" t="s">
        <v>15</v>
      </c>
      <c r="F6854" t="s">
        <v>16</v>
      </c>
      <c r="G6854" t="s">
        <v>17</v>
      </c>
      <c r="H6854" t="s">
        <v>18</v>
      </c>
      <c r="I6854" t="s">
        <v>19</v>
      </c>
      <c r="J6854" t="s">
        <v>20</v>
      </c>
      <c r="K6854" t="s">
        <v>21</v>
      </c>
      <c r="L6854" t="s">
        <v>22</v>
      </c>
      <c r="M6854" t="s">
        <v>23</v>
      </c>
    </row>
    <row r="6855" spans="2:13" x14ac:dyDescent="0.2">
      <c r="B6855" t="s">
        <v>31</v>
      </c>
      <c r="C6855">
        <v>45</v>
      </c>
      <c r="E6855" t="s">
        <v>25</v>
      </c>
      <c r="F6855">
        <v>1375.83</v>
      </c>
      <c r="G6855">
        <v>5.8</v>
      </c>
      <c r="K6855">
        <v>0.1</v>
      </c>
      <c r="L6855">
        <v>7</v>
      </c>
      <c r="M6855">
        <v>106.1</v>
      </c>
    </row>
    <row r="6856" spans="2:13" x14ac:dyDescent="0.2">
      <c r="C6856" t="s">
        <v>27</v>
      </c>
    </row>
    <row r="6857" spans="2:13" x14ac:dyDescent="0.2">
      <c r="C6857" t="s">
        <v>28</v>
      </c>
      <c r="D6857" t="s">
        <v>16</v>
      </c>
      <c r="E6857" t="s">
        <v>29</v>
      </c>
      <c r="F6857" t="s">
        <v>18</v>
      </c>
    </row>
    <row r="6858" spans="2:13" x14ac:dyDescent="0.2">
      <c r="C6858" t="b">
        <v>0</v>
      </c>
      <c r="D6858">
        <v>1340.11</v>
      </c>
      <c r="E6858" t="s">
        <v>30</v>
      </c>
    </row>
    <row r="6859" spans="2:13" x14ac:dyDescent="0.2">
      <c r="C6859" t="b">
        <v>0</v>
      </c>
      <c r="D6859">
        <v>1280.1099999999999</v>
      </c>
      <c r="E6859" t="s">
        <v>30</v>
      </c>
    </row>
    <row r="6860" spans="2:13" x14ac:dyDescent="0.2">
      <c r="C6860" t="b">
        <v>0</v>
      </c>
      <c r="D6860">
        <v>1290.0999999999999</v>
      </c>
      <c r="E6860" t="s">
        <v>30</v>
      </c>
    </row>
    <row r="6861" spans="2:13" x14ac:dyDescent="0.2">
      <c r="C6861" t="b">
        <v>0</v>
      </c>
      <c r="D6861">
        <v>1370.12</v>
      </c>
      <c r="E6861" t="s">
        <v>30</v>
      </c>
    </row>
    <row r="6862" spans="2:13" x14ac:dyDescent="0.2">
      <c r="C6862" t="b">
        <v>0</v>
      </c>
      <c r="D6862">
        <v>1480.13</v>
      </c>
      <c r="E6862" t="s">
        <v>30</v>
      </c>
    </row>
    <row r="6863" spans="2:13" x14ac:dyDescent="0.2">
      <c r="C6863" t="b">
        <v>0</v>
      </c>
      <c r="D6863">
        <v>1470.13</v>
      </c>
      <c r="E6863" t="s">
        <v>30</v>
      </c>
    </row>
    <row r="6864" spans="2:13" x14ac:dyDescent="0.2">
      <c r="C6864" t="b">
        <v>0</v>
      </c>
      <c r="D6864">
        <v>1400.11</v>
      </c>
      <c r="E6864" t="s">
        <v>30</v>
      </c>
    </row>
    <row r="6865" spans="2:13" x14ac:dyDescent="0.2">
      <c r="B6865" t="s">
        <v>11</v>
      </c>
    </row>
    <row r="6866" spans="2:13" x14ac:dyDescent="0.2">
      <c r="B6866" t="s">
        <v>12</v>
      </c>
      <c r="C6866" t="s">
        <v>13</v>
      </c>
      <c r="D6866" t="s">
        <v>14</v>
      </c>
      <c r="E6866" t="s">
        <v>15</v>
      </c>
      <c r="F6866" t="s">
        <v>16</v>
      </c>
      <c r="G6866" t="s">
        <v>17</v>
      </c>
      <c r="H6866" t="s">
        <v>18</v>
      </c>
      <c r="I6866" t="s">
        <v>19</v>
      </c>
      <c r="J6866" t="s">
        <v>20</v>
      </c>
      <c r="K6866" t="s">
        <v>21</v>
      </c>
      <c r="L6866" t="s">
        <v>22</v>
      </c>
      <c r="M6866" t="s">
        <v>23</v>
      </c>
    </row>
    <row r="6867" spans="2:13" x14ac:dyDescent="0.2">
      <c r="B6867" t="s">
        <v>32</v>
      </c>
      <c r="C6867">
        <v>72</v>
      </c>
      <c r="E6867" t="s">
        <v>25</v>
      </c>
      <c r="F6867">
        <v>1322.97</v>
      </c>
      <c r="G6867">
        <v>7.6</v>
      </c>
      <c r="K6867">
        <v>0.1</v>
      </c>
      <c r="L6867">
        <v>7</v>
      </c>
      <c r="M6867">
        <v>95.9</v>
      </c>
    </row>
    <row r="6868" spans="2:13" x14ac:dyDescent="0.2">
      <c r="C6868" t="s">
        <v>27</v>
      </c>
    </row>
    <row r="6869" spans="2:13" x14ac:dyDescent="0.2">
      <c r="C6869" t="s">
        <v>28</v>
      </c>
      <c r="D6869" t="s">
        <v>16</v>
      </c>
      <c r="E6869" t="s">
        <v>29</v>
      </c>
      <c r="F6869" t="s">
        <v>18</v>
      </c>
    </row>
    <row r="6870" spans="2:13" x14ac:dyDescent="0.2">
      <c r="C6870" t="b">
        <v>0</v>
      </c>
      <c r="D6870">
        <v>1380.12</v>
      </c>
      <c r="E6870" t="s">
        <v>30</v>
      </c>
    </row>
    <row r="6871" spans="2:13" x14ac:dyDescent="0.2">
      <c r="C6871" t="b">
        <v>0</v>
      </c>
      <c r="D6871">
        <v>1480.13</v>
      </c>
      <c r="E6871" t="s">
        <v>30</v>
      </c>
    </row>
    <row r="6872" spans="2:13" x14ac:dyDescent="0.2">
      <c r="C6872" t="b">
        <v>0</v>
      </c>
      <c r="D6872">
        <v>1410.12</v>
      </c>
      <c r="E6872" t="s">
        <v>30</v>
      </c>
    </row>
    <row r="6873" spans="2:13" x14ac:dyDescent="0.2">
      <c r="C6873" t="b">
        <v>0</v>
      </c>
      <c r="D6873">
        <v>1220.0999999999999</v>
      </c>
      <c r="E6873" t="s">
        <v>30</v>
      </c>
    </row>
    <row r="6874" spans="2:13" x14ac:dyDescent="0.2">
      <c r="C6874" t="b">
        <v>0</v>
      </c>
      <c r="D6874">
        <v>1270.1099999999999</v>
      </c>
      <c r="E6874" t="s">
        <v>30</v>
      </c>
    </row>
    <row r="6875" spans="2:13" x14ac:dyDescent="0.2">
      <c r="C6875" t="b">
        <v>0</v>
      </c>
      <c r="D6875">
        <v>1220.0899999999999</v>
      </c>
      <c r="E6875" t="s">
        <v>30</v>
      </c>
    </row>
    <row r="6876" spans="2:13" x14ac:dyDescent="0.2">
      <c r="C6876" t="b">
        <v>0</v>
      </c>
      <c r="D6876">
        <v>1280.0999999999999</v>
      </c>
      <c r="E6876" t="s">
        <v>30</v>
      </c>
    </row>
    <row r="6877" spans="2:13" x14ac:dyDescent="0.2">
      <c r="B6877" t="s">
        <v>11</v>
      </c>
    </row>
    <row r="6878" spans="2:13" x14ac:dyDescent="0.2">
      <c r="B6878" t="s">
        <v>12</v>
      </c>
      <c r="C6878" t="s">
        <v>13</v>
      </c>
      <c r="D6878" t="s">
        <v>14</v>
      </c>
      <c r="E6878" t="s">
        <v>15</v>
      </c>
      <c r="F6878" t="s">
        <v>16</v>
      </c>
      <c r="G6878" t="s">
        <v>17</v>
      </c>
      <c r="H6878" t="s">
        <v>18</v>
      </c>
      <c r="I6878" t="s">
        <v>19</v>
      </c>
      <c r="J6878" t="s">
        <v>20</v>
      </c>
      <c r="K6878" t="s">
        <v>21</v>
      </c>
      <c r="L6878" t="s">
        <v>22</v>
      </c>
      <c r="M6878" t="s">
        <v>23</v>
      </c>
    </row>
    <row r="6879" spans="2:13" x14ac:dyDescent="0.2">
      <c r="B6879" t="s">
        <v>33</v>
      </c>
      <c r="C6879">
        <v>89</v>
      </c>
      <c r="E6879" t="s">
        <v>25</v>
      </c>
      <c r="F6879">
        <v>7699.56</v>
      </c>
      <c r="G6879">
        <v>9.8000000000000007</v>
      </c>
      <c r="K6879">
        <v>0.1</v>
      </c>
      <c r="L6879">
        <v>7</v>
      </c>
      <c r="M6879">
        <v>102.2</v>
      </c>
    </row>
    <row r="6880" spans="2:13" x14ac:dyDescent="0.2">
      <c r="C6880" t="s">
        <v>27</v>
      </c>
    </row>
    <row r="6881" spans="1:13" x14ac:dyDescent="0.2">
      <c r="C6881" t="s">
        <v>28</v>
      </c>
      <c r="D6881" t="s">
        <v>16</v>
      </c>
      <c r="E6881" t="s">
        <v>29</v>
      </c>
      <c r="F6881" t="s">
        <v>18</v>
      </c>
    </row>
    <row r="6882" spans="1:13" x14ac:dyDescent="0.2">
      <c r="C6882" t="b">
        <v>0</v>
      </c>
      <c r="D6882">
        <v>7042.04</v>
      </c>
      <c r="E6882" t="s">
        <v>30</v>
      </c>
    </row>
    <row r="6883" spans="1:13" x14ac:dyDescent="0.2">
      <c r="C6883" t="b">
        <v>0</v>
      </c>
      <c r="D6883">
        <v>6561.8</v>
      </c>
      <c r="E6883" t="s">
        <v>30</v>
      </c>
    </row>
    <row r="6884" spans="1:13" x14ac:dyDescent="0.2">
      <c r="C6884" t="b">
        <v>0</v>
      </c>
      <c r="D6884">
        <v>8222.7000000000007</v>
      </c>
      <c r="E6884" t="s">
        <v>30</v>
      </c>
    </row>
    <row r="6885" spans="1:13" x14ac:dyDescent="0.2">
      <c r="C6885" t="b">
        <v>0</v>
      </c>
      <c r="D6885">
        <v>7712.4</v>
      </c>
      <c r="E6885" t="s">
        <v>30</v>
      </c>
    </row>
    <row r="6886" spans="1:13" x14ac:dyDescent="0.2">
      <c r="C6886" t="b">
        <v>0</v>
      </c>
      <c r="D6886">
        <v>7792.5</v>
      </c>
      <c r="E6886" t="s">
        <v>30</v>
      </c>
    </row>
    <row r="6887" spans="1:13" x14ac:dyDescent="0.2">
      <c r="C6887" t="b">
        <v>0</v>
      </c>
      <c r="D6887">
        <v>7672.37</v>
      </c>
      <c r="E6887" t="s">
        <v>30</v>
      </c>
    </row>
    <row r="6888" spans="1:13" x14ac:dyDescent="0.2">
      <c r="C6888" t="b">
        <v>0</v>
      </c>
      <c r="D6888">
        <v>8893.14</v>
      </c>
      <c r="E6888" t="s">
        <v>30</v>
      </c>
    </row>
    <row r="6889" spans="1:13" x14ac:dyDescent="0.2">
      <c r="A6889" t="s">
        <v>0</v>
      </c>
    </row>
    <row r="6890" spans="1:13" x14ac:dyDescent="0.2">
      <c r="B6890" t="s">
        <v>1</v>
      </c>
      <c r="C6890" t="s">
        <v>2</v>
      </c>
      <c r="D6890" t="s">
        <v>3</v>
      </c>
      <c r="E6890" t="s">
        <v>4</v>
      </c>
      <c r="F6890" t="s">
        <v>5</v>
      </c>
      <c r="G6890" t="s">
        <v>6</v>
      </c>
    </row>
    <row r="6891" spans="1:13" x14ac:dyDescent="0.2">
      <c r="A6891" t="s">
        <v>454</v>
      </c>
      <c r="B6891" t="b">
        <v>0</v>
      </c>
      <c r="C6891" t="s">
        <v>455</v>
      </c>
      <c r="D6891" t="s">
        <v>456</v>
      </c>
      <c r="E6891" t="s">
        <v>0</v>
      </c>
      <c r="G6891" t="s">
        <v>457</v>
      </c>
    </row>
    <row r="6892" spans="1:13" x14ac:dyDescent="0.2">
      <c r="B6892" t="s">
        <v>11</v>
      </c>
    </row>
    <row r="6893" spans="1:13" x14ac:dyDescent="0.2">
      <c r="B6893" t="s">
        <v>12</v>
      </c>
      <c r="C6893" t="s">
        <v>13</v>
      </c>
      <c r="D6893" t="s">
        <v>14</v>
      </c>
      <c r="E6893" t="s">
        <v>15</v>
      </c>
      <c r="F6893" t="s">
        <v>16</v>
      </c>
      <c r="G6893" t="s">
        <v>17</v>
      </c>
      <c r="H6893" t="s">
        <v>18</v>
      </c>
      <c r="I6893" t="s">
        <v>19</v>
      </c>
      <c r="J6893" t="s">
        <v>20</v>
      </c>
      <c r="K6893" t="s">
        <v>21</v>
      </c>
      <c r="L6893" t="s">
        <v>22</v>
      </c>
      <c r="M6893" t="s">
        <v>23</v>
      </c>
    </row>
    <row r="6894" spans="1:13" x14ac:dyDescent="0.2">
      <c r="B6894" t="s">
        <v>24</v>
      </c>
      <c r="C6894">
        <v>59</v>
      </c>
      <c r="E6894" t="s">
        <v>25</v>
      </c>
      <c r="F6894">
        <v>76833.98</v>
      </c>
      <c r="G6894">
        <v>1.5</v>
      </c>
      <c r="H6894">
        <v>2.4E-2</v>
      </c>
      <c r="I6894" t="s">
        <v>26</v>
      </c>
      <c r="J6894">
        <v>1.5</v>
      </c>
      <c r="K6894">
        <v>0.1</v>
      </c>
      <c r="L6894">
        <v>7</v>
      </c>
    </row>
    <row r="6895" spans="1:13" x14ac:dyDescent="0.2">
      <c r="C6895" t="s">
        <v>27</v>
      </c>
    </row>
    <row r="6896" spans="1:13" x14ac:dyDescent="0.2">
      <c r="C6896" t="s">
        <v>28</v>
      </c>
      <c r="D6896" t="s">
        <v>16</v>
      </c>
      <c r="E6896" t="s">
        <v>29</v>
      </c>
      <c r="F6896" t="s">
        <v>18</v>
      </c>
    </row>
    <row r="6897" spans="2:13" x14ac:dyDescent="0.2">
      <c r="C6897" t="b">
        <v>0</v>
      </c>
      <c r="D6897">
        <v>75643.41</v>
      </c>
      <c r="E6897" t="s">
        <v>30</v>
      </c>
      <c r="F6897">
        <v>2.3E-2</v>
      </c>
    </row>
    <row r="6898" spans="2:13" x14ac:dyDescent="0.2">
      <c r="C6898" t="b">
        <v>0</v>
      </c>
      <c r="D6898">
        <v>76285.899999999994</v>
      </c>
      <c r="E6898" t="s">
        <v>30</v>
      </c>
      <c r="F6898">
        <v>2.3E-2</v>
      </c>
    </row>
    <row r="6899" spans="2:13" x14ac:dyDescent="0.2">
      <c r="C6899" t="b">
        <v>0</v>
      </c>
      <c r="D6899">
        <v>77081.34</v>
      </c>
      <c r="E6899" t="s">
        <v>30</v>
      </c>
      <c r="F6899">
        <v>2.4E-2</v>
      </c>
    </row>
    <row r="6900" spans="2:13" x14ac:dyDescent="0.2">
      <c r="C6900" t="b">
        <v>0</v>
      </c>
      <c r="D6900">
        <v>78107.350000000006</v>
      </c>
      <c r="E6900" t="s">
        <v>30</v>
      </c>
      <c r="F6900">
        <v>2.4E-2</v>
      </c>
    </row>
    <row r="6901" spans="2:13" x14ac:dyDescent="0.2">
      <c r="C6901" t="b">
        <v>0</v>
      </c>
      <c r="D6901">
        <v>75129.81</v>
      </c>
      <c r="E6901" t="s">
        <v>30</v>
      </c>
      <c r="F6901">
        <v>2.3E-2</v>
      </c>
    </row>
    <row r="6902" spans="2:13" x14ac:dyDescent="0.2">
      <c r="C6902" t="b">
        <v>0</v>
      </c>
      <c r="D6902">
        <v>77544.14</v>
      </c>
      <c r="E6902" t="s">
        <v>30</v>
      </c>
      <c r="F6902">
        <v>2.4E-2</v>
      </c>
    </row>
    <row r="6903" spans="2:13" x14ac:dyDescent="0.2">
      <c r="C6903" t="b">
        <v>0</v>
      </c>
      <c r="D6903">
        <v>78045.899999999994</v>
      </c>
      <c r="E6903" t="s">
        <v>30</v>
      </c>
      <c r="F6903">
        <v>2.4E-2</v>
      </c>
    </row>
    <row r="6904" spans="2:13" x14ac:dyDescent="0.2">
      <c r="B6904" t="s">
        <v>11</v>
      </c>
    </row>
    <row r="6905" spans="2:13" x14ac:dyDescent="0.2">
      <c r="B6905" t="s">
        <v>12</v>
      </c>
      <c r="C6905" t="s">
        <v>13</v>
      </c>
      <c r="D6905" t="s">
        <v>14</v>
      </c>
      <c r="E6905" t="s">
        <v>15</v>
      </c>
      <c r="F6905" t="s">
        <v>16</v>
      </c>
      <c r="G6905" t="s">
        <v>17</v>
      </c>
      <c r="H6905" t="s">
        <v>18</v>
      </c>
      <c r="I6905" t="s">
        <v>19</v>
      </c>
      <c r="J6905" t="s">
        <v>20</v>
      </c>
      <c r="K6905" t="s">
        <v>21</v>
      </c>
      <c r="L6905" t="s">
        <v>22</v>
      </c>
      <c r="M6905" t="s">
        <v>23</v>
      </c>
    </row>
    <row r="6906" spans="2:13" x14ac:dyDescent="0.2">
      <c r="B6906" t="s">
        <v>31</v>
      </c>
      <c r="C6906">
        <v>45</v>
      </c>
      <c r="E6906" t="s">
        <v>25</v>
      </c>
      <c r="F6906">
        <v>1608.72</v>
      </c>
      <c r="G6906">
        <v>7.1</v>
      </c>
      <c r="K6906">
        <v>0.1</v>
      </c>
      <c r="L6906">
        <v>7</v>
      </c>
      <c r="M6906">
        <v>124</v>
      </c>
    </row>
    <row r="6907" spans="2:13" x14ac:dyDescent="0.2">
      <c r="C6907" t="s">
        <v>27</v>
      </c>
    </row>
    <row r="6908" spans="2:13" x14ac:dyDescent="0.2">
      <c r="C6908" t="s">
        <v>28</v>
      </c>
      <c r="D6908" t="s">
        <v>16</v>
      </c>
      <c r="E6908" t="s">
        <v>29</v>
      </c>
      <c r="F6908" t="s">
        <v>18</v>
      </c>
    </row>
    <row r="6909" spans="2:13" x14ac:dyDescent="0.2">
      <c r="C6909" t="b">
        <v>0</v>
      </c>
      <c r="D6909">
        <v>1600.14</v>
      </c>
      <c r="E6909" t="s">
        <v>30</v>
      </c>
    </row>
    <row r="6910" spans="2:13" x14ac:dyDescent="0.2">
      <c r="C6910" t="b">
        <v>0</v>
      </c>
      <c r="D6910">
        <v>1770.17</v>
      </c>
      <c r="E6910" t="s">
        <v>30</v>
      </c>
    </row>
    <row r="6911" spans="2:13" x14ac:dyDescent="0.2">
      <c r="C6911" t="b">
        <v>0</v>
      </c>
      <c r="D6911">
        <v>1510.13</v>
      </c>
      <c r="E6911" t="s">
        <v>30</v>
      </c>
    </row>
    <row r="6912" spans="2:13" x14ac:dyDescent="0.2">
      <c r="C6912" t="b">
        <v>0</v>
      </c>
      <c r="D6912">
        <v>1560.15</v>
      </c>
      <c r="E6912" t="s">
        <v>30</v>
      </c>
    </row>
    <row r="6913" spans="2:13" x14ac:dyDescent="0.2">
      <c r="C6913" t="b">
        <v>0</v>
      </c>
      <c r="D6913">
        <v>1750.18</v>
      </c>
      <c r="E6913" t="s">
        <v>30</v>
      </c>
    </row>
    <row r="6914" spans="2:13" x14ac:dyDescent="0.2">
      <c r="C6914" t="b">
        <v>0</v>
      </c>
      <c r="D6914">
        <v>1470.13</v>
      </c>
      <c r="E6914" t="s">
        <v>30</v>
      </c>
    </row>
    <row r="6915" spans="2:13" x14ac:dyDescent="0.2">
      <c r="C6915" t="b">
        <v>0</v>
      </c>
      <c r="D6915">
        <v>1600.16</v>
      </c>
      <c r="E6915" t="s">
        <v>30</v>
      </c>
    </row>
    <row r="6916" spans="2:13" x14ac:dyDescent="0.2">
      <c r="B6916" t="s">
        <v>11</v>
      </c>
    </row>
    <row r="6917" spans="2:13" x14ac:dyDescent="0.2">
      <c r="B6917" t="s">
        <v>12</v>
      </c>
      <c r="C6917" t="s">
        <v>13</v>
      </c>
      <c r="D6917" t="s">
        <v>14</v>
      </c>
      <c r="E6917" t="s">
        <v>15</v>
      </c>
      <c r="F6917" t="s">
        <v>16</v>
      </c>
      <c r="G6917" t="s">
        <v>17</v>
      </c>
      <c r="H6917" t="s">
        <v>18</v>
      </c>
      <c r="I6917" t="s">
        <v>19</v>
      </c>
      <c r="J6917" t="s">
        <v>20</v>
      </c>
      <c r="K6917" t="s">
        <v>21</v>
      </c>
      <c r="L6917" t="s">
        <v>22</v>
      </c>
      <c r="M6917" t="s">
        <v>23</v>
      </c>
    </row>
    <row r="6918" spans="2:13" x14ac:dyDescent="0.2">
      <c r="B6918" t="s">
        <v>32</v>
      </c>
      <c r="C6918">
        <v>72</v>
      </c>
      <c r="E6918" t="s">
        <v>25</v>
      </c>
      <c r="F6918">
        <v>1275.82</v>
      </c>
      <c r="G6918">
        <v>5.0999999999999996</v>
      </c>
      <c r="K6918">
        <v>0.1</v>
      </c>
      <c r="L6918">
        <v>7</v>
      </c>
      <c r="M6918">
        <v>92.4</v>
      </c>
    </row>
    <row r="6919" spans="2:13" x14ac:dyDescent="0.2">
      <c r="C6919" t="s">
        <v>27</v>
      </c>
    </row>
    <row r="6920" spans="2:13" x14ac:dyDescent="0.2">
      <c r="C6920" t="s">
        <v>28</v>
      </c>
      <c r="D6920" t="s">
        <v>16</v>
      </c>
      <c r="E6920" t="s">
        <v>29</v>
      </c>
      <c r="F6920" t="s">
        <v>18</v>
      </c>
    </row>
    <row r="6921" spans="2:13" x14ac:dyDescent="0.2">
      <c r="C6921" t="b">
        <v>0</v>
      </c>
      <c r="D6921">
        <v>1310.0999999999999</v>
      </c>
      <c r="E6921" t="s">
        <v>30</v>
      </c>
    </row>
    <row r="6922" spans="2:13" x14ac:dyDescent="0.2">
      <c r="C6922" t="b">
        <v>0</v>
      </c>
      <c r="D6922">
        <v>1240.0999999999999</v>
      </c>
      <c r="E6922" t="s">
        <v>30</v>
      </c>
    </row>
    <row r="6923" spans="2:13" x14ac:dyDescent="0.2">
      <c r="C6923" t="b">
        <v>0</v>
      </c>
      <c r="D6923">
        <v>1310.1099999999999</v>
      </c>
      <c r="E6923" t="s">
        <v>30</v>
      </c>
    </row>
    <row r="6924" spans="2:13" x14ac:dyDescent="0.2">
      <c r="C6924" t="b">
        <v>0</v>
      </c>
      <c r="D6924">
        <v>1330.11</v>
      </c>
      <c r="E6924" t="s">
        <v>30</v>
      </c>
    </row>
    <row r="6925" spans="2:13" x14ac:dyDescent="0.2">
      <c r="C6925" t="b">
        <v>0</v>
      </c>
      <c r="D6925">
        <v>1350.1</v>
      </c>
      <c r="E6925" t="s">
        <v>30</v>
      </c>
    </row>
    <row r="6926" spans="2:13" x14ac:dyDescent="0.2">
      <c r="C6926" t="b">
        <v>0</v>
      </c>
      <c r="D6926">
        <v>1200.0999999999999</v>
      </c>
      <c r="E6926" t="s">
        <v>30</v>
      </c>
    </row>
    <row r="6927" spans="2:13" x14ac:dyDescent="0.2">
      <c r="C6927" t="b">
        <v>0</v>
      </c>
      <c r="D6927">
        <v>1190.0999999999999</v>
      </c>
      <c r="E6927" t="s">
        <v>30</v>
      </c>
    </row>
    <row r="6928" spans="2:13" x14ac:dyDescent="0.2">
      <c r="B6928" t="s">
        <v>11</v>
      </c>
    </row>
    <row r="6929" spans="1:13" x14ac:dyDescent="0.2">
      <c r="B6929" t="s">
        <v>12</v>
      </c>
      <c r="C6929" t="s">
        <v>13</v>
      </c>
      <c r="D6929" t="s">
        <v>14</v>
      </c>
      <c r="E6929" t="s">
        <v>15</v>
      </c>
      <c r="F6929" t="s">
        <v>16</v>
      </c>
      <c r="G6929" t="s">
        <v>17</v>
      </c>
      <c r="H6929" t="s">
        <v>18</v>
      </c>
      <c r="I6929" t="s">
        <v>19</v>
      </c>
      <c r="J6929" t="s">
        <v>20</v>
      </c>
      <c r="K6929" t="s">
        <v>21</v>
      </c>
      <c r="L6929" t="s">
        <v>22</v>
      </c>
      <c r="M6929" t="s">
        <v>23</v>
      </c>
    </row>
    <row r="6930" spans="1:13" x14ac:dyDescent="0.2">
      <c r="B6930" t="s">
        <v>33</v>
      </c>
      <c r="C6930">
        <v>89</v>
      </c>
      <c r="E6930" t="s">
        <v>25</v>
      </c>
      <c r="F6930">
        <v>7699.55</v>
      </c>
      <c r="G6930">
        <v>3.6</v>
      </c>
      <c r="K6930">
        <v>0.1</v>
      </c>
      <c r="L6930">
        <v>7</v>
      </c>
      <c r="M6930">
        <v>102.2</v>
      </c>
    </row>
    <row r="6931" spans="1:13" x14ac:dyDescent="0.2">
      <c r="C6931" t="s">
        <v>27</v>
      </c>
    </row>
    <row r="6932" spans="1:13" x14ac:dyDescent="0.2">
      <c r="C6932" t="s">
        <v>28</v>
      </c>
      <c r="D6932" t="s">
        <v>16</v>
      </c>
      <c r="E6932" t="s">
        <v>29</v>
      </c>
      <c r="F6932" t="s">
        <v>18</v>
      </c>
    </row>
    <row r="6933" spans="1:13" x14ac:dyDescent="0.2">
      <c r="C6933" t="b">
        <v>0</v>
      </c>
      <c r="D6933">
        <v>8012.63</v>
      </c>
      <c r="E6933" t="s">
        <v>30</v>
      </c>
    </row>
    <row r="6934" spans="1:13" x14ac:dyDescent="0.2">
      <c r="C6934" t="b">
        <v>0</v>
      </c>
      <c r="D6934">
        <v>7492.3</v>
      </c>
      <c r="E6934" t="s">
        <v>30</v>
      </c>
    </row>
    <row r="6935" spans="1:13" x14ac:dyDescent="0.2">
      <c r="C6935" t="b">
        <v>0</v>
      </c>
      <c r="D6935">
        <v>7412.23</v>
      </c>
      <c r="E6935" t="s">
        <v>30</v>
      </c>
    </row>
    <row r="6936" spans="1:13" x14ac:dyDescent="0.2">
      <c r="C6936" t="b">
        <v>0</v>
      </c>
      <c r="D6936">
        <v>8102.64</v>
      </c>
      <c r="E6936" t="s">
        <v>30</v>
      </c>
    </row>
    <row r="6937" spans="1:13" x14ac:dyDescent="0.2">
      <c r="C6937" t="b">
        <v>0</v>
      </c>
      <c r="D6937">
        <v>7752.48</v>
      </c>
      <c r="E6937" t="s">
        <v>30</v>
      </c>
    </row>
    <row r="6938" spans="1:13" x14ac:dyDescent="0.2">
      <c r="C6938" t="b">
        <v>0</v>
      </c>
      <c r="D6938">
        <v>7432.19</v>
      </c>
      <c r="E6938" t="s">
        <v>30</v>
      </c>
    </row>
    <row r="6939" spans="1:13" x14ac:dyDescent="0.2">
      <c r="C6939" t="b">
        <v>0</v>
      </c>
      <c r="D6939">
        <v>7692.37</v>
      </c>
      <c r="E6939" t="s">
        <v>30</v>
      </c>
    </row>
    <row r="6940" spans="1:13" x14ac:dyDescent="0.2">
      <c r="A6940" t="s">
        <v>0</v>
      </c>
    </row>
    <row r="6941" spans="1:13" x14ac:dyDescent="0.2">
      <c r="B6941" t="s">
        <v>1</v>
      </c>
      <c r="C6941" t="s">
        <v>2</v>
      </c>
      <c r="D6941" t="s">
        <v>3</v>
      </c>
      <c r="E6941" t="s">
        <v>4</v>
      </c>
      <c r="F6941" t="s">
        <v>5</v>
      </c>
      <c r="G6941" t="s">
        <v>6</v>
      </c>
    </row>
    <row r="6942" spans="1:13" x14ac:dyDescent="0.2">
      <c r="B6942" t="b">
        <v>0</v>
      </c>
      <c r="C6942" t="s">
        <v>458</v>
      </c>
      <c r="D6942" t="s">
        <v>459</v>
      </c>
      <c r="E6942" t="s">
        <v>0</v>
      </c>
      <c r="G6942" t="s">
        <v>460</v>
      </c>
    </row>
    <row r="6943" spans="1:13" x14ac:dyDescent="0.2">
      <c r="B6943" t="s">
        <v>11</v>
      </c>
    </row>
    <row r="6944" spans="1:13" x14ac:dyDescent="0.2">
      <c r="B6944" t="s">
        <v>12</v>
      </c>
      <c r="C6944" t="s">
        <v>13</v>
      </c>
      <c r="D6944" t="s">
        <v>14</v>
      </c>
      <c r="E6944" t="s">
        <v>15</v>
      </c>
      <c r="F6944" t="s">
        <v>16</v>
      </c>
      <c r="G6944" t="s">
        <v>17</v>
      </c>
      <c r="H6944" t="s">
        <v>18</v>
      </c>
      <c r="I6944" t="s">
        <v>19</v>
      </c>
      <c r="J6944" t="s">
        <v>20</v>
      </c>
      <c r="K6944" t="s">
        <v>21</v>
      </c>
      <c r="L6944" t="s">
        <v>22</v>
      </c>
      <c r="M6944" t="s">
        <v>23</v>
      </c>
    </row>
    <row r="6945" spans="2:13" x14ac:dyDescent="0.2">
      <c r="B6945" t="s">
        <v>24</v>
      </c>
      <c r="C6945">
        <v>59</v>
      </c>
      <c r="E6945" t="s">
        <v>25</v>
      </c>
      <c r="F6945">
        <v>76146.19</v>
      </c>
      <c r="G6945">
        <v>1.8</v>
      </c>
      <c r="H6945">
        <v>2.3E-2</v>
      </c>
      <c r="I6945" t="s">
        <v>26</v>
      </c>
      <c r="J6945">
        <v>1.8</v>
      </c>
      <c r="K6945">
        <v>0.1</v>
      </c>
      <c r="L6945">
        <v>7</v>
      </c>
    </row>
    <row r="6946" spans="2:13" x14ac:dyDescent="0.2">
      <c r="C6946" t="s">
        <v>27</v>
      </c>
    </row>
    <row r="6947" spans="2:13" x14ac:dyDescent="0.2">
      <c r="C6947" t="s">
        <v>28</v>
      </c>
      <c r="D6947" t="s">
        <v>16</v>
      </c>
      <c r="E6947" t="s">
        <v>29</v>
      </c>
      <c r="F6947" t="s">
        <v>18</v>
      </c>
    </row>
    <row r="6948" spans="2:13" x14ac:dyDescent="0.2">
      <c r="C6948" t="b">
        <v>0</v>
      </c>
      <c r="D6948">
        <v>76507.55</v>
      </c>
      <c r="E6948" t="s">
        <v>30</v>
      </c>
      <c r="F6948">
        <v>2.4E-2</v>
      </c>
    </row>
    <row r="6949" spans="2:13" x14ac:dyDescent="0.2">
      <c r="C6949" t="b">
        <v>0</v>
      </c>
      <c r="D6949">
        <v>75131.27</v>
      </c>
      <c r="E6949" t="s">
        <v>30</v>
      </c>
      <c r="F6949">
        <v>2.3E-2</v>
      </c>
    </row>
    <row r="6950" spans="2:13" x14ac:dyDescent="0.2">
      <c r="C6950" t="b">
        <v>0</v>
      </c>
      <c r="D6950">
        <v>74759.64</v>
      </c>
      <c r="E6950" t="s">
        <v>30</v>
      </c>
      <c r="F6950">
        <v>2.3E-2</v>
      </c>
    </row>
    <row r="6951" spans="2:13" x14ac:dyDescent="0.2">
      <c r="C6951" t="b">
        <v>0</v>
      </c>
      <c r="D6951">
        <v>78277.960000000006</v>
      </c>
      <c r="E6951" t="s">
        <v>30</v>
      </c>
      <c r="F6951">
        <v>2.4E-2</v>
      </c>
    </row>
    <row r="6952" spans="2:13" x14ac:dyDescent="0.2">
      <c r="C6952" t="b">
        <v>0</v>
      </c>
      <c r="D6952">
        <v>75240.820000000007</v>
      </c>
      <c r="E6952" t="s">
        <v>30</v>
      </c>
      <c r="F6952">
        <v>2.3E-2</v>
      </c>
    </row>
    <row r="6953" spans="2:13" x14ac:dyDescent="0.2">
      <c r="C6953" t="b">
        <v>0</v>
      </c>
      <c r="D6953">
        <v>77654.509999999995</v>
      </c>
      <c r="E6953" t="s">
        <v>30</v>
      </c>
      <c r="F6953">
        <v>2.4E-2</v>
      </c>
    </row>
    <row r="6954" spans="2:13" x14ac:dyDescent="0.2">
      <c r="C6954" t="b">
        <v>0</v>
      </c>
      <c r="D6954">
        <v>75451.570000000007</v>
      </c>
      <c r="E6954" t="s">
        <v>30</v>
      </c>
      <c r="F6954">
        <v>2.3E-2</v>
      </c>
    </row>
    <row r="6955" spans="2:13" x14ac:dyDescent="0.2">
      <c r="B6955" t="s">
        <v>11</v>
      </c>
    </row>
    <row r="6956" spans="2:13" x14ac:dyDescent="0.2">
      <c r="B6956" t="s">
        <v>12</v>
      </c>
      <c r="C6956" t="s">
        <v>13</v>
      </c>
      <c r="D6956" t="s">
        <v>14</v>
      </c>
      <c r="E6956" t="s">
        <v>15</v>
      </c>
      <c r="F6956" t="s">
        <v>16</v>
      </c>
      <c r="G6956" t="s">
        <v>17</v>
      </c>
      <c r="H6956" t="s">
        <v>18</v>
      </c>
      <c r="I6956" t="s">
        <v>19</v>
      </c>
      <c r="J6956" t="s">
        <v>20</v>
      </c>
      <c r="K6956" t="s">
        <v>21</v>
      </c>
      <c r="L6956" t="s">
        <v>22</v>
      </c>
      <c r="M6956" t="s">
        <v>23</v>
      </c>
    </row>
    <row r="6957" spans="2:13" x14ac:dyDescent="0.2">
      <c r="B6957" t="s">
        <v>31</v>
      </c>
      <c r="C6957">
        <v>45</v>
      </c>
      <c r="E6957" t="s">
        <v>25</v>
      </c>
      <c r="F6957">
        <v>1500.13</v>
      </c>
      <c r="G6957">
        <v>14.7</v>
      </c>
      <c r="K6957">
        <v>0.1</v>
      </c>
      <c r="L6957">
        <v>7</v>
      </c>
      <c r="M6957">
        <v>115.6</v>
      </c>
    </row>
    <row r="6958" spans="2:13" x14ac:dyDescent="0.2">
      <c r="C6958" t="s">
        <v>27</v>
      </c>
    </row>
    <row r="6959" spans="2:13" x14ac:dyDescent="0.2">
      <c r="C6959" t="s">
        <v>28</v>
      </c>
      <c r="D6959" t="s">
        <v>16</v>
      </c>
      <c r="E6959" t="s">
        <v>29</v>
      </c>
      <c r="F6959" t="s">
        <v>18</v>
      </c>
    </row>
    <row r="6960" spans="2:13" x14ac:dyDescent="0.2">
      <c r="C6960" t="b">
        <v>0</v>
      </c>
      <c r="D6960">
        <v>1350.1</v>
      </c>
      <c r="E6960" t="s">
        <v>30</v>
      </c>
    </row>
    <row r="6961" spans="2:13" x14ac:dyDescent="0.2">
      <c r="C6961" t="b">
        <v>0</v>
      </c>
      <c r="D6961">
        <v>1470.12</v>
      </c>
      <c r="E6961" t="s">
        <v>30</v>
      </c>
    </row>
    <row r="6962" spans="2:13" x14ac:dyDescent="0.2">
      <c r="C6962" t="b">
        <v>0</v>
      </c>
      <c r="D6962">
        <v>1540.15</v>
      </c>
      <c r="E6962" t="s">
        <v>30</v>
      </c>
    </row>
    <row r="6963" spans="2:13" x14ac:dyDescent="0.2">
      <c r="C6963" t="b">
        <v>0</v>
      </c>
      <c r="D6963">
        <v>1640.16</v>
      </c>
      <c r="E6963" t="s">
        <v>30</v>
      </c>
    </row>
    <row r="6964" spans="2:13" x14ac:dyDescent="0.2">
      <c r="C6964" t="b">
        <v>0</v>
      </c>
      <c r="D6964">
        <v>1870.19</v>
      </c>
      <c r="E6964" t="s">
        <v>30</v>
      </c>
    </row>
    <row r="6965" spans="2:13" x14ac:dyDescent="0.2">
      <c r="C6965" t="b">
        <v>0</v>
      </c>
      <c r="D6965">
        <v>1460.13</v>
      </c>
      <c r="E6965" t="s">
        <v>30</v>
      </c>
    </row>
    <row r="6966" spans="2:13" x14ac:dyDescent="0.2">
      <c r="C6966" t="b">
        <v>0</v>
      </c>
      <c r="D6966">
        <v>1170.08</v>
      </c>
      <c r="E6966" t="s">
        <v>30</v>
      </c>
    </row>
    <row r="6967" spans="2:13" x14ac:dyDescent="0.2">
      <c r="B6967" t="s">
        <v>11</v>
      </c>
    </row>
    <row r="6968" spans="2:13" x14ac:dyDescent="0.2">
      <c r="B6968" t="s">
        <v>12</v>
      </c>
      <c r="C6968" t="s">
        <v>13</v>
      </c>
      <c r="D6968" t="s">
        <v>14</v>
      </c>
      <c r="E6968" t="s">
        <v>15</v>
      </c>
      <c r="F6968" t="s">
        <v>16</v>
      </c>
      <c r="G6968" t="s">
        <v>17</v>
      </c>
      <c r="H6968" t="s">
        <v>18</v>
      </c>
      <c r="I6968" t="s">
        <v>19</v>
      </c>
      <c r="J6968" t="s">
        <v>20</v>
      </c>
      <c r="K6968" t="s">
        <v>21</v>
      </c>
      <c r="L6968" t="s">
        <v>22</v>
      </c>
      <c r="M6968" t="s">
        <v>23</v>
      </c>
    </row>
    <row r="6969" spans="2:13" x14ac:dyDescent="0.2">
      <c r="B6969" t="s">
        <v>32</v>
      </c>
      <c r="C6969">
        <v>72</v>
      </c>
      <c r="E6969" t="s">
        <v>25</v>
      </c>
      <c r="F6969">
        <v>1311.54</v>
      </c>
      <c r="G6969">
        <v>15.6</v>
      </c>
      <c r="K6969">
        <v>0.1</v>
      </c>
      <c r="L6969">
        <v>7</v>
      </c>
      <c r="M6969">
        <v>95</v>
      </c>
    </row>
    <row r="6970" spans="2:13" x14ac:dyDescent="0.2">
      <c r="C6970" t="s">
        <v>27</v>
      </c>
    </row>
    <row r="6971" spans="2:13" x14ac:dyDescent="0.2">
      <c r="C6971" t="s">
        <v>28</v>
      </c>
      <c r="D6971" t="s">
        <v>16</v>
      </c>
      <c r="E6971" t="s">
        <v>29</v>
      </c>
      <c r="F6971" t="s">
        <v>18</v>
      </c>
    </row>
    <row r="6972" spans="2:13" x14ac:dyDescent="0.2">
      <c r="C6972" t="b">
        <v>0</v>
      </c>
      <c r="D6972">
        <v>1360.12</v>
      </c>
      <c r="E6972" t="s">
        <v>30</v>
      </c>
    </row>
    <row r="6973" spans="2:13" x14ac:dyDescent="0.2">
      <c r="C6973" t="b">
        <v>0</v>
      </c>
      <c r="D6973">
        <v>1370.12</v>
      </c>
      <c r="E6973" t="s">
        <v>30</v>
      </c>
    </row>
    <row r="6974" spans="2:13" x14ac:dyDescent="0.2">
      <c r="C6974" t="b">
        <v>0</v>
      </c>
      <c r="D6974">
        <v>1190.0999999999999</v>
      </c>
      <c r="E6974" t="s">
        <v>30</v>
      </c>
    </row>
    <row r="6975" spans="2:13" x14ac:dyDescent="0.2">
      <c r="C6975" t="b">
        <v>0</v>
      </c>
      <c r="D6975">
        <v>1110.0899999999999</v>
      </c>
      <c r="E6975" t="s">
        <v>30</v>
      </c>
    </row>
    <row r="6976" spans="2:13" x14ac:dyDescent="0.2">
      <c r="C6976" t="b">
        <v>0</v>
      </c>
      <c r="D6976">
        <v>1050.08</v>
      </c>
      <c r="E6976" t="s">
        <v>30</v>
      </c>
    </row>
    <row r="6977" spans="1:13" x14ac:dyDescent="0.2">
      <c r="C6977" t="b">
        <v>0</v>
      </c>
      <c r="D6977">
        <v>1490.12</v>
      </c>
      <c r="E6977" t="s">
        <v>30</v>
      </c>
    </row>
    <row r="6978" spans="1:13" x14ac:dyDescent="0.2">
      <c r="C6978" t="b">
        <v>0</v>
      </c>
      <c r="D6978">
        <v>1610.14</v>
      </c>
      <c r="E6978" t="s">
        <v>30</v>
      </c>
    </row>
    <row r="6979" spans="1:13" x14ac:dyDescent="0.2">
      <c r="B6979" t="s">
        <v>11</v>
      </c>
    </row>
    <row r="6980" spans="1:13" x14ac:dyDescent="0.2">
      <c r="B6980" t="s">
        <v>12</v>
      </c>
      <c r="C6980" t="s">
        <v>13</v>
      </c>
      <c r="D6980" t="s">
        <v>14</v>
      </c>
      <c r="E6980" t="s">
        <v>15</v>
      </c>
      <c r="F6980" t="s">
        <v>16</v>
      </c>
      <c r="G6980" t="s">
        <v>17</v>
      </c>
      <c r="H6980" t="s">
        <v>18</v>
      </c>
      <c r="I6980" t="s">
        <v>19</v>
      </c>
      <c r="J6980" t="s">
        <v>20</v>
      </c>
      <c r="K6980" t="s">
        <v>21</v>
      </c>
      <c r="L6980" t="s">
        <v>22</v>
      </c>
      <c r="M6980" t="s">
        <v>23</v>
      </c>
    </row>
    <row r="6981" spans="1:13" x14ac:dyDescent="0.2">
      <c r="B6981" t="s">
        <v>33</v>
      </c>
      <c r="C6981">
        <v>89</v>
      </c>
      <c r="E6981" t="s">
        <v>25</v>
      </c>
      <c r="F6981">
        <v>7806.77</v>
      </c>
      <c r="G6981">
        <v>9.4</v>
      </c>
      <c r="K6981">
        <v>0.1</v>
      </c>
      <c r="L6981">
        <v>7</v>
      </c>
      <c r="M6981">
        <v>103.6</v>
      </c>
    </row>
    <row r="6982" spans="1:13" x14ac:dyDescent="0.2">
      <c r="C6982" t="s">
        <v>27</v>
      </c>
    </row>
    <row r="6983" spans="1:13" x14ac:dyDescent="0.2">
      <c r="C6983" t="s">
        <v>28</v>
      </c>
      <c r="D6983" t="s">
        <v>16</v>
      </c>
      <c r="E6983" t="s">
        <v>29</v>
      </c>
      <c r="F6983" t="s">
        <v>18</v>
      </c>
    </row>
    <row r="6984" spans="1:13" x14ac:dyDescent="0.2">
      <c r="C6984" t="b">
        <v>0</v>
      </c>
      <c r="D6984">
        <v>7832.47</v>
      </c>
      <c r="E6984" t="s">
        <v>30</v>
      </c>
    </row>
    <row r="6985" spans="1:13" x14ac:dyDescent="0.2">
      <c r="C6985" t="b">
        <v>0</v>
      </c>
      <c r="D6985">
        <v>7132.03</v>
      </c>
      <c r="E6985" t="s">
        <v>30</v>
      </c>
    </row>
    <row r="6986" spans="1:13" x14ac:dyDescent="0.2">
      <c r="C6986" t="b">
        <v>0</v>
      </c>
      <c r="D6986">
        <v>7182.1</v>
      </c>
      <c r="E6986" t="s">
        <v>30</v>
      </c>
    </row>
    <row r="6987" spans="1:13" x14ac:dyDescent="0.2">
      <c r="C6987" t="b">
        <v>0</v>
      </c>
      <c r="D6987">
        <v>7632.38</v>
      </c>
      <c r="E6987" t="s">
        <v>30</v>
      </c>
    </row>
    <row r="6988" spans="1:13" x14ac:dyDescent="0.2">
      <c r="C6988" t="b">
        <v>0</v>
      </c>
      <c r="D6988">
        <v>7242.07</v>
      </c>
      <c r="E6988" t="s">
        <v>30</v>
      </c>
    </row>
    <row r="6989" spans="1:13" x14ac:dyDescent="0.2">
      <c r="C6989" t="b">
        <v>0</v>
      </c>
      <c r="D6989">
        <v>8793.16</v>
      </c>
      <c r="E6989" t="s">
        <v>30</v>
      </c>
    </row>
    <row r="6990" spans="1:13" x14ac:dyDescent="0.2">
      <c r="C6990" t="b">
        <v>0</v>
      </c>
      <c r="D6990">
        <v>8833.2000000000007</v>
      </c>
      <c r="E6990" t="s">
        <v>30</v>
      </c>
    </row>
    <row r="6991" spans="1:13" x14ac:dyDescent="0.2">
      <c r="A6991" t="s">
        <v>0</v>
      </c>
    </row>
    <row r="6992" spans="1:13" x14ac:dyDescent="0.2">
      <c r="B6992" t="s">
        <v>1</v>
      </c>
      <c r="C6992" t="s">
        <v>2</v>
      </c>
      <c r="D6992" t="s">
        <v>3</v>
      </c>
      <c r="E6992" t="s">
        <v>4</v>
      </c>
      <c r="F6992" t="s">
        <v>5</v>
      </c>
      <c r="G6992" t="s">
        <v>6</v>
      </c>
    </row>
    <row r="6993" spans="1:13" x14ac:dyDescent="0.2">
      <c r="A6993" t="s">
        <v>341</v>
      </c>
      <c r="B6993" t="b">
        <v>0</v>
      </c>
      <c r="C6993" t="s">
        <v>461</v>
      </c>
      <c r="D6993" t="s">
        <v>462</v>
      </c>
      <c r="E6993" t="s">
        <v>0</v>
      </c>
      <c r="G6993" t="s">
        <v>463</v>
      </c>
    </row>
    <row r="6994" spans="1:13" x14ac:dyDescent="0.2">
      <c r="B6994" t="s">
        <v>11</v>
      </c>
    </row>
    <row r="6995" spans="1:13" x14ac:dyDescent="0.2">
      <c r="B6995" t="s">
        <v>12</v>
      </c>
      <c r="C6995" t="s">
        <v>13</v>
      </c>
      <c r="D6995" t="s">
        <v>14</v>
      </c>
      <c r="E6995" t="s">
        <v>15</v>
      </c>
      <c r="F6995" t="s">
        <v>16</v>
      </c>
      <c r="G6995" t="s">
        <v>17</v>
      </c>
      <c r="H6995" t="s">
        <v>18</v>
      </c>
      <c r="I6995" t="s">
        <v>19</v>
      </c>
      <c r="J6995" t="s">
        <v>20</v>
      </c>
      <c r="K6995" t="s">
        <v>21</v>
      </c>
      <c r="L6995" t="s">
        <v>22</v>
      </c>
      <c r="M6995" t="s">
        <v>23</v>
      </c>
    </row>
    <row r="6996" spans="1:13" x14ac:dyDescent="0.2">
      <c r="B6996" t="s">
        <v>24</v>
      </c>
      <c r="C6996">
        <v>59</v>
      </c>
      <c r="E6996" t="s">
        <v>25</v>
      </c>
      <c r="F6996">
        <v>645690.68999999994</v>
      </c>
      <c r="G6996">
        <v>1</v>
      </c>
      <c r="H6996">
        <v>0.19900000000000001</v>
      </c>
      <c r="I6996" t="s">
        <v>26</v>
      </c>
      <c r="J6996">
        <v>1</v>
      </c>
      <c r="K6996">
        <v>0.1</v>
      </c>
      <c r="L6996">
        <v>7</v>
      </c>
    </row>
    <row r="6997" spans="1:13" x14ac:dyDescent="0.2">
      <c r="C6997" t="s">
        <v>27</v>
      </c>
    </row>
    <row r="6998" spans="1:13" x14ac:dyDescent="0.2">
      <c r="C6998" t="s">
        <v>28</v>
      </c>
      <c r="D6998" t="s">
        <v>16</v>
      </c>
      <c r="E6998" t="s">
        <v>29</v>
      </c>
      <c r="F6998" t="s">
        <v>18</v>
      </c>
    </row>
    <row r="6999" spans="1:13" x14ac:dyDescent="0.2">
      <c r="C6999" t="b">
        <v>0</v>
      </c>
      <c r="D6999">
        <v>648742.41</v>
      </c>
      <c r="E6999" t="s">
        <v>30</v>
      </c>
      <c r="F6999">
        <v>0.2</v>
      </c>
    </row>
    <row r="7000" spans="1:13" x14ac:dyDescent="0.2">
      <c r="C7000" t="b">
        <v>0</v>
      </c>
      <c r="D7000">
        <v>653674.76</v>
      </c>
      <c r="E7000" t="s">
        <v>30</v>
      </c>
      <c r="F7000">
        <v>0.20100000000000001</v>
      </c>
    </row>
    <row r="7001" spans="1:13" x14ac:dyDescent="0.2">
      <c r="C7001" t="b">
        <v>0</v>
      </c>
      <c r="D7001">
        <v>639528</v>
      </c>
      <c r="E7001" t="s">
        <v>30</v>
      </c>
      <c r="F7001">
        <v>0.19700000000000001</v>
      </c>
    </row>
    <row r="7002" spans="1:13" x14ac:dyDescent="0.2">
      <c r="C7002" t="b">
        <v>0</v>
      </c>
      <c r="D7002">
        <v>652774.52</v>
      </c>
      <c r="E7002" t="s">
        <v>30</v>
      </c>
      <c r="F7002">
        <v>0.20100000000000001</v>
      </c>
    </row>
    <row r="7003" spans="1:13" x14ac:dyDescent="0.2">
      <c r="C7003" t="b">
        <v>0</v>
      </c>
      <c r="D7003">
        <v>637743.27</v>
      </c>
      <c r="E7003" t="s">
        <v>30</v>
      </c>
      <c r="F7003">
        <v>0.19700000000000001</v>
      </c>
    </row>
    <row r="7004" spans="1:13" x14ac:dyDescent="0.2">
      <c r="C7004" t="b">
        <v>0</v>
      </c>
      <c r="D7004">
        <v>640883.27</v>
      </c>
      <c r="E7004" t="s">
        <v>30</v>
      </c>
      <c r="F7004">
        <v>0.19800000000000001</v>
      </c>
    </row>
    <row r="7005" spans="1:13" x14ac:dyDescent="0.2">
      <c r="C7005" t="b">
        <v>0</v>
      </c>
      <c r="D7005">
        <v>646488.62</v>
      </c>
      <c r="E7005" t="s">
        <v>30</v>
      </c>
      <c r="F7005">
        <v>0.19900000000000001</v>
      </c>
    </row>
    <row r="7006" spans="1:13" x14ac:dyDescent="0.2">
      <c r="B7006" t="s">
        <v>11</v>
      </c>
    </row>
    <row r="7007" spans="1:13" x14ac:dyDescent="0.2">
      <c r="B7007" t="s">
        <v>12</v>
      </c>
      <c r="C7007" t="s">
        <v>13</v>
      </c>
      <c r="D7007" t="s">
        <v>14</v>
      </c>
      <c r="E7007" t="s">
        <v>15</v>
      </c>
      <c r="F7007" t="s">
        <v>16</v>
      </c>
      <c r="G7007" t="s">
        <v>17</v>
      </c>
      <c r="H7007" t="s">
        <v>18</v>
      </c>
      <c r="I7007" t="s">
        <v>19</v>
      </c>
      <c r="J7007" t="s">
        <v>20</v>
      </c>
      <c r="K7007" t="s">
        <v>21</v>
      </c>
      <c r="L7007" t="s">
        <v>22</v>
      </c>
      <c r="M7007" t="s">
        <v>23</v>
      </c>
    </row>
    <row r="7008" spans="1:13" x14ac:dyDescent="0.2">
      <c r="B7008" t="s">
        <v>31</v>
      </c>
      <c r="C7008">
        <v>45</v>
      </c>
      <c r="E7008" t="s">
        <v>25</v>
      </c>
      <c r="F7008">
        <v>1563</v>
      </c>
      <c r="G7008">
        <v>8</v>
      </c>
      <c r="K7008">
        <v>0.1</v>
      </c>
      <c r="L7008">
        <v>7</v>
      </c>
      <c r="M7008">
        <v>120.5</v>
      </c>
    </row>
    <row r="7009" spans="2:13" x14ac:dyDescent="0.2">
      <c r="C7009" t="s">
        <v>27</v>
      </c>
    </row>
    <row r="7010" spans="2:13" x14ac:dyDescent="0.2">
      <c r="C7010" t="s">
        <v>28</v>
      </c>
      <c r="D7010" t="s">
        <v>16</v>
      </c>
      <c r="E7010" t="s">
        <v>29</v>
      </c>
      <c r="F7010" t="s">
        <v>18</v>
      </c>
    </row>
    <row r="7011" spans="2:13" x14ac:dyDescent="0.2">
      <c r="C7011" t="b">
        <v>0</v>
      </c>
      <c r="D7011">
        <v>1540.13</v>
      </c>
      <c r="E7011" t="s">
        <v>30</v>
      </c>
    </row>
    <row r="7012" spans="2:13" x14ac:dyDescent="0.2">
      <c r="C7012" t="b">
        <v>0</v>
      </c>
      <c r="D7012">
        <v>1600.15</v>
      </c>
      <c r="E7012" t="s">
        <v>30</v>
      </c>
    </row>
    <row r="7013" spans="2:13" x14ac:dyDescent="0.2">
      <c r="C7013" t="b">
        <v>0</v>
      </c>
      <c r="D7013">
        <v>1720.16</v>
      </c>
      <c r="E7013" t="s">
        <v>30</v>
      </c>
    </row>
    <row r="7014" spans="2:13" x14ac:dyDescent="0.2">
      <c r="C7014" t="b">
        <v>0</v>
      </c>
      <c r="D7014">
        <v>1530.13</v>
      </c>
      <c r="E7014" t="s">
        <v>30</v>
      </c>
    </row>
    <row r="7015" spans="2:13" x14ac:dyDescent="0.2">
      <c r="C7015" t="b">
        <v>0</v>
      </c>
      <c r="D7015">
        <v>1330.11</v>
      </c>
      <c r="E7015" t="s">
        <v>30</v>
      </c>
    </row>
    <row r="7016" spans="2:13" x14ac:dyDescent="0.2">
      <c r="C7016" t="b">
        <v>0</v>
      </c>
      <c r="D7016">
        <v>1670.17</v>
      </c>
      <c r="E7016" t="s">
        <v>30</v>
      </c>
    </row>
    <row r="7017" spans="2:13" x14ac:dyDescent="0.2">
      <c r="C7017" t="b">
        <v>0</v>
      </c>
      <c r="D7017">
        <v>1550.15</v>
      </c>
      <c r="E7017" t="s">
        <v>30</v>
      </c>
    </row>
    <row r="7018" spans="2:13" x14ac:dyDescent="0.2">
      <c r="B7018" t="s">
        <v>11</v>
      </c>
    </row>
    <row r="7019" spans="2:13" x14ac:dyDescent="0.2">
      <c r="B7019" t="s">
        <v>12</v>
      </c>
      <c r="C7019" t="s">
        <v>13</v>
      </c>
      <c r="D7019" t="s">
        <v>14</v>
      </c>
      <c r="E7019" t="s">
        <v>15</v>
      </c>
      <c r="F7019" t="s">
        <v>16</v>
      </c>
      <c r="G7019" t="s">
        <v>17</v>
      </c>
      <c r="H7019" t="s">
        <v>18</v>
      </c>
      <c r="I7019" t="s">
        <v>19</v>
      </c>
      <c r="J7019" t="s">
        <v>20</v>
      </c>
      <c r="K7019" t="s">
        <v>21</v>
      </c>
      <c r="L7019" t="s">
        <v>22</v>
      </c>
      <c r="M7019" t="s">
        <v>23</v>
      </c>
    </row>
    <row r="7020" spans="2:13" x14ac:dyDescent="0.2">
      <c r="B7020" t="s">
        <v>32</v>
      </c>
      <c r="C7020">
        <v>72</v>
      </c>
      <c r="E7020" t="s">
        <v>25</v>
      </c>
      <c r="F7020">
        <v>1480.13</v>
      </c>
      <c r="G7020">
        <v>7.2</v>
      </c>
      <c r="K7020">
        <v>0.1</v>
      </c>
      <c r="L7020">
        <v>7</v>
      </c>
      <c r="M7020">
        <v>107.2</v>
      </c>
    </row>
    <row r="7021" spans="2:13" x14ac:dyDescent="0.2">
      <c r="C7021" t="s">
        <v>27</v>
      </c>
    </row>
    <row r="7022" spans="2:13" x14ac:dyDescent="0.2">
      <c r="C7022" t="s">
        <v>28</v>
      </c>
      <c r="D7022" t="s">
        <v>16</v>
      </c>
      <c r="E7022" t="s">
        <v>29</v>
      </c>
      <c r="F7022" t="s">
        <v>18</v>
      </c>
    </row>
    <row r="7023" spans="2:13" x14ac:dyDescent="0.2">
      <c r="C7023" t="b">
        <v>0</v>
      </c>
      <c r="D7023">
        <v>1380.12</v>
      </c>
      <c r="E7023" t="s">
        <v>30</v>
      </c>
    </row>
    <row r="7024" spans="2:13" x14ac:dyDescent="0.2">
      <c r="C7024" t="b">
        <v>0</v>
      </c>
      <c r="D7024">
        <v>1600.15</v>
      </c>
      <c r="E7024" t="s">
        <v>30</v>
      </c>
    </row>
    <row r="7025" spans="2:13" x14ac:dyDescent="0.2">
      <c r="C7025" t="b">
        <v>0</v>
      </c>
      <c r="D7025">
        <v>1610.15</v>
      </c>
      <c r="E7025" t="s">
        <v>30</v>
      </c>
    </row>
    <row r="7026" spans="2:13" x14ac:dyDescent="0.2">
      <c r="C7026" t="b">
        <v>0</v>
      </c>
      <c r="D7026">
        <v>1540.13</v>
      </c>
      <c r="E7026" t="s">
        <v>30</v>
      </c>
    </row>
    <row r="7027" spans="2:13" x14ac:dyDescent="0.2">
      <c r="C7027" t="b">
        <v>0</v>
      </c>
      <c r="D7027">
        <v>1340.11</v>
      </c>
      <c r="E7027" t="s">
        <v>30</v>
      </c>
    </row>
    <row r="7028" spans="2:13" x14ac:dyDescent="0.2">
      <c r="C7028" t="b">
        <v>0</v>
      </c>
      <c r="D7028">
        <v>1470.13</v>
      </c>
      <c r="E7028" t="s">
        <v>30</v>
      </c>
    </row>
    <row r="7029" spans="2:13" x14ac:dyDescent="0.2">
      <c r="C7029" t="b">
        <v>0</v>
      </c>
      <c r="D7029">
        <v>1420.11</v>
      </c>
      <c r="E7029" t="s">
        <v>30</v>
      </c>
    </row>
    <row r="7030" spans="2:13" x14ac:dyDescent="0.2">
      <c r="B7030" t="s">
        <v>11</v>
      </c>
    </row>
    <row r="7031" spans="2:13" x14ac:dyDescent="0.2">
      <c r="B7031" t="s">
        <v>12</v>
      </c>
      <c r="C7031" t="s">
        <v>13</v>
      </c>
      <c r="D7031" t="s">
        <v>14</v>
      </c>
      <c r="E7031" t="s">
        <v>15</v>
      </c>
      <c r="F7031" t="s">
        <v>16</v>
      </c>
      <c r="G7031" t="s">
        <v>17</v>
      </c>
      <c r="H7031" t="s">
        <v>18</v>
      </c>
      <c r="I7031" t="s">
        <v>19</v>
      </c>
      <c r="J7031" t="s">
        <v>20</v>
      </c>
      <c r="K7031" t="s">
        <v>21</v>
      </c>
      <c r="L7031" t="s">
        <v>22</v>
      </c>
      <c r="M7031" t="s">
        <v>23</v>
      </c>
    </row>
    <row r="7032" spans="2:13" x14ac:dyDescent="0.2">
      <c r="B7032" t="s">
        <v>33</v>
      </c>
      <c r="C7032">
        <v>89</v>
      </c>
      <c r="E7032" t="s">
        <v>25</v>
      </c>
      <c r="F7032">
        <v>8544.3700000000008</v>
      </c>
      <c r="G7032">
        <v>3.6</v>
      </c>
      <c r="K7032">
        <v>0.1</v>
      </c>
      <c r="L7032">
        <v>7</v>
      </c>
      <c r="M7032">
        <v>113.4</v>
      </c>
    </row>
    <row r="7033" spans="2:13" x14ac:dyDescent="0.2">
      <c r="C7033" t="s">
        <v>27</v>
      </c>
    </row>
    <row r="7034" spans="2:13" x14ac:dyDescent="0.2">
      <c r="C7034" t="s">
        <v>28</v>
      </c>
      <c r="D7034" t="s">
        <v>16</v>
      </c>
      <c r="E7034" t="s">
        <v>29</v>
      </c>
      <c r="F7034" t="s">
        <v>18</v>
      </c>
    </row>
    <row r="7035" spans="2:13" x14ac:dyDescent="0.2">
      <c r="C7035" t="b">
        <v>0</v>
      </c>
      <c r="D7035">
        <v>8142.68</v>
      </c>
      <c r="E7035" t="s">
        <v>30</v>
      </c>
    </row>
    <row r="7036" spans="2:13" x14ac:dyDescent="0.2">
      <c r="C7036" t="b">
        <v>0</v>
      </c>
      <c r="D7036">
        <v>8472.9599999999991</v>
      </c>
      <c r="E7036" t="s">
        <v>30</v>
      </c>
    </row>
    <row r="7037" spans="2:13" x14ac:dyDescent="0.2">
      <c r="C7037" t="b">
        <v>0</v>
      </c>
      <c r="D7037">
        <v>8282.7099999999991</v>
      </c>
      <c r="E7037" t="s">
        <v>30</v>
      </c>
    </row>
    <row r="7038" spans="2:13" x14ac:dyDescent="0.2">
      <c r="C7038" t="b">
        <v>0</v>
      </c>
      <c r="D7038">
        <v>8332.7999999999993</v>
      </c>
      <c r="E7038" t="s">
        <v>30</v>
      </c>
    </row>
    <row r="7039" spans="2:13" x14ac:dyDescent="0.2">
      <c r="C7039" t="b">
        <v>0</v>
      </c>
      <c r="D7039">
        <v>8873.1200000000008</v>
      </c>
      <c r="E7039" t="s">
        <v>30</v>
      </c>
    </row>
    <row r="7040" spans="2:13" x14ac:dyDescent="0.2">
      <c r="C7040" t="b">
        <v>0</v>
      </c>
      <c r="D7040">
        <v>8883.19</v>
      </c>
      <c r="E7040" t="s">
        <v>30</v>
      </c>
    </row>
    <row r="7041" spans="1:13" x14ac:dyDescent="0.2">
      <c r="C7041" t="b">
        <v>0</v>
      </c>
      <c r="D7041">
        <v>8823.14</v>
      </c>
      <c r="E7041" t="s">
        <v>30</v>
      </c>
    </row>
    <row r="7042" spans="1:13" x14ac:dyDescent="0.2">
      <c r="A7042" t="s">
        <v>0</v>
      </c>
    </row>
    <row r="7043" spans="1:13" x14ac:dyDescent="0.2">
      <c r="B7043" t="s">
        <v>1</v>
      </c>
      <c r="C7043" t="s">
        <v>2</v>
      </c>
      <c r="D7043" t="s">
        <v>3</v>
      </c>
      <c r="E7043" t="s">
        <v>4</v>
      </c>
      <c r="F7043" t="s">
        <v>5</v>
      </c>
      <c r="G7043" t="s">
        <v>6</v>
      </c>
    </row>
    <row r="7044" spans="1:13" x14ac:dyDescent="0.2">
      <c r="B7044" t="b">
        <v>0</v>
      </c>
      <c r="C7044" t="s">
        <v>464</v>
      </c>
      <c r="D7044" t="s">
        <v>465</v>
      </c>
      <c r="E7044" t="s">
        <v>9</v>
      </c>
      <c r="G7044" t="s">
        <v>146</v>
      </c>
    </row>
    <row r="7045" spans="1:13" x14ac:dyDescent="0.2">
      <c r="B7045" t="s">
        <v>11</v>
      </c>
    </row>
    <row r="7046" spans="1:13" x14ac:dyDescent="0.2">
      <c r="B7046" t="s">
        <v>12</v>
      </c>
      <c r="C7046" t="s">
        <v>13</v>
      </c>
      <c r="D7046" t="s">
        <v>14</v>
      </c>
      <c r="E7046" t="s">
        <v>15</v>
      </c>
      <c r="F7046" t="s">
        <v>16</v>
      </c>
      <c r="G7046" t="s">
        <v>17</v>
      </c>
      <c r="H7046" t="s">
        <v>18</v>
      </c>
      <c r="I7046" t="s">
        <v>19</v>
      </c>
      <c r="J7046" t="s">
        <v>20</v>
      </c>
      <c r="K7046" t="s">
        <v>21</v>
      </c>
      <c r="L7046" t="s">
        <v>22</v>
      </c>
      <c r="M7046" t="s">
        <v>23</v>
      </c>
    </row>
    <row r="7047" spans="1:13" x14ac:dyDescent="0.2">
      <c r="B7047" t="s">
        <v>24</v>
      </c>
      <c r="C7047">
        <v>59</v>
      </c>
      <c r="E7047" t="s">
        <v>25</v>
      </c>
      <c r="F7047">
        <v>264.3</v>
      </c>
      <c r="G7047">
        <v>23.3</v>
      </c>
      <c r="H7047">
        <v>0</v>
      </c>
      <c r="I7047" t="s">
        <v>26</v>
      </c>
      <c r="J7047">
        <v>27.3</v>
      </c>
      <c r="K7047">
        <v>0.1</v>
      </c>
      <c r="L7047">
        <v>7</v>
      </c>
    </row>
    <row r="7048" spans="1:13" x14ac:dyDescent="0.2">
      <c r="C7048" t="s">
        <v>27</v>
      </c>
    </row>
    <row r="7049" spans="1:13" x14ac:dyDescent="0.2">
      <c r="C7049" t="s">
        <v>28</v>
      </c>
      <c r="D7049" t="s">
        <v>16</v>
      </c>
      <c r="E7049" t="s">
        <v>29</v>
      </c>
      <c r="F7049" t="s">
        <v>18</v>
      </c>
    </row>
    <row r="7050" spans="1:13" x14ac:dyDescent="0.2">
      <c r="C7050" t="b">
        <v>0</v>
      </c>
      <c r="D7050">
        <v>190.01</v>
      </c>
      <c r="E7050" t="s">
        <v>30</v>
      </c>
      <c r="F7050">
        <v>0</v>
      </c>
    </row>
    <row r="7051" spans="1:13" x14ac:dyDescent="0.2">
      <c r="C7051" t="b">
        <v>0</v>
      </c>
      <c r="D7051">
        <v>300.01</v>
      </c>
      <c r="E7051" t="s">
        <v>30</v>
      </c>
      <c r="F7051">
        <v>0</v>
      </c>
    </row>
    <row r="7052" spans="1:13" x14ac:dyDescent="0.2">
      <c r="C7052" t="b">
        <v>0</v>
      </c>
      <c r="D7052">
        <v>310.01</v>
      </c>
      <c r="E7052" t="s">
        <v>30</v>
      </c>
      <c r="F7052">
        <v>0</v>
      </c>
    </row>
    <row r="7053" spans="1:13" x14ac:dyDescent="0.2">
      <c r="C7053" t="b">
        <v>0</v>
      </c>
      <c r="D7053">
        <v>290.01</v>
      </c>
      <c r="E7053" t="s">
        <v>30</v>
      </c>
      <c r="F7053">
        <v>0</v>
      </c>
    </row>
    <row r="7054" spans="1:13" x14ac:dyDescent="0.2">
      <c r="C7054" t="b">
        <v>0</v>
      </c>
      <c r="D7054">
        <v>170.01</v>
      </c>
      <c r="E7054" t="s">
        <v>30</v>
      </c>
      <c r="F7054">
        <v>0</v>
      </c>
    </row>
    <row r="7055" spans="1:13" x14ac:dyDescent="0.2">
      <c r="C7055" t="b">
        <v>0</v>
      </c>
      <c r="D7055">
        <v>330.02</v>
      </c>
      <c r="E7055" t="s">
        <v>30</v>
      </c>
      <c r="F7055">
        <v>0</v>
      </c>
    </row>
    <row r="7056" spans="1:13" x14ac:dyDescent="0.2">
      <c r="C7056" t="b">
        <v>0</v>
      </c>
      <c r="D7056">
        <v>260.01</v>
      </c>
      <c r="E7056" t="s">
        <v>30</v>
      </c>
      <c r="F7056">
        <v>0</v>
      </c>
    </row>
    <row r="7057" spans="2:13" x14ac:dyDescent="0.2">
      <c r="B7057" t="s">
        <v>11</v>
      </c>
    </row>
    <row r="7058" spans="2:13" x14ac:dyDescent="0.2">
      <c r="B7058" t="s">
        <v>12</v>
      </c>
      <c r="C7058" t="s">
        <v>13</v>
      </c>
      <c r="D7058" t="s">
        <v>14</v>
      </c>
      <c r="E7058" t="s">
        <v>15</v>
      </c>
      <c r="F7058" t="s">
        <v>16</v>
      </c>
      <c r="G7058" t="s">
        <v>17</v>
      </c>
      <c r="H7058" t="s">
        <v>18</v>
      </c>
      <c r="I7058" t="s">
        <v>19</v>
      </c>
      <c r="J7058" t="s">
        <v>20</v>
      </c>
      <c r="K7058" t="s">
        <v>21</v>
      </c>
      <c r="L7058" t="s">
        <v>22</v>
      </c>
      <c r="M7058" t="s">
        <v>23</v>
      </c>
    </row>
    <row r="7059" spans="2:13" x14ac:dyDescent="0.2">
      <c r="B7059" t="s">
        <v>31</v>
      </c>
      <c r="C7059">
        <v>45</v>
      </c>
      <c r="E7059" t="s">
        <v>25</v>
      </c>
      <c r="F7059">
        <v>1437.26</v>
      </c>
      <c r="G7059">
        <v>9.9</v>
      </c>
      <c r="K7059">
        <v>0.1</v>
      </c>
      <c r="L7059">
        <v>7</v>
      </c>
      <c r="M7059">
        <v>110.8</v>
      </c>
    </row>
    <row r="7060" spans="2:13" x14ac:dyDescent="0.2">
      <c r="C7060" t="s">
        <v>27</v>
      </c>
    </row>
    <row r="7061" spans="2:13" x14ac:dyDescent="0.2">
      <c r="C7061" t="s">
        <v>28</v>
      </c>
      <c r="D7061" t="s">
        <v>16</v>
      </c>
      <c r="E7061" t="s">
        <v>29</v>
      </c>
      <c r="F7061" t="s">
        <v>18</v>
      </c>
    </row>
    <row r="7062" spans="2:13" x14ac:dyDescent="0.2">
      <c r="C7062" t="b">
        <v>0</v>
      </c>
      <c r="D7062">
        <v>1500.13</v>
      </c>
      <c r="E7062" t="s">
        <v>30</v>
      </c>
    </row>
    <row r="7063" spans="2:13" x14ac:dyDescent="0.2">
      <c r="C7063" t="b">
        <v>0</v>
      </c>
      <c r="D7063">
        <v>1180.08</v>
      </c>
      <c r="E7063" t="s">
        <v>30</v>
      </c>
    </row>
    <row r="7064" spans="2:13" x14ac:dyDescent="0.2">
      <c r="C7064" t="b">
        <v>0</v>
      </c>
      <c r="D7064">
        <v>1600.14</v>
      </c>
      <c r="E7064" t="s">
        <v>30</v>
      </c>
    </row>
    <row r="7065" spans="2:13" x14ac:dyDescent="0.2">
      <c r="C7065" t="b">
        <v>0</v>
      </c>
      <c r="D7065">
        <v>1390.12</v>
      </c>
      <c r="E7065" t="s">
        <v>30</v>
      </c>
    </row>
    <row r="7066" spans="2:13" x14ac:dyDescent="0.2">
      <c r="C7066" t="b">
        <v>0</v>
      </c>
      <c r="D7066">
        <v>1380.11</v>
      </c>
      <c r="E7066" t="s">
        <v>30</v>
      </c>
    </row>
    <row r="7067" spans="2:13" x14ac:dyDescent="0.2">
      <c r="C7067" t="b">
        <v>0</v>
      </c>
      <c r="D7067">
        <v>1430.12</v>
      </c>
      <c r="E7067" t="s">
        <v>30</v>
      </c>
    </row>
    <row r="7068" spans="2:13" x14ac:dyDescent="0.2">
      <c r="C7068" t="b">
        <v>0</v>
      </c>
      <c r="D7068">
        <v>1580.15</v>
      </c>
      <c r="E7068" t="s">
        <v>30</v>
      </c>
    </row>
    <row r="7069" spans="2:13" x14ac:dyDescent="0.2">
      <c r="B7069" t="s">
        <v>11</v>
      </c>
    </row>
    <row r="7070" spans="2:13" x14ac:dyDescent="0.2">
      <c r="B7070" t="s">
        <v>12</v>
      </c>
      <c r="C7070" t="s">
        <v>13</v>
      </c>
      <c r="D7070" t="s">
        <v>14</v>
      </c>
      <c r="E7070" t="s">
        <v>15</v>
      </c>
      <c r="F7070" t="s">
        <v>16</v>
      </c>
      <c r="G7070" t="s">
        <v>17</v>
      </c>
      <c r="H7070" t="s">
        <v>18</v>
      </c>
      <c r="I7070" t="s">
        <v>19</v>
      </c>
      <c r="J7070" t="s">
        <v>20</v>
      </c>
      <c r="K7070" t="s">
        <v>21</v>
      </c>
      <c r="L7070" t="s">
        <v>22</v>
      </c>
      <c r="M7070" t="s">
        <v>23</v>
      </c>
    </row>
    <row r="7071" spans="2:13" x14ac:dyDescent="0.2">
      <c r="B7071" t="s">
        <v>32</v>
      </c>
      <c r="C7071">
        <v>72</v>
      </c>
      <c r="E7071" t="s">
        <v>25</v>
      </c>
      <c r="F7071">
        <v>1431.56</v>
      </c>
      <c r="G7071">
        <v>6.7</v>
      </c>
      <c r="K7071">
        <v>0.1</v>
      </c>
      <c r="L7071">
        <v>7</v>
      </c>
      <c r="M7071">
        <v>103.7</v>
      </c>
    </row>
    <row r="7072" spans="2:13" x14ac:dyDescent="0.2">
      <c r="C7072" t="s">
        <v>27</v>
      </c>
    </row>
    <row r="7073" spans="2:13" x14ac:dyDescent="0.2">
      <c r="C7073" t="s">
        <v>28</v>
      </c>
      <c r="D7073" t="s">
        <v>16</v>
      </c>
      <c r="E7073" t="s">
        <v>29</v>
      </c>
      <c r="F7073" t="s">
        <v>18</v>
      </c>
    </row>
    <row r="7074" spans="2:13" x14ac:dyDescent="0.2">
      <c r="C7074" t="b">
        <v>0</v>
      </c>
      <c r="D7074">
        <v>1430.12</v>
      </c>
      <c r="E7074" t="s">
        <v>30</v>
      </c>
    </row>
    <row r="7075" spans="2:13" x14ac:dyDescent="0.2">
      <c r="C7075" t="b">
        <v>0</v>
      </c>
      <c r="D7075">
        <v>1460.14</v>
      </c>
      <c r="E7075" t="s">
        <v>30</v>
      </c>
    </row>
    <row r="7076" spans="2:13" x14ac:dyDescent="0.2">
      <c r="C7076" t="b">
        <v>0</v>
      </c>
      <c r="D7076">
        <v>1380.15</v>
      </c>
      <c r="E7076" t="s">
        <v>30</v>
      </c>
    </row>
    <row r="7077" spans="2:13" x14ac:dyDescent="0.2">
      <c r="C7077" t="b">
        <v>0</v>
      </c>
      <c r="D7077">
        <v>1290.0999999999999</v>
      </c>
      <c r="E7077" t="s">
        <v>30</v>
      </c>
    </row>
    <row r="7078" spans="2:13" x14ac:dyDescent="0.2">
      <c r="C7078" t="b">
        <v>0</v>
      </c>
      <c r="D7078">
        <v>1380.12</v>
      </c>
      <c r="E7078" t="s">
        <v>30</v>
      </c>
    </row>
    <row r="7079" spans="2:13" x14ac:dyDescent="0.2">
      <c r="C7079" t="b">
        <v>0</v>
      </c>
      <c r="D7079">
        <v>1490.14</v>
      </c>
      <c r="E7079" t="s">
        <v>30</v>
      </c>
    </row>
    <row r="7080" spans="2:13" x14ac:dyDescent="0.2">
      <c r="C7080" t="b">
        <v>0</v>
      </c>
      <c r="D7080">
        <v>1590.14</v>
      </c>
      <c r="E7080" t="s">
        <v>30</v>
      </c>
    </row>
    <row r="7081" spans="2:13" x14ac:dyDescent="0.2">
      <c r="B7081" t="s">
        <v>11</v>
      </c>
    </row>
    <row r="7082" spans="2:13" x14ac:dyDescent="0.2">
      <c r="B7082" t="s">
        <v>12</v>
      </c>
      <c r="C7082" t="s">
        <v>13</v>
      </c>
      <c r="D7082" t="s">
        <v>14</v>
      </c>
      <c r="E7082" t="s">
        <v>15</v>
      </c>
      <c r="F7082" t="s">
        <v>16</v>
      </c>
      <c r="G7082" t="s">
        <v>17</v>
      </c>
      <c r="H7082" t="s">
        <v>18</v>
      </c>
      <c r="I7082" t="s">
        <v>19</v>
      </c>
      <c r="J7082" t="s">
        <v>20</v>
      </c>
      <c r="K7082" t="s">
        <v>21</v>
      </c>
      <c r="L7082" t="s">
        <v>22</v>
      </c>
      <c r="M7082" t="s">
        <v>23</v>
      </c>
    </row>
    <row r="7083" spans="2:13" x14ac:dyDescent="0.2">
      <c r="B7083" t="s">
        <v>33</v>
      </c>
      <c r="C7083">
        <v>89</v>
      </c>
      <c r="E7083" t="s">
        <v>25</v>
      </c>
      <c r="F7083">
        <v>8279.9</v>
      </c>
      <c r="G7083">
        <v>5.0999999999999996</v>
      </c>
      <c r="K7083">
        <v>0.1</v>
      </c>
      <c r="L7083">
        <v>7</v>
      </c>
      <c r="M7083">
        <v>109.9</v>
      </c>
    </row>
    <row r="7084" spans="2:13" x14ac:dyDescent="0.2">
      <c r="C7084" t="s">
        <v>27</v>
      </c>
    </row>
    <row r="7085" spans="2:13" x14ac:dyDescent="0.2">
      <c r="C7085" t="s">
        <v>28</v>
      </c>
      <c r="D7085" t="s">
        <v>16</v>
      </c>
      <c r="E7085" t="s">
        <v>29</v>
      </c>
      <c r="F7085" t="s">
        <v>18</v>
      </c>
    </row>
    <row r="7086" spans="2:13" x14ac:dyDescent="0.2">
      <c r="C7086" t="b">
        <v>0</v>
      </c>
      <c r="D7086">
        <v>8012.57</v>
      </c>
      <c r="E7086" t="s">
        <v>30</v>
      </c>
    </row>
    <row r="7087" spans="2:13" x14ac:dyDescent="0.2">
      <c r="C7087" t="b">
        <v>0</v>
      </c>
      <c r="D7087">
        <v>7512.29</v>
      </c>
      <c r="E7087" t="s">
        <v>30</v>
      </c>
    </row>
    <row r="7088" spans="2:13" x14ac:dyDescent="0.2">
      <c r="C7088" t="b">
        <v>0</v>
      </c>
      <c r="D7088">
        <v>8262.76</v>
      </c>
      <c r="E7088" t="s">
        <v>30</v>
      </c>
    </row>
    <row r="7089" spans="1:13" x14ac:dyDescent="0.2">
      <c r="C7089" t="b">
        <v>0</v>
      </c>
      <c r="D7089">
        <v>8372.7900000000009</v>
      </c>
      <c r="E7089" t="s">
        <v>30</v>
      </c>
    </row>
    <row r="7090" spans="1:13" x14ac:dyDescent="0.2">
      <c r="C7090" t="b">
        <v>0</v>
      </c>
      <c r="D7090">
        <v>8332.7800000000007</v>
      </c>
      <c r="E7090" t="s">
        <v>30</v>
      </c>
    </row>
    <row r="7091" spans="1:13" x14ac:dyDescent="0.2">
      <c r="C7091" t="b">
        <v>0</v>
      </c>
      <c r="D7091">
        <v>8793.07</v>
      </c>
      <c r="E7091" t="s">
        <v>30</v>
      </c>
    </row>
    <row r="7092" spans="1:13" x14ac:dyDescent="0.2">
      <c r="C7092" t="b">
        <v>0</v>
      </c>
      <c r="D7092">
        <v>8673.02</v>
      </c>
      <c r="E7092" t="s">
        <v>30</v>
      </c>
    </row>
    <row r="7093" spans="1:13" x14ac:dyDescent="0.2">
      <c r="A7093" t="s">
        <v>0</v>
      </c>
    </row>
    <row r="7094" spans="1:13" x14ac:dyDescent="0.2">
      <c r="B7094" t="s">
        <v>1</v>
      </c>
      <c r="C7094" t="s">
        <v>2</v>
      </c>
      <c r="D7094" t="s">
        <v>3</v>
      </c>
      <c r="E7094" t="s">
        <v>4</v>
      </c>
      <c r="F7094" t="s">
        <v>5</v>
      </c>
      <c r="G7094" t="s">
        <v>6</v>
      </c>
    </row>
    <row r="7095" spans="1:13" x14ac:dyDescent="0.2">
      <c r="B7095" t="b">
        <v>0</v>
      </c>
      <c r="C7095" t="s">
        <v>466</v>
      </c>
      <c r="D7095" t="s">
        <v>467</v>
      </c>
      <c r="E7095" t="s">
        <v>150</v>
      </c>
      <c r="G7095" t="s">
        <v>352</v>
      </c>
    </row>
    <row r="7096" spans="1:13" x14ac:dyDescent="0.2">
      <c r="B7096" t="s">
        <v>11</v>
      </c>
    </row>
    <row r="7097" spans="1:13" x14ac:dyDescent="0.2">
      <c r="B7097" t="s">
        <v>12</v>
      </c>
      <c r="C7097" t="s">
        <v>13</v>
      </c>
      <c r="D7097" t="s">
        <v>14</v>
      </c>
      <c r="E7097" t="s">
        <v>15</v>
      </c>
      <c r="F7097" t="s">
        <v>16</v>
      </c>
      <c r="G7097" t="s">
        <v>17</v>
      </c>
      <c r="H7097" t="s">
        <v>18</v>
      </c>
      <c r="I7097" t="s">
        <v>19</v>
      </c>
      <c r="J7097" t="s">
        <v>20</v>
      </c>
      <c r="K7097" t="s">
        <v>21</v>
      </c>
      <c r="L7097" t="s">
        <v>22</v>
      </c>
      <c r="M7097" t="s">
        <v>23</v>
      </c>
    </row>
    <row r="7098" spans="1:13" x14ac:dyDescent="0.2">
      <c r="B7098" t="s">
        <v>24</v>
      </c>
      <c r="C7098">
        <v>59</v>
      </c>
      <c r="E7098" t="s">
        <v>25</v>
      </c>
      <c r="F7098">
        <v>3827552.31</v>
      </c>
      <c r="G7098">
        <v>1.8</v>
      </c>
      <c r="H7098">
        <v>1.18</v>
      </c>
      <c r="I7098" t="s">
        <v>26</v>
      </c>
      <c r="J7098">
        <v>1.8</v>
      </c>
      <c r="K7098">
        <v>0.1</v>
      </c>
      <c r="L7098">
        <v>7</v>
      </c>
    </row>
    <row r="7099" spans="1:13" x14ac:dyDescent="0.2">
      <c r="C7099" t="s">
        <v>27</v>
      </c>
    </row>
    <row r="7100" spans="1:13" x14ac:dyDescent="0.2">
      <c r="C7100" t="s">
        <v>28</v>
      </c>
      <c r="D7100" t="s">
        <v>16</v>
      </c>
      <c r="E7100" t="s">
        <v>29</v>
      </c>
      <c r="F7100" t="s">
        <v>18</v>
      </c>
    </row>
    <row r="7101" spans="1:13" x14ac:dyDescent="0.2">
      <c r="C7101" t="b">
        <v>0</v>
      </c>
      <c r="D7101">
        <v>3739087.44</v>
      </c>
      <c r="E7101" t="s">
        <v>67</v>
      </c>
      <c r="F7101">
        <v>1.1519999999999999</v>
      </c>
    </row>
    <row r="7102" spans="1:13" x14ac:dyDescent="0.2">
      <c r="C7102" t="b">
        <v>0</v>
      </c>
      <c r="D7102">
        <v>3844330.88</v>
      </c>
      <c r="E7102" t="s">
        <v>67</v>
      </c>
      <c r="F7102">
        <v>1.1850000000000001</v>
      </c>
    </row>
    <row r="7103" spans="1:13" x14ac:dyDescent="0.2">
      <c r="C7103" t="b">
        <v>0</v>
      </c>
      <c r="D7103">
        <v>3834771.51</v>
      </c>
      <c r="E7103" t="s">
        <v>67</v>
      </c>
      <c r="F7103">
        <v>1.1819999999999999</v>
      </c>
    </row>
    <row r="7104" spans="1:13" x14ac:dyDescent="0.2">
      <c r="C7104" t="b">
        <v>0</v>
      </c>
      <c r="D7104">
        <v>3883645.88</v>
      </c>
      <c r="E7104" t="s">
        <v>67</v>
      </c>
      <c r="F7104">
        <v>1.1970000000000001</v>
      </c>
    </row>
    <row r="7105" spans="2:13" x14ac:dyDescent="0.2">
      <c r="C7105" t="b">
        <v>0</v>
      </c>
      <c r="D7105">
        <v>3843702.76</v>
      </c>
      <c r="E7105" t="s">
        <v>67</v>
      </c>
      <c r="F7105">
        <v>1.1850000000000001</v>
      </c>
    </row>
    <row r="7106" spans="2:13" x14ac:dyDescent="0.2">
      <c r="C7106" t="b">
        <v>0</v>
      </c>
      <c r="D7106">
        <v>3918607.44</v>
      </c>
      <c r="E7106" t="s">
        <v>67</v>
      </c>
      <c r="F7106">
        <v>1.208</v>
      </c>
    </row>
    <row r="7107" spans="2:13" x14ac:dyDescent="0.2">
      <c r="C7107" t="b">
        <v>0</v>
      </c>
      <c r="D7107">
        <v>3728720.26</v>
      </c>
      <c r="E7107" t="s">
        <v>67</v>
      </c>
      <c r="F7107">
        <v>1.149</v>
      </c>
    </row>
    <row r="7108" spans="2:13" x14ac:dyDescent="0.2">
      <c r="B7108" t="s">
        <v>11</v>
      </c>
    </row>
    <row r="7109" spans="2:13" x14ac:dyDescent="0.2">
      <c r="B7109" t="s">
        <v>12</v>
      </c>
      <c r="C7109" t="s">
        <v>13</v>
      </c>
      <c r="D7109" t="s">
        <v>14</v>
      </c>
      <c r="E7109" t="s">
        <v>15</v>
      </c>
      <c r="F7109" t="s">
        <v>16</v>
      </c>
      <c r="G7109" t="s">
        <v>17</v>
      </c>
      <c r="H7109" t="s">
        <v>18</v>
      </c>
      <c r="I7109" t="s">
        <v>19</v>
      </c>
      <c r="J7109" t="s">
        <v>20</v>
      </c>
      <c r="K7109" t="s">
        <v>21</v>
      </c>
      <c r="L7109" t="s">
        <v>22</v>
      </c>
      <c r="M7109" t="s">
        <v>23</v>
      </c>
    </row>
    <row r="7110" spans="2:13" x14ac:dyDescent="0.2">
      <c r="B7110" t="s">
        <v>31</v>
      </c>
      <c r="C7110">
        <v>45</v>
      </c>
      <c r="E7110" t="s">
        <v>25</v>
      </c>
      <c r="F7110">
        <v>1477.27</v>
      </c>
      <c r="G7110">
        <v>9</v>
      </c>
      <c r="K7110">
        <v>0.1</v>
      </c>
      <c r="L7110">
        <v>7</v>
      </c>
      <c r="M7110">
        <v>113.9</v>
      </c>
    </row>
    <row r="7111" spans="2:13" x14ac:dyDescent="0.2">
      <c r="C7111" t="s">
        <v>27</v>
      </c>
    </row>
    <row r="7112" spans="2:13" x14ac:dyDescent="0.2">
      <c r="C7112" t="s">
        <v>28</v>
      </c>
      <c r="D7112" t="s">
        <v>16</v>
      </c>
      <c r="E7112" t="s">
        <v>29</v>
      </c>
      <c r="F7112" t="s">
        <v>18</v>
      </c>
    </row>
    <row r="7113" spans="2:13" x14ac:dyDescent="0.2">
      <c r="C7113" t="b">
        <v>0</v>
      </c>
      <c r="D7113">
        <v>1390.1</v>
      </c>
      <c r="E7113" t="s">
        <v>30</v>
      </c>
    </row>
    <row r="7114" spans="2:13" x14ac:dyDescent="0.2">
      <c r="C7114" t="b">
        <v>0</v>
      </c>
      <c r="D7114">
        <v>1680.18</v>
      </c>
      <c r="E7114" t="s">
        <v>30</v>
      </c>
    </row>
    <row r="7115" spans="2:13" x14ac:dyDescent="0.2">
      <c r="C7115" t="b">
        <v>0</v>
      </c>
      <c r="D7115">
        <v>1420.12</v>
      </c>
      <c r="E7115" t="s">
        <v>30</v>
      </c>
    </row>
    <row r="7116" spans="2:13" x14ac:dyDescent="0.2">
      <c r="C7116" t="b">
        <v>0</v>
      </c>
      <c r="D7116">
        <v>1640.14</v>
      </c>
      <c r="E7116" t="s">
        <v>30</v>
      </c>
    </row>
    <row r="7117" spans="2:13" x14ac:dyDescent="0.2">
      <c r="C7117" t="b">
        <v>0</v>
      </c>
      <c r="D7117">
        <v>1370.12</v>
      </c>
      <c r="E7117" t="s">
        <v>30</v>
      </c>
    </row>
    <row r="7118" spans="2:13" x14ac:dyDescent="0.2">
      <c r="C7118" t="b">
        <v>0</v>
      </c>
      <c r="D7118">
        <v>1490.14</v>
      </c>
      <c r="E7118" t="s">
        <v>30</v>
      </c>
    </row>
    <row r="7119" spans="2:13" x14ac:dyDescent="0.2">
      <c r="C7119" t="b">
        <v>0</v>
      </c>
      <c r="D7119">
        <v>1350.1</v>
      </c>
      <c r="E7119" t="s">
        <v>30</v>
      </c>
    </row>
    <row r="7120" spans="2:13" x14ac:dyDescent="0.2">
      <c r="B7120" t="s">
        <v>11</v>
      </c>
    </row>
    <row r="7121" spans="2:13" x14ac:dyDescent="0.2">
      <c r="B7121" t="s">
        <v>12</v>
      </c>
      <c r="C7121" t="s">
        <v>13</v>
      </c>
      <c r="D7121" t="s">
        <v>14</v>
      </c>
      <c r="E7121" t="s">
        <v>15</v>
      </c>
      <c r="F7121" t="s">
        <v>16</v>
      </c>
      <c r="G7121" t="s">
        <v>17</v>
      </c>
      <c r="H7121" t="s">
        <v>18</v>
      </c>
      <c r="I7121" t="s">
        <v>19</v>
      </c>
      <c r="J7121" t="s">
        <v>20</v>
      </c>
      <c r="K7121" t="s">
        <v>21</v>
      </c>
      <c r="L7121" t="s">
        <v>22</v>
      </c>
      <c r="M7121" t="s">
        <v>23</v>
      </c>
    </row>
    <row r="7122" spans="2:13" x14ac:dyDescent="0.2">
      <c r="B7122" t="s">
        <v>32</v>
      </c>
      <c r="C7122">
        <v>72</v>
      </c>
      <c r="E7122" t="s">
        <v>25</v>
      </c>
      <c r="F7122">
        <v>1647.3</v>
      </c>
      <c r="G7122">
        <v>8</v>
      </c>
      <c r="K7122">
        <v>0.1</v>
      </c>
      <c r="L7122">
        <v>7</v>
      </c>
      <c r="M7122">
        <v>119.4</v>
      </c>
    </row>
    <row r="7123" spans="2:13" x14ac:dyDescent="0.2">
      <c r="C7123" t="s">
        <v>27</v>
      </c>
    </row>
    <row r="7124" spans="2:13" x14ac:dyDescent="0.2">
      <c r="C7124" t="s">
        <v>28</v>
      </c>
      <c r="D7124" t="s">
        <v>16</v>
      </c>
      <c r="E7124" t="s">
        <v>29</v>
      </c>
      <c r="F7124" t="s">
        <v>18</v>
      </c>
    </row>
    <row r="7125" spans="2:13" x14ac:dyDescent="0.2">
      <c r="C7125" t="b">
        <v>0</v>
      </c>
      <c r="D7125">
        <v>1670.15</v>
      </c>
      <c r="E7125" t="s">
        <v>30</v>
      </c>
    </row>
    <row r="7126" spans="2:13" x14ac:dyDescent="0.2">
      <c r="C7126" t="b">
        <v>0</v>
      </c>
      <c r="D7126">
        <v>1750.17</v>
      </c>
      <c r="E7126" t="s">
        <v>30</v>
      </c>
    </row>
    <row r="7127" spans="2:13" x14ac:dyDescent="0.2">
      <c r="C7127" t="b">
        <v>0</v>
      </c>
      <c r="D7127">
        <v>1490.12</v>
      </c>
      <c r="E7127" t="s">
        <v>30</v>
      </c>
    </row>
    <row r="7128" spans="2:13" x14ac:dyDescent="0.2">
      <c r="C7128" t="b">
        <v>0</v>
      </c>
      <c r="D7128">
        <v>1500.14</v>
      </c>
      <c r="E7128" t="s">
        <v>30</v>
      </c>
    </row>
    <row r="7129" spans="2:13" x14ac:dyDescent="0.2">
      <c r="C7129" t="b">
        <v>0</v>
      </c>
      <c r="D7129">
        <v>1840.2</v>
      </c>
      <c r="E7129" t="s">
        <v>30</v>
      </c>
    </row>
    <row r="7130" spans="2:13" x14ac:dyDescent="0.2">
      <c r="C7130" t="b">
        <v>0</v>
      </c>
      <c r="D7130">
        <v>1710.17</v>
      </c>
      <c r="E7130" t="s">
        <v>30</v>
      </c>
    </row>
    <row r="7131" spans="2:13" x14ac:dyDescent="0.2">
      <c r="C7131" t="b">
        <v>0</v>
      </c>
      <c r="D7131">
        <v>1570.15</v>
      </c>
      <c r="E7131" t="s">
        <v>30</v>
      </c>
    </row>
    <row r="7132" spans="2:13" x14ac:dyDescent="0.2">
      <c r="B7132" t="s">
        <v>11</v>
      </c>
    </row>
    <row r="7133" spans="2:13" x14ac:dyDescent="0.2">
      <c r="B7133" t="s">
        <v>12</v>
      </c>
      <c r="C7133" t="s">
        <v>13</v>
      </c>
      <c r="D7133" t="s">
        <v>14</v>
      </c>
      <c r="E7133" t="s">
        <v>15</v>
      </c>
      <c r="F7133" t="s">
        <v>16</v>
      </c>
      <c r="G7133" t="s">
        <v>17</v>
      </c>
      <c r="H7133" t="s">
        <v>18</v>
      </c>
      <c r="I7133" t="s">
        <v>19</v>
      </c>
      <c r="J7133" t="s">
        <v>20</v>
      </c>
      <c r="K7133" t="s">
        <v>21</v>
      </c>
      <c r="L7133" t="s">
        <v>22</v>
      </c>
      <c r="M7133" t="s">
        <v>23</v>
      </c>
    </row>
    <row r="7134" spans="2:13" x14ac:dyDescent="0.2">
      <c r="B7134" t="s">
        <v>33</v>
      </c>
      <c r="C7134">
        <v>89</v>
      </c>
      <c r="E7134" t="s">
        <v>25</v>
      </c>
      <c r="F7134">
        <v>8385.68</v>
      </c>
      <c r="G7134">
        <v>2.5</v>
      </c>
      <c r="K7134">
        <v>0.1</v>
      </c>
      <c r="L7134">
        <v>7</v>
      </c>
      <c r="M7134">
        <v>111.3</v>
      </c>
    </row>
    <row r="7135" spans="2:13" x14ac:dyDescent="0.2">
      <c r="C7135" t="s">
        <v>27</v>
      </c>
    </row>
    <row r="7136" spans="2:13" x14ac:dyDescent="0.2">
      <c r="C7136" t="s">
        <v>28</v>
      </c>
      <c r="D7136" t="s">
        <v>16</v>
      </c>
      <c r="E7136" t="s">
        <v>29</v>
      </c>
      <c r="F7136" t="s">
        <v>18</v>
      </c>
    </row>
    <row r="7137" spans="1:13" x14ac:dyDescent="0.2">
      <c r="C7137" t="b">
        <v>0</v>
      </c>
      <c r="D7137">
        <v>8292.75</v>
      </c>
      <c r="E7137" t="s">
        <v>30</v>
      </c>
    </row>
    <row r="7138" spans="1:13" x14ac:dyDescent="0.2">
      <c r="C7138" t="b">
        <v>0</v>
      </c>
      <c r="D7138">
        <v>8282.73</v>
      </c>
      <c r="E7138" t="s">
        <v>30</v>
      </c>
    </row>
    <row r="7139" spans="1:13" x14ac:dyDescent="0.2">
      <c r="C7139" t="b">
        <v>0</v>
      </c>
      <c r="D7139">
        <v>8212.76</v>
      </c>
      <c r="E7139" t="s">
        <v>30</v>
      </c>
    </row>
    <row r="7140" spans="1:13" x14ac:dyDescent="0.2">
      <c r="C7140" t="b">
        <v>0</v>
      </c>
      <c r="D7140">
        <v>8562.9500000000007</v>
      </c>
      <c r="E7140" t="s">
        <v>30</v>
      </c>
    </row>
    <row r="7141" spans="1:13" x14ac:dyDescent="0.2">
      <c r="C7141" t="b">
        <v>0</v>
      </c>
      <c r="D7141">
        <v>8392.84</v>
      </c>
      <c r="E7141" t="s">
        <v>30</v>
      </c>
    </row>
    <row r="7142" spans="1:13" x14ac:dyDescent="0.2">
      <c r="C7142" t="b">
        <v>0</v>
      </c>
      <c r="D7142">
        <v>8773.0400000000009</v>
      </c>
      <c r="E7142" t="s">
        <v>30</v>
      </c>
    </row>
    <row r="7143" spans="1:13" x14ac:dyDescent="0.2">
      <c r="C7143" t="b">
        <v>0</v>
      </c>
      <c r="D7143">
        <v>8182.7</v>
      </c>
      <c r="E7143" t="s">
        <v>30</v>
      </c>
    </row>
    <row r="7144" spans="1:13" x14ac:dyDescent="0.2">
      <c r="A7144" t="s">
        <v>0</v>
      </c>
    </row>
    <row r="7145" spans="1:13" x14ac:dyDescent="0.2">
      <c r="B7145" t="s">
        <v>1</v>
      </c>
      <c r="C7145" t="s">
        <v>2</v>
      </c>
      <c r="D7145" t="s">
        <v>3</v>
      </c>
      <c r="E7145" t="s">
        <v>4</v>
      </c>
      <c r="F7145" t="s">
        <v>5</v>
      </c>
      <c r="G7145" t="s">
        <v>6</v>
      </c>
    </row>
    <row r="7146" spans="1:13" x14ac:dyDescent="0.2">
      <c r="B7146" t="b">
        <v>0</v>
      </c>
      <c r="C7146" t="s">
        <v>468</v>
      </c>
      <c r="D7146" t="s">
        <v>469</v>
      </c>
      <c r="E7146" t="s">
        <v>9</v>
      </c>
      <c r="G7146" t="s">
        <v>146</v>
      </c>
    </row>
    <row r="7147" spans="1:13" x14ac:dyDescent="0.2">
      <c r="B7147" t="s">
        <v>11</v>
      </c>
    </row>
    <row r="7148" spans="1:13" x14ac:dyDescent="0.2">
      <c r="B7148" t="s">
        <v>12</v>
      </c>
      <c r="C7148" t="s">
        <v>13</v>
      </c>
      <c r="D7148" t="s">
        <v>14</v>
      </c>
      <c r="E7148" t="s">
        <v>15</v>
      </c>
      <c r="F7148" t="s">
        <v>16</v>
      </c>
      <c r="G7148" t="s">
        <v>17</v>
      </c>
      <c r="H7148" t="s">
        <v>18</v>
      </c>
      <c r="I7148" t="s">
        <v>19</v>
      </c>
      <c r="J7148" t="s">
        <v>20</v>
      </c>
      <c r="K7148" t="s">
        <v>21</v>
      </c>
      <c r="L7148" t="s">
        <v>22</v>
      </c>
      <c r="M7148" t="s">
        <v>23</v>
      </c>
    </row>
    <row r="7149" spans="1:13" x14ac:dyDescent="0.2">
      <c r="B7149" t="s">
        <v>24</v>
      </c>
      <c r="C7149">
        <v>59</v>
      </c>
      <c r="E7149" t="s">
        <v>25</v>
      </c>
      <c r="F7149">
        <v>262.87</v>
      </c>
      <c r="G7149">
        <v>13.8</v>
      </c>
      <c r="H7149">
        <v>0</v>
      </c>
      <c r="I7149" t="s">
        <v>26</v>
      </c>
      <c r="J7149">
        <v>16.2</v>
      </c>
      <c r="K7149">
        <v>0.1</v>
      </c>
      <c r="L7149">
        <v>7</v>
      </c>
    </row>
    <row r="7150" spans="1:13" x14ac:dyDescent="0.2">
      <c r="C7150" t="s">
        <v>27</v>
      </c>
    </row>
    <row r="7151" spans="1:13" x14ac:dyDescent="0.2">
      <c r="C7151" t="s">
        <v>28</v>
      </c>
      <c r="D7151" t="s">
        <v>16</v>
      </c>
      <c r="E7151" t="s">
        <v>29</v>
      </c>
      <c r="F7151" t="s">
        <v>18</v>
      </c>
    </row>
    <row r="7152" spans="1:13" x14ac:dyDescent="0.2">
      <c r="C7152" t="b">
        <v>0</v>
      </c>
      <c r="D7152">
        <v>290.02</v>
      </c>
      <c r="E7152" t="s">
        <v>30</v>
      </c>
      <c r="F7152">
        <v>0</v>
      </c>
    </row>
    <row r="7153" spans="2:13" x14ac:dyDescent="0.2">
      <c r="C7153" t="b">
        <v>0</v>
      </c>
      <c r="D7153">
        <v>220.01</v>
      </c>
      <c r="E7153" t="s">
        <v>30</v>
      </c>
      <c r="F7153">
        <v>0</v>
      </c>
    </row>
    <row r="7154" spans="2:13" x14ac:dyDescent="0.2">
      <c r="C7154" t="b">
        <v>0</v>
      </c>
      <c r="D7154">
        <v>210.01</v>
      </c>
      <c r="E7154" t="s">
        <v>30</v>
      </c>
      <c r="F7154">
        <v>0</v>
      </c>
    </row>
    <row r="7155" spans="2:13" x14ac:dyDescent="0.2">
      <c r="C7155" t="b">
        <v>0</v>
      </c>
      <c r="D7155">
        <v>300.01</v>
      </c>
      <c r="E7155" t="s">
        <v>30</v>
      </c>
      <c r="F7155">
        <v>0</v>
      </c>
    </row>
    <row r="7156" spans="2:13" x14ac:dyDescent="0.2">
      <c r="C7156" t="b">
        <v>0</v>
      </c>
      <c r="D7156">
        <v>290.01</v>
      </c>
      <c r="E7156" t="s">
        <v>30</v>
      </c>
      <c r="F7156">
        <v>0</v>
      </c>
    </row>
    <row r="7157" spans="2:13" x14ac:dyDescent="0.2">
      <c r="C7157" t="b">
        <v>0</v>
      </c>
      <c r="D7157">
        <v>280.01</v>
      </c>
      <c r="E7157" t="s">
        <v>30</v>
      </c>
      <c r="F7157">
        <v>0</v>
      </c>
    </row>
    <row r="7158" spans="2:13" x14ac:dyDescent="0.2">
      <c r="C7158" t="b">
        <v>0</v>
      </c>
      <c r="D7158">
        <v>250.01</v>
      </c>
      <c r="E7158" t="s">
        <v>30</v>
      </c>
      <c r="F7158">
        <v>0</v>
      </c>
    </row>
    <row r="7159" spans="2:13" x14ac:dyDescent="0.2">
      <c r="B7159" t="s">
        <v>11</v>
      </c>
    </row>
    <row r="7160" spans="2:13" x14ac:dyDescent="0.2">
      <c r="B7160" t="s">
        <v>12</v>
      </c>
      <c r="C7160" t="s">
        <v>13</v>
      </c>
      <c r="D7160" t="s">
        <v>14</v>
      </c>
      <c r="E7160" t="s">
        <v>15</v>
      </c>
      <c r="F7160" t="s">
        <v>16</v>
      </c>
      <c r="G7160" t="s">
        <v>17</v>
      </c>
      <c r="H7160" t="s">
        <v>18</v>
      </c>
      <c r="I7160" t="s">
        <v>19</v>
      </c>
      <c r="J7160" t="s">
        <v>20</v>
      </c>
      <c r="K7160" t="s">
        <v>21</v>
      </c>
      <c r="L7160" t="s">
        <v>22</v>
      </c>
      <c r="M7160" t="s">
        <v>23</v>
      </c>
    </row>
    <row r="7161" spans="2:13" x14ac:dyDescent="0.2">
      <c r="B7161" t="s">
        <v>31</v>
      </c>
      <c r="C7161">
        <v>45</v>
      </c>
      <c r="E7161" t="s">
        <v>25</v>
      </c>
      <c r="F7161">
        <v>1292.96</v>
      </c>
      <c r="G7161">
        <v>6.1</v>
      </c>
      <c r="K7161">
        <v>0.1</v>
      </c>
      <c r="L7161">
        <v>7</v>
      </c>
      <c r="M7161">
        <v>99.7</v>
      </c>
    </row>
    <row r="7162" spans="2:13" x14ac:dyDescent="0.2">
      <c r="C7162" t="s">
        <v>27</v>
      </c>
    </row>
    <row r="7163" spans="2:13" x14ac:dyDescent="0.2">
      <c r="C7163" t="s">
        <v>28</v>
      </c>
      <c r="D7163" t="s">
        <v>16</v>
      </c>
      <c r="E7163" t="s">
        <v>29</v>
      </c>
      <c r="F7163" t="s">
        <v>18</v>
      </c>
    </row>
    <row r="7164" spans="2:13" x14ac:dyDescent="0.2">
      <c r="C7164" t="b">
        <v>0</v>
      </c>
      <c r="D7164">
        <v>1240.0999999999999</v>
      </c>
      <c r="E7164" t="s">
        <v>30</v>
      </c>
    </row>
    <row r="7165" spans="2:13" x14ac:dyDescent="0.2">
      <c r="C7165" t="b">
        <v>0</v>
      </c>
      <c r="D7165">
        <v>1250.0899999999999</v>
      </c>
      <c r="E7165" t="s">
        <v>30</v>
      </c>
    </row>
    <row r="7166" spans="2:13" x14ac:dyDescent="0.2">
      <c r="C7166" t="b">
        <v>0</v>
      </c>
      <c r="D7166">
        <v>1300.0999999999999</v>
      </c>
      <c r="E7166" t="s">
        <v>30</v>
      </c>
    </row>
    <row r="7167" spans="2:13" x14ac:dyDescent="0.2">
      <c r="C7167" t="b">
        <v>0</v>
      </c>
      <c r="D7167">
        <v>1440.12</v>
      </c>
      <c r="E7167" t="s">
        <v>30</v>
      </c>
    </row>
    <row r="7168" spans="2:13" x14ac:dyDescent="0.2">
      <c r="C7168" t="b">
        <v>0</v>
      </c>
      <c r="D7168">
        <v>1350.1</v>
      </c>
      <c r="E7168" t="s">
        <v>30</v>
      </c>
    </row>
    <row r="7169" spans="2:13" x14ac:dyDescent="0.2">
      <c r="C7169" t="b">
        <v>0</v>
      </c>
      <c r="D7169">
        <v>1220.0899999999999</v>
      </c>
      <c r="E7169" t="s">
        <v>30</v>
      </c>
    </row>
    <row r="7170" spans="2:13" x14ac:dyDescent="0.2">
      <c r="C7170" t="b">
        <v>0</v>
      </c>
      <c r="D7170">
        <v>1250.0899999999999</v>
      </c>
      <c r="E7170" t="s">
        <v>30</v>
      </c>
    </row>
    <row r="7171" spans="2:13" x14ac:dyDescent="0.2">
      <c r="B7171" t="s">
        <v>11</v>
      </c>
    </row>
    <row r="7172" spans="2:13" x14ac:dyDescent="0.2">
      <c r="B7172" t="s">
        <v>12</v>
      </c>
      <c r="C7172" t="s">
        <v>13</v>
      </c>
      <c r="D7172" t="s">
        <v>14</v>
      </c>
      <c r="E7172" t="s">
        <v>15</v>
      </c>
      <c r="F7172" t="s">
        <v>16</v>
      </c>
      <c r="G7172" t="s">
        <v>17</v>
      </c>
      <c r="H7172" t="s">
        <v>18</v>
      </c>
      <c r="I7172" t="s">
        <v>19</v>
      </c>
      <c r="J7172" t="s">
        <v>20</v>
      </c>
      <c r="K7172" t="s">
        <v>21</v>
      </c>
      <c r="L7172" t="s">
        <v>22</v>
      </c>
      <c r="M7172" t="s">
        <v>23</v>
      </c>
    </row>
    <row r="7173" spans="2:13" x14ac:dyDescent="0.2">
      <c r="B7173" t="s">
        <v>32</v>
      </c>
      <c r="C7173">
        <v>72</v>
      </c>
      <c r="E7173" t="s">
        <v>25</v>
      </c>
      <c r="F7173">
        <v>1275.83</v>
      </c>
      <c r="G7173">
        <v>7.6</v>
      </c>
      <c r="K7173">
        <v>0.1</v>
      </c>
      <c r="L7173">
        <v>7</v>
      </c>
      <c r="M7173">
        <v>92.4</v>
      </c>
    </row>
    <row r="7174" spans="2:13" x14ac:dyDescent="0.2">
      <c r="C7174" t="s">
        <v>27</v>
      </c>
    </row>
    <row r="7175" spans="2:13" x14ac:dyDescent="0.2">
      <c r="C7175" t="s">
        <v>28</v>
      </c>
      <c r="D7175" t="s">
        <v>16</v>
      </c>
      <c r="E7175" t="s">
        <v>29</v>
      </c>
      <c r="F7175" t="s">
        <v>18</v>
      </c>
    </row>
    <row r="7176" spans="2:13" x14ac:dyDescent="0.2">
      <c r="C7176" t="b">
        <v>0</v>
      </c>
      <c r="D7176">
        <v>1300.1099999999999</v>
      </c>
      <c r="E7176" t="s">
        <v>30</v>
      </c>
    </row>
    <row r="7177" spans="2:13" x14ac:dyDescent="0.2">
      <c r="C7177" t="b">
        <v>0</v>
      </c>
      <c r="D7177">
        <v>1200.1099999999999</v>
      </c>
      <c r="E7177" t="s">
        <v>30</v>
      </c>
    </row>
    <row r="7178" spans="2:13" x14ac:dyDescent="0.2">
      <c r="C7178" t="b">
        <v>0</v>
      </c>
      <c r="D7178">
        <v>1310.0999999999999</v>
      </c>
      <c r="E7178" t="s">
        <v>30</v>
      </c>
    </row>
    <row r="7179" spans="2:13" x14ac:dyDescent="0.2">
      <c r="C7179" t="b">
        <v>0</v>
      </c>
      <c r="D7179">
        <v>1280.1199999999999</v>
      </c>
      <c r="E7179" t="s">
        <v>30</v>
      </c>
    </row>
    <row r="7180" spans="2:13" x14ac:dyDescent="0.2">
      <c r="C7180" t="b">
        <v>0</v>
      </c>
      <c r="D7180">
        <v>1170.1099999999999</v>
      </c>
      <c r="E7180" t="s">
        <v>30</v>
      </c>
    </row>
    <row r="7181" spans="2:13" x14ac:dyDescent="0.2">
      <c r="C7181" t="b">
        <v>0</v>
      </c>
      <c r="D7181">
        <v>1210.0999999999999</v>
      </c>
      <c r="E7181" t="s">
        <v>30</v>
      </c>
    </row>
    <row r="7182" spans="2:13" x14ac:dyDescent="0.2">
      <c r="C7182" t="b">
        <v>0</v>
      </c>
      <c r="D7182">
        <v>1460.13</v>
      </c>
      <c r="E7182" t="s">
        <v>30</v>
      </c>
    </row>
    <row r="7183" spans="2:13" x14ac:dyDescent="0.2">
      <c r="B7183" t="s">
        <v>11</v>
      </c>
    </row>
    <row r="7184" spans="2:13" x14ac:dyDescent="0.2">
      <c r="B7184" t="s">
        <v>12</v>
      </c>
      <c r="C7184" t="s">
        <v>13</v>
      </c>
      <c r="D7184" t="s">
        <v>14</v>
      </c>
      <c r="E7184" t="s">
        <v>15</v>
      </c>
      <c r="F7184" t="s">
        <v>16</v>
      </c>
      <c r="G7184" t="s">
        <v>17</v>
      </c>
      <c r="H7184" t="s">
        <v>18</v>
      </c>
      <c r="I7184" t="s">
        <v>19</v>
      </c>
      <c r="J7184" t="s">
        <v>20</v>
      </c>
      <c r="K7184" t="s">
        <v>21</v>
      </c>
      <c r="L7184" t="s">
        <v>22</v>
      </c>
      <c r="M7184" t="s">
        <v>23</v>
      </c>
    </row>
    <row r="7185" spans="1:13" x14ac:dyDescent="0.2">
      <c r="B7185" t="s">
        <v>33</v>
      </c>
      <c r="C7185">
        <v>89</v>
      </c>
      <c r="E7185" t="s">
        <v>25</v>
      </c>
      <c r="F7185">
        <v>7336.47</v>
      </c>
      <c r="G7185">
        <v>5.9</v>
      </c>
      <c r="K7185">
        <v>0.1</v>
      </c>
      <c r="L7185">
        <v>7</v>
      </c>
      <c r="M7185">
        <v>97.4</v>
      </c>
    </row>
    <row r="7186" spans="1:13" x14ac:dyDescent="0.2">
      <c r="C7186" t="s">
        <v>27</v>
      </c>
    </row>
    <row r="7187" spans="1:13" x14ac:dyDescent="0.2">
      <c r="C7187" t="s">
        <v>28</v>
      </c>
      <c r="D7187" t="s">
        <v>16</v>
      </c>
      <c r="E7187" t="s">
        <v>29</v>
      </c>
      <c r="F7187" t="s">
        <v>18</v>
      </c>
    </row>
    <row r="7188" spans="1:13" x14ac:dyDescent="0.2">
      <c r="C7188" t="b">
        <v>0</v>
      </c>
      <c r="D7188">
        <v>7902.55</v>
      </c>
      <c r="E7188" t="s">
        <v>30</v>
      </c>
    </row>
    <row r="7189" spans="1:13" x14ac:dyDescent="0.2">
      <c r="C7189" t="b">
        <v>0</v>
      </c>
      <c r="D7189">
        <v>7902.47</v>
      </c>
      <c r="E7189" t="s">
        <v>30</v>
      </c>
    </row>
    <row r="7190" spans="1:13" x14ac:dyDescent="0.2">
      <c r="C7190" t="b">
        <v>0</v>
      </c>
      <c r="D7190">
        <v>6861.92</v>
      </c>
      <c r="E7190" t="s">
        <v>30</v>
      </c>
    </row>
    <row r="7191" spans="1:13" x14ac:dyDescent="0.2">
      <c r="C7191" t="b">
        <v>0</v>
      </c>
      <c r="D7191">
        <v>7272.11</v>
      </c>
      <c r="E7191" t="s">
        <v>30</v>
      </c>
    </row>
    <row r="7192" spans="1:13" x14ac:dyDescent="0.2">
      <c r="C7192" t="b">
        <v>0</v>
      </c>
      <c r="D7192">
        <v>6861.92</v>
      </c>
      <c r="E7192" t="s">
        <v>30</v>
      </c>
    </row>
    <row r="7193" spans="1:13" x14ac:dyDescent="0.2">
      <c r="C7193" t="b">
        <v>0</v>
      </c>
      <c r="D7193">
        <v>7162.07</v>
      </c>
      <c r="E7193" t="s">
        <v>30</v>
      </c>
    </row>
    <row r="7194" spans="1:13" x14ac:dyDescent="0.2">
      <c r="C7194" t="b">
        <v>0</v>
      </c>
      <c r="D7194">
        <v>7392.25</v>
      </c>
      <c r="E7194" t="s">
        <v>30</v>
      </c>
    </row>
    <row r="7195" spans="1:13" x14ac:dyDescent="0.2">
      <c r="A7195" t="s">
        <v>0</v>
      </c>
    </row>
    <row r="7196" spans="1:13" x14ac:dyDescent="0.2">
      <c r="B7196" t="s">
        <v>1</v>
      </c>
      <c r="C7196" t="s">
        <v>2</v>
      </c>
      <c r="D7196" t="s">
        <v>3</v>
      </c>
      <c r="E7196" t="s">
        <v>4</v>
      </c>
      <c r="F7196" t="s">
        <v>5</v>
      </c>
      <c r="G7196" t="s">
        <v>6</v>
      </c>
    </row>
    <row r="7197" spans="1:13" x14ac:dyDescent="0.2">
      <c r="B7197" t="b">
        <v>0</v>
      </c>
      <c r="C7197" t="s">
        <v>470</v>
      </c>
      <c r="D7197" t="s">
        <v>471</v>
      </c>
      <c r="E7197" t="s">
        <v>0</v>
      </c>
      <c r="G7197" t="s">
        <v>472</v>
      </c>
    </row>
    <row r="7198" spans="1:13" x14ac:dyDescent="0.2">
      <c r="B7198" t="s">
        <v>11</v>
      </c>
    </row>
    <row r="7199" spans="1:13" x14ac:dyDescent="0.2">
      <c r="B7199" t="s">
        <v>12</v>
      </c>
      <c r="C7199" t="s">
        <v>13</v>
      </c>
      <c r="D7199" t="s">
        <v>14</v>
      </c>
      <c r="E7199" t="s">
        <v>15</v>
      </c>
      <c r="F7199" t="s">
        <v>16</v>
      </c>
      <c r="G7199" t="s">
        <v>17</v>
      </c>
      <c r="H7199" t="s">
        <v>18</v>
      </c>
      <c r="I7199" t="s">
        <v>19</v>
      </c>
      <c r="J7199" t="s">
        <v>20</v>
      </c>
      <c r="K7199" t="s">
        <v>21</v>
      </c>
      <c r="L7199" t="s">
        <v>22</v>
      </c>
      <c r="M7199" t="s">
        <v>23</v>
      </c>
    </row>
    <row r="7200" spans="1:13" x14ac:dyDescent="0.2">
      <c r="B7200" t="s">
        <v>24</v>
      </c>
      <c r="C7200">
        <v>59</v>
      </c>
      <c r="E7200" t="s">
        <v>25</v>
      </c>
      <c r="F7200">
        <v>602467.02</v>
      </c>
      <c r="G7200">
        <v>0.8</v>
      </c>
      <c r="H7200">
        <v>0.186</v>
      </c>
      <c r="I7200" t="s">
        <v>26</v>
      </c>
      <c r="J7200">
        <v>0.8</v>
      </c>
      <c r="K7200">
        <v>0.1</v>
      </c>
      <c r="L7200">
        <v>7</v>
      </c>
    </row>
    <row r="7201" spans="2:13" x14ac:dyDescent="0.2">
      <c r="C7201" t="s">
        <v>27</v>
      </c>
    </row>
    <row r="7202" spans="2:13" x14ac:dyDescent="0.2">
      <c r="C7202" t="s">
        <v>28</v>
      </c>
      <c r="D7202" t="s">
        <v>16</v>
      </c>
      <c r="E7202" t="s">
        <v>29</v>
      </c>
      <c r="F7202" t="s">
        <v>18</v>
      </c>
    </row>
    <row r="7203" spans="2:13" x14ac:dyDescent="0.2">
      <c r="C7203" t="b">
        <v>0</v>
      </c>
      <c r="D7203">
        <v>597753.62</v>
      </c>
      <c r="E7203" t="s">
        <v>30</v>
      </c>
      <c r="F7203">
        <v>0.184</v>
      </c>
    </row>
    <row r="7204" spans="2:13" x14ac:dyDescent="0.2">
      <c r="C7204" t="b">
        <v>0</v>
      </c>
      <c r="D7204">
        <v>603470.30000000005</v>
      </c>
      <c r="E7204" t="s">
        <v>30</v>
      </c>
      <c r="F7204">
        <v>0.186</v>
      </c>
    </row>
    <row r="7205" spans="2:13" x14ac:dyDescent="0.2">
      <c r="C7205" t="b">
        <v>0</v>
      </c>
      <c r="D7205">
        <v>601853.04</v>
      </c>
      <c r="E7205" t="s">
        <v>30</v>
      </c>
      <c r="F7205">
        <v>0.185</v>
      </c>
    </row>
    <row r="7206" spans="2:13" x14ac:dyDescent="0.2">
      <c r="C7206" t="b">
        <v>0</v>
      </c>
      <c r="D7206">
        <v>605973.43000000005</v>
      </c>
      <c r="E7206" t="s">
        <v>30</v>
      </c>
      <c r="F7206">
        <v>0.187</v>
      </c>
    </row>
    <row r="7207" spans="2:13" x14ac:dyDescent="0.2">
      <c r="C7207" t="b">
        <v>0</v>
      </c>
      <c r="D7207">
        <v>594269.25</v>
      </c>
      <c r="E7207" t="s">
        <v>30</v>
      </c>
      <c r="F7207">
        <v>0.183</v>
      </c>
    </row>
    <row r="7208" spans="2:13" x14ac:dyDescent="0.2">
      <c r="C7208" t="b">
        <v>0</v>
      </c>
      <c r="D7208">
        <v>607506.87</v>
      </c>
      <c r="E7208" t="s">
        <v>30</v>
      </c>
      <c r="F7208">
        <v>0.187</v>
      </c>
    </row>
    <row r="7209" spans="2:13" x14ac:dyDescent="0.2">
      <c r="C7209" t="b">
        <v>0</v>
      </c>
      <c r="D7209">
        <v>606442.65</v>
      </c>
      <c r="E7209" t="s">
        <v>30</v>
      </c>
      <c r="F7209">
        <v>0.187</v>
      </c>
    </row>
    <row r="7210" spans="2:13" x14ac:dyDescent="0.2">
      <c r="B7210" t="s">
        <v>11</v>
      </c>
    </row>
    <row r="7211" spans="2:13" x14ac:dyDescent="0.2">
      <c r="B7211" t="s">
        <v>12</v>
      </c>
      <c r="C7211" t="s">
        <v>13</v>
      </c>
      <c r="D7211" t="s">
        <v>14</v>
      </c>
      <c r="E7211" t="s">
        <v>15</v>
      </c>
      <c r="F7211" t="s">
        <v>16</v>
      </c>
      <c r="G7211" t="s">
        <v>17</v>
      </c>
      <c r="H7211" t="s">
        <v>18</v>
      </c>
      <c r="I7211" t="s">
        <v>19</v>
      </c>
      <c r="J7211" t="s">
        <v>20</v>
      </c>
      <c r="K7211" t="s">
        <v>21</v>
      </c>
      <c r="L7211" t="s">
        <v>22</v>
      </c>
      <c r="M7211" t="s">
        <v>23</v>
      </c>
    </row>
    <row r="7212" spans="2:13" x14ac:dyDescent="0.2">
      <c r="B7212" t="s">
        <v>31</v>
      </c>
      <c r="C7212">
        <v>45</v>
      </c>
      <c r="E7212" t="s">
        <v>25</v>
      </c>
      <c r="F7212">
        <v>1508.7</v>
      </c>
      <c r="G7212">
        <v>11</v>
      </c>
      <c r="K7212">
        <v>0.1</v>
      </c>
      <c r="L7212">
        <v>7</v>
      </c>
      <c r="M7212">
        <v>116.3</v>
      </c>
    </row>
    <row r="7213" spans="2:13" x14ac:dyDescent="0.2">
      <c r="C7213" t="s">
        <v>27</v>
      </c>
    </row>
    <row r="7214" spans="2:13" x14ac:dyDescent="0.2">
      <c r="C7214" t="s">
        <v>28</v>
      </c>
      <c r="D7214" t="s">
        <v>16</v>
      </c>
      <c r="E7214" t="s">
        <v>29</v>
      </c>
      <c r="F7214" t="s">
        <v>18</v>
      </c>
    </row>
    <row r="7215" spans="2:13" x14ac:dyDescent="0.2">
      <c r="C7215" t="b">
        <v>0</v>
      </c>
      <c r="D7215">
        <v>1550.13</v>
      </c>
      <c r="E7215" t="s">
        <v>30</v>
      </c>
    </row>
    <row r="7216" spans="2:13" x14ac:dyDescent="0.2">
      <c r="C7216" t="b">
        <v>0</v>
      </c>
      <c r="D7216">
        <v>1480.13</v>
      </c>
      <c r="E7216" t="s">
        <v>30</v>
      </c>
    </row>
    <row r="7217" spans="2:13" x14ac:dyDescent="0.2">
      <c r="C7217" t="b">
        <v>0</v>
      </c>
      <c r="D7217">
        <v>1200.08</v>
      </c>
      <c r="E7217" t="s">
        <v>30</v>
      </c>
    </row>
    <row r="7218" spans="2:13" x14ac:dyDescent="0.2">
      <c r="C7218" t="b">
        <v>0</v>
      </c>
      <c r="D7218">
        <v>1440.12</v>
      </c>
      <c r="E7218" t="s">
        <v>30</v>
      </c>
    </row>
    <row r="7219" spans="2:13" x14ac:dyDescent="0.2">
      <c r="C7219" t="b">
        <v>0</v>
      </c>
      <c r="D7219">
        <v>1520.13</v>
      </c>
      <c r="E7219" t="s">
        <v>30</v>
      </c>
    </row>
    <row r="7220" spans="2:13" x14ac:dyDescent="0.2">
      <c r="C7220" t="b">
        <v>0</v>
      </c>
      <c r="D7220">
        <v>1690.15</v>
      </c>
      <c r="E7220" t="s">
        <v>30</v>
      </c>
    </row>
    <row r="7221" spans="2:13" x14ac:dyDescent="0.2">
      <c r="C7221" t="b">
        <v>0</v>
      </c>
      <c r="D7221">
        <v>1680.15</v>
      </c>
      <c r="E7221" t="s">
        <v>30</v>
      </c>
    </row>
    <row r="7222" spans="2:13" x14ac:dyDescent="0.2">
      <c r="B7222" t="s">
        <v>11</v>
      </c>
    </row>
    <row r="7223" spans="2:13" x14ac:dyDescent="0.2">
      <c r="B7223" t="s">
        <v>12</v>
      </c>
      <c r="C7223" t="s">
        <v>13</v>
      </c>
      <c r="D7223" t="s">
        <v>14</v>
      </c>
      <c r="E7223" t="s">
        <v>15</v>
      </c>
      <c r="F7223" t="s">
        <v>16</v>
      </c>
      <c r="G7223" t="s">
        <v>17</v>
      </c>
      <c r="H7223" t="s">
        <v>18</v>
      </c>
      <c r="I7223" t="s">
        <v>19</v>
      </c>
      <c r="J7223" t="s">
        <v>20</v>
      </c>
      <c r="K7223" t="s">
        <v>21</v>
      </c>
      <c r="L7223" t="s">
        <v>22</v>
      </c>
      <c r="M7223" t="s">
        <v>23</v>
      </c>
    </row>
    <row r="7224" spans="2:13" x14ac:dyDescent="0.2">
      <c r="B7224" t="s">
        <v>32</v>
      </c>
      <c r="C7224">
        <v>72</v>
      </c>
      <c r="E7224" t="s">
        <v>25</v>
      </c>
      <c r="F7224">
        <v>1331.54</v>
      </c>
      <c r="G7224">
        <v>14.9</v>
      </c>
      <c r="K7224">
        <v>0.1</v>
      </c>
      <c r="L7224">
        <v>7</v>
      </c>
      <c r="M7224">
        <v>96.5</v>
      </c>
    </row>
    <row r="7225" spans="2:13" x14ac:dyDescent="0.2">
      <c r="C7225" t="s">
        <v>27</v>
      </c>
    </row>
    <row r="7226" spans="2:13" x14ac:dyDescent="0.2">
      <c r="C7226" t="s">
        <v>28</v>
      </c>
      <c r="D7226" t="s">
        <v>16</v>
      </c>
      <c r="E7226" t="s">
        <v>29</v>
      </c>
      <c r="F7226" t="s">
        <v>18</v>
      </c>
    </row>
    <row r="7227" spans="2:13" x14ac:dyDescent="0.2">
      <c r="C7227" t="b">
        <v>0</v>
      </c>
      <c r="D7227">
        <v>1290.0999999999999</v>
      </c>
      <c r="E7227" t="s">
        <v>30</v>
      </c>
    </row>
    <row r="7228" spans="2:13" x14ac:dyDescent="0.2">
      <c r="C7228" t="b">
        <v>0</v>
      </c>
      <c r="D7228">
        <v>1260.0999999999999</v>
      </c>
      <c r="E7228" t="s">
        <v>30</v>
      </c>
    </row>
    <row r="7229" spans="2:13" x14ac:dyDescent="0.2">
      <c r="C7229" t="b">
        <v>0</v>
      </c>
      <c r="D7229">
        <v>990.07</v>
      </c>
      <c r="E7229" t="s">
        <v>30</v>
      </c>
    </row>
    <row r="7230" spans="2:13" x14ac:dyDescent="0.2">
      <c r="C7230" t="b">
        <v>0</v>
      </c>
      <c r="D7230">
        <v>1550.14</v>
      </c>
      <c r="E7230" t="s">
        <v>30</v>
      </c>
    </row>
    <row r="7231" spans="2:13" x14ac:dyDescent="0.2">
      <c r="C7231" t="b">
        <v>0</v>
      </c>
      <c r="D7231">
        <v>1270.0899999999999</v>
      </c>
      <c r="E7231" t="s">
        <v>30</v>
      </c>
    </row>
    <row r="7232" spans="2:13" x14ac:dyDescent="0.2">
      <c r="C7232" t="b">
        <v>0</v>
      </c>
      <c r="D7232">
        <v>1570.15</v>
      </c>
      <c r="E7232" t="s">
        <v>30</v>
      </c>
    </row>
    <row r="7233" spans="1:13" x14ac:dyDescent="0.2">
      <c r="C7233" t="b">
        <v>0</v>
      </c>
      <c r="D7233">
        <v>1390.12</v>
      </c>
      <c r="E7233" t="s">
        <v>30</v>
      </c>
    </row>
    <row r="7234" spans="1:13" x14ac:dyDescent="0.2">
      <c r="B7234" t="s">
        <v>11</v>
      </c>
    </row>
    <row r="7235" spans="1:13" x14ac:dyDescent="0.2">
      <c r="B7235" t="s">
        <v>12</v>
      </c>
      <c r="C7235" t="s">
        <v>13</v>
      </c>
      <c r="D7235" t="s">
        <v>14</v>
      </c>
      <c r="E7235" t="s">
        <v>15</v>
      </c>
      <c r="F7235" t="s">
        <v>16</v>
      </c>
      <c r="G7235" t="s">
        <v>17</v>
      </c>
      <c r="H7235" t="s">
        <v>18</v>
      </c>
      <c r="I7235" t="s">
        <v>19</v>
      </c>
      <c r="J7235" t="s">
        <v>20</v>
      </c>
      <c r="K7235" t="s">
        <v>21</v>
      </c>
      <c r="L7235" t="s">
        <v>22</v>
      </c>
      <c r="M7235" t="s">
        <v>23</v>
      </c>
    </row>
    <row r="7236" spans="1:13" x14ac:dyDescent="0.2">
      <c r="B7236" t="s">
        <v>33</v>
      </c>
      <c r="C7236">
        <v>89</v>
      </c>
      <c r="E7236" t="s">
        <v>25</v>
      </c>
      <c r="F7236">
        <v>7879.65</v>
      </c>
      <c r="G7236">
        <v>8.9</v>
      </c>
      <c r="K7236">
        <v>0.1</v>
      </c>
      <c r="L7236">
        <v>7</v>
      </c>
      <c r="M7236">
        <v>104.6</v>
      </c>
    </row>
    <row r="7237" spans="1:13" x14ac:dyDescent="0.2">
      <c r="C7237" t="s">
        <v>27</v>
      </c>
    </row>
    <row r="7238" spans="1:13" x14ac:dyDescent="0.2">
      <c r="C7238" t="s">
        <v>28</v>
      </c>
      <c r="D7238" t="s">
        <v>16</v>
      </c>
      <c r="E7238" t="s">
        <v>29</v>
      </c>
      <c r="F7238" t="s">
        <v>18</v>
      </c>
    </row>
    <row r="7239" spans="1:13" x14ac:dyDescent="0.2">
      <c r="C7239" t="b">
        <v>0</v>
      </c>
      <c r="D7239">
        <v>7432.21</v>
      </c>
      <c r="E7239" t="s">
        <v>30</v>
      </c>
    </row>
    <row r="7240" spans="1:13" x14ac:dyDescent="0.2">
      <c r="C7240" t="b">
        <v>0</v>
      </c>
      <c r="D7240">
        <v>7202.1</v>
      </c>
      <c r="E7240" t="s">
        <v>30</v>
      </c>
    </row>
    <row r="7241" spans="1:13" x14ac:dyDescent="0.2">
      <c r="C7241" t="b">
        <v>0</v>
      </c>
      <c r="D7241">
        <v>7622.33</v>
      </c>
      <c r="E7241" t="s">
        <v>30</v>
      </c>
    </row>
    <row r="7242" spans="1:13" x14ac:dyDescent="0.2">
      <c r="C7242" t="b">
        <v>0</v>
      </c>
      <c r="D7242">
        <v>7712.44</v>
      </c>
      <c r="E7242" t="s">
        <v>30</v>
      </c>
    </row>
    <row r="7243" spans="1:13" x14ac:dyDescent="0.2">
      <c r="C7243" t="b">
        <v>0</v>
      </c>
      <c r="D7243">
        <v>7432.22</v>
      </c>
      <c r="E7243" t="s">
        <v>30</v>
      </c>
    </row>
    <row r="7244" spans="1:13" x14ac:dyDescent="0.2">
      <c r="C7244" t="b">
        <v>0</v>
      </c>
      <c r="D7244">
        <v>8953.15</v>
      </c>
      <c r="E7244" t="s">
        <v>30</v>
      </c>
    </row>
    <row r="7245" spans="1:13" x14ac:dyDescent="0.2">
      <c r="C7245" t="b">
        <v>0</v>
      </c>
      <c r="D7245">
        <v>8803.08</v>
      </c>
      <c r="E7245" t="s">
        <v>30</v>
      </c>
    </row>
    <row r="7246" spans="1:13" x14ac:dyDescent="0.2">
      <c r="A7246" t="s">
        <v>0</v>
      </c>
    </row>
    <row r="7247" spans="1:13" x14ac:dyDescent="0.2">
      <c r="B7247" t="s">
        <v>1</v>
      </c>
      <c r="C7247" t="s">
        <v>2</v>
      </c>
      <c r="D7247" t="s">
        <v>3</v>
      </c>
      <c r="E7247" t="s">
        <v>4</v>
      </c>
      <c r="F7247" t="s">
        <v>5</v>
      </c>
      <c r="G7247" t="s">
        <v>6</v>
      </c>
    </row>
    <row r="7248" spans="1:13" x14ac:dyDescent="0.2">
      <c r="B7248" t="b">
        <v>0</v>
      </c>
      <c r="C7248" t="s">
        <v>473</v>
      </c>
      <c r="D7248" t="s">
        <v>474</v>
      </c>
      <c r="E7248" t="s">
        <v>0</v>
      </c>
      <c r="G7248" t="s">
        <v>475</v>
      </c>
    </row>
    <row r="7249" spans="2:13" x14ac:dyDescent="0.2">
      <c r="B7249" t="s">
        <v>11</v>
      </c>
    </row>
    <row r="7250" spans="2:13" x14ac:dyDescent="0.2">
      <c r="B7250" t="s">
        <v>12</v>
      </c>
      <c r="C7250" t="s">
        <v>13</v>
      </c>
      <c r="D7250" t="s">
        <v>14</v>
      </c>
      <c r="E7250" t="s">
        <v>15</v>
      </c>
      <c r="F7250" t="s">
        <v>16</v>
      </c>
      <c r="G7250" t="s">
        <v>17</v>
      </c>
      <c r="H7250" t="s">
        <v>18</v>
      </c>
      <c r="I7250" t="s">
        <v>19</v>
      </c>
      <c r="J7250" t="s">
        <v>20</v>
      </c>
      <c r="K7250" t="s">
        <v>21</v>
      </c>
      <c r="L7250" t="s">
        <v>22</v>
      </c>
      <c r="M7250" t="s">
        <v>23</v>
      </c>
    </row>
    <row r="7251" spans="2:13" x14ac:dyDescent="0.2">
      <c r="B7251" t="s">
        <v>24</v>
      </c>
      <c r="C7251">
        <v>59</v>
      </c>
      <c r="E7251" t="s">
        <v>25</v>
      </c>
      <c r="F7251">
        <v>560655.4</v>
      </c>
      <c r="G7251">
        <v>1.2</v>
      </c>
      <c r="H7251">
        <v>0.17299999999999999</v>
      </c>
      <c r="I7251" t="s">
        <v>26</v>
      </c>
      <c r="J7251">
        <v>1.2</v>
      </c>
      <c r="K7251">
        <v>0.1</v>
      </c>
      <c r="L7251">
        <v>7</v>
      </c>
    </row>
    <row r="7252" spans="2:13" x14ac:dyDescent="0.2">
      <c r="C7252" t="s">
        <v>27</v>
      </c>
    </row>
    <row r="7253" spans="2:13" x14ac:dyDescent="0.2">
      <c r="C7253" t="s">
        <v>28</v>
      </c>
      <c r="D7253" t="s">
        <v>16</v>
      </c>
      <c r="E7253" t="s">
        <v>29</v>
      </c>
      <c r="F7253" t="s">
        <v>18</v>
      </c>
    </row>
    <row r="7254" spans="2:13" x14ac:dyDescent="0.2">
      <c r="C7254" t="b">
        <v>0</v>
      </c>
      <c r="D7254">
        <v>557519.64</v>
      </c>
      <c r="E7254" t="s">
        <v>30</v>
      </c>
      <c r="F7254">
        <v>0.17199999999999999</v>
      </c>
    </row>
    <row r="7255" spans="2:13" x14ac:dyDescent="0.2">
      <c r="C7255" t="b">
        <v>0</v>
      </c>
      <c r="D7255">
        <v>558932.53</v>
      </c>
      <c r="E7255" t="s">
        <v>30</v>
      </c>
      <c r="F7255">
        <v>0.17199999999999999</v>
      </c>
    </row>
    <row r="7256" spans="2:13" x14ac:dyDescent="0.2">
      <c r="C7256" t="b">
        <v>0</v>
      </c>
      <c r="D7256">
        <v>551806.91</v>
      </c>
      <c r="E7256" t="s">
        <v>30</v>
      </c>
      <c r="F7256">
        <v>0.17</v>
      </c>
    </row>
    <row r="7257" spans="2:13" x14ac:dyDescent="0.2">
      <c r="C7257" t="b">
        <v>0</v>
      </c>
      <c r="D7257">
        <v>567141.51</v>
      </c>
      <c r="E7257" t="s">
        <v>30</v>
      </c>
      <c r="F7257">
        <v>0.17499999999999999</v>
      </c>
    </row>
    <row r="7258" spans="2:13" x14ac:dyDescent="0.2">
      <c r="C7258" t="b">
        <v>0</v>
      </c>
      <c r="D7258">
        <v>554590.27</v>
      </c>
      <c r="E7258" t="s">
        <v>30</v>
      </c>
      <c r="F7258">
        <v>0.17100000000000001</v>
      </c>
    </row>
    <row r="7259" spans="2:13" x14ac:dyDescent="0.2">
      <c r="C7259" t="b">
        <v>0</v>
      </c>
      <c r="D7259">
        <v>566098.62</v>
      </c>
      <c r="E7259" t="s">
        <v>30</v>
      </c>
      <c r="F7259">
        <v>0.17399999999999999</v>
      </c>
    </row>
    <row r="7260" spans="2:13" x14ac:dyDescent="0.2">
      <c r="C7260" t="b">
        <v>0</v>
      </c>
      <c r="D7260">
        <v>568498.35</v>
      </c>
      <c r="E7260" t="s">
        <v>30</v>
      </c>
      <c r="F7260">
        <v>0.17499999999999999</v>
      </c>
    </row>
    <row r="7261" spans="2:13" x14ac:dyDescent="0.2">
      <c r="B7261" t="s">
        <v>11</v>
      </c>
    </row>
    <row r="7262" spans="2:13" x14ac:dyDescent="0.2">
      <c r="B7262" t="s">
        <v>12</v>
      </c>
      <c r="C7262" t="s">
        <v>13</v>
      </c>
      <c r="D7262" t="s">
        <v>14</v>
      </c>
      <c r="E7262" t="s">
        <v>15</v>
      </c>
      <c r="F7262" t="s">
        <v>16</v>
      </c>
      <c r="G7262" t="s">
        <v>17</v>
      </c>
      <c r="H7262" t="s">
        <v>18</v>
      </c>
      <c r="I7262" t="s">
        <v>19</v>
      </c>
      <c r="J7262" t="s">
        <v>20</v>
      </c>
      <c r="K7262" t="s">
        <v>21</v>
      </c>
      <c r="L7262" t="s">
        <v>22</v>
      </c>
      <c r="M7262" t="s">
        <v>23</v>
      </c>
    </row>
    <row r="7263" spans="2:13" x14ac:dyDescent="0.2">
      <c r="B7263" t="s">
        <v>31</v>
      </c>
      <c r="C7263">
        <v>45</v>
      </c>
      <c r="E7263" t="s">
        <v>25</v>
      </c>
      <c r="F7263">
        <v>1462.98</v>
      </c>
      <c r="G7263">
        <v>9</v>
      </c>
      <c r="K7263">
        <v>0.1</v>
      </c>
      <c r="L7263">
        <v>7</v>
      </c>
      <c r="M7263">
        <v>112.8</v>
      </c>
    </row>
    <row r="7264" spans="2:13" x14ac:dyDescent="0.2">
      <c r="C7264" t="s">
        <v>27</v>
      </c>
    </row>
    <row r="7265" spans="2:13" x14ac:dyDescent="0.2">
      <c r="C7265" t="s">
        <v>28</v>
      </c>
      <c r="D7265" t="s">
        <v>16</v>
      </c>
      <c r="E7265" t="s">
        <v>29</v>
      </c>
      <c r="F7265" t="s">
        <v>18</v>
      </c>
    </row>
    <row r="7266" spans="2:13" x14ac:dyDescent="0.2">
      <c r="C7266" t="b">
        <v>0</v>
      </c>
      <c r="D7266">
        <v>1410.12</v>
      </c>
      <c r="E7266" t="s">
        <v>30</v>
      </c>
    </row>
    <row r="7267" spans="2:13" x14ac:dyDescent="0.2">
      <c r="C7267" t="b">
        <v>0</v>
      </c>
      <c r="D7267">
        <v>1370.11</v>
      </c>
      <c r="E7267" t="s">
        <v>30</v>
      </c>
    </row>
    <row r="7268" spans="2:13" x14ac:dyDescent="0.2">
      <c r="C7268" t="b">
        <v>0</v>
      </c>
      <c r="D7268">
        <v>1570.13</v>
      </c>
      <c r="E7268" t="s">
        <v>30</v>
      </c>
    </row>
    <row r="7269" spans="2:13" x14ac:dyDescent="0.2">
      <c r="C7269" t="b">
        <v>0</v>
      </c>
      <c r="D7269">
        <v>1360.11</v>
      </c>
      <c r="E7269" t="s">
        <v>30</v>
      </c>
    </row>
    <row r="7270" spans="2:13" x14ac:dyDescent="0.2">
      <c r="C7270" t="b">
        <v>0</v>
      </c>
      <c r="D7270">
        <v>1370.11</v>
      </c>
      <c r="E7270" t="s">
        <v>30</v>
      </c>
    </row>
    <row r="7271" spans="2:13" x14ac:dyDescent="0.2">
      <c r="C7271" t="b">
        <v>0</v>
      </c>
      <c r="D7271">
        <v>1450.11</v>
      </c>
      <c r="E7271" t="s">
        <v>30</v>
      </c>
    </row>
    <row r="7272" spans="2:13" x14ac:dyDescent="0.2">
      <c r="C7272" t="b">
        <v>0</v>
      </c>
      <c r="D7272">
        <v>1710.16</v>
      </c>
      <c r="E7272" t="s">
        <v>30</v>
      </c>
    </row>
    <row r="7273" spans="2:13" x14ac:dyDescent="0.2">
      <c r="B7273" t="s">
        <v>11</v>
      </c>
    </row>
    <row r="7274" spans="2:13" x14ac:dyDescent="0.2">
      <c r="B7274" t="s">
        <v>12</v>
      </c>
      <c r="C7274" t="s">
        <v>13</v>
      </c>
      <c r="D7274" t="s">
        <v>14</v>
      </c>
      <c r="E7274" t="s">
        <v>15</v>
      </c>
      <c r="F7274" t="s">
        <v>16</v>
      </c>
      <c r="G7274" t="s">
        <v>17</v>
      </c>
      <c r="H7274" t="s">
        <v>18</v>
      </c>
      <c r="I7274" t="s">
        <v>19</v>
      </c>
      <c r="J7274" t="s">
        <v>20</v>
      </c>
      <c r="K7274" t="s">
        <v>21</v>
      </c>
      <c r="L7274" t="s">
        <v>22</v>
      </c>
      <c r="M7274" t="s">
        <v>23</v>
      </c>
    </row>
    <row r="7275" spans="2:13" x14ac:dyDescent="0.2">
      <c r="B7275" t="s">
        <v>32</v>
      </c>
      <c r="C7275">
        <v>72</v>
      </c>
      <c r="E7275" t="s">
        <v>25</v>
      </c>
      <c r="F7275">
        <v>1331.54</v>
      </c>
      <c r="G7275">
        <v>6.1</v>
      </c>
      <c r="K7275">
        <v>0.1</v>
      </c>
      <c r="L7275">
        <v>7</v>
      </c>
      <c r="M7275">
        <v>96.5</v>
      </c>
    </row>
    <row r="7276" spans="2:13" x14ac:dyDescent="0.2">
      <c r="C7276" t="s">
        <v>27</v>
      </c>
    </row>
    <row r="7277" spans="2:13" x14ac:dyDescent="0.2">
      <c r="C7277" t="s">
        <v>28</v>
      </c>
      <c r="D7277" t="s">
        <v>16</v>
      </c>
      <c r="E7277" t="s">
        <v>29</v>
      </c>
      <c r="F7277" t="s">
        <v>18</v>
      </c>
    </row>
    <row r="7278" spans="2:13" x14ac:dyDescent="0.2">
      <c r="C7278" t="b">
        <v>0</v>
      </c>
      <c r="D7278">
        <v>1400.12</v>
      </c>
      <c r="E7278" t="s">
        <v>30</v>
      </c>
    </row>
    <row r="7279" spans="2:13" x14ac:dyDescent="0.2">
      <c r="C7279" t="b">
        <v>0</v>
      </c>
      <c r="D7279">
        <v>1260.0899999999999</v>
      </c>
      <c r="E7279" t="s">
        <v>30</v>
      </c>
    </row>
    <row r="7280" spans="2:13" x14ac:dyDescent="0.2">
      <c r="C7280" t="b">
        <v>0</v>
      </c>
      <c r="D7280">
        <v>1410.12</v>
      </c>
      <c r="E7280" t="s">
        <v>30</v>
      </c>
    </row>
    <row r="7281" spans="2:13" x14ac:dyDescent="0.2">
      <c r="C7281" t="b">
        <v>0</v>
      </c>
      <c r="D7281">
        <v>1220.0999999999999</v>
      </c>
      <c r="E7281" t="s">
        <v>30</v>
      </c>
    </row>
    <row r="7282" spans="2:13" x14ac:dyDescent="0.2">
      <c r="C7282" t="b">
        <v>0</v>
      </c>
      <c r="D7282">
        <v>1430.13</v>
      </c>
      <c r="E7282" t="s">
        <v>30</v>
      </c>
    </row>
    <row r="7283" spans="2:13" x14ac:dyDescent="0.2">
      <c r="C7283" t="b">
        <v>0</v>
      </c>
      <c r="D7283">
        <v>1300.0999999999999</v>
      </c>
      <c r="E7283" t="s">
        <v>30</v>
      </c>
    </row>
    <row r="7284" spans="2:13" x14ac:dyDescent="0.2">
      <c r="C7284" t="b">
        <v>0</v>
      </c>
      <c r="D7284">
        <v>1300.1099999999999</v>
      </c>
      <c r="E7284" t="s">
        <v>30</v>
      </c>
    </row>
    <row r="7285" spans="2:13" x14ac:dyDescent="0.2">
      <c r="B7285" t="s">
        <v>11</v>
      </c>
    </row>
    <row r="7286" spans="2:13" x14ac:dyDescent="0.2">
      <c r="B7286" t="s">
        <v>12</v>
      </c>
      <c r="C7286" t="s">
        <v>13</v>
      </c>
      <c r="D7286" t="s">
        <v>14</v>
      </c>
      <c r="E7286" t="s">
        <v>15</v>
      </c>
      <c r="F7286" t="s">
        <v>16</v>
      </c>
      <c r="G7286" t="s">
        <v>17</v>
      </c>
      <c r="H7286" t="s">
        <v>18</v>
      </c>
      <c r="I7286" t="s">
        <v>19</v>
      </c>
      <c r="J7286" t="s">
        <v>20</v>
      </c>
      <c r="K7286" t="s">
        <v>21</v>
      </c>
      <c r="L7286" t="s">
        <v>22</v>
      </c>
      <c r="M7286" t="s">
        <v>23</v>
      </c>
    </row>
    <row r="7287" spans="2:13" x14ac:dyDescent="0.2">
      <c r="B7287" t="s">
        <v>33</v>
      </c>
      <c r="C7287">
        <v>89</v>
      </c>
      <c r="E7287" t="s">
        <v>25</v>
      </c>
      <c r="F7287">
        <v>7866.78</v>
      </c>
      <c r="G7287">
        <v>3.8</v>
      </c>
      <c r="K7287">
        <v>0.1</v>
      </c>
      <c r="L7287">
        <v>7</v>
      </c>
      <c r="M7287">
        <v>104.4</v>
      </c>
    </row>
    <row r="7288" spans="2:13" x14ac:dyDescent="0.2">
      <c r="C7288" t="s">
        <v>27</v>
      </c>
    </row>
    <row r="7289" spans="2:13" x14ac:dyDescent="0.2">
      <c r="C7289" t="s">
        <v>28</v>
      </c>
      <c r="D7289" t="s">
        <v>16</v>
      </c>
      <c r="E7289" t="s">
        <v>29</v>
      </c>
      <c r="F7289" t="s">
        <v>18</v>
      </c>
    </row>
    <row r="7290" spans="2:13" x14ac:dyDescent="0.2">
      <c r="C7290" t="b">
        <v>0</v>
      </c>
      <c r="D7290">
        <v>7602.34</v>
      </c>
      <c r="E7290" t="s">
        <v>30</v>
      </c>
    </row>
    <row r="7291" spans="2:13" x14ac:dyDescent="0.2">
      <c r="C7291" t="b">
        <v>0</v>
      </c>
      <c r="D7291">
        <v>7322.17</v>
      </c>
      <c r="E7291" t="s">
        <v>30</v>
      </c>
    </row>
    <row r="7292" spans="2:13" x14ac:dyDescent="0.2">
      <c r="C7292" t="b">
        <v>0</v>
      </c>
      <c r="D7292">
        <v>7972.54</v>
      </c>
      <c r="E7292" t="s">
        <v>30</v>
      </c>
    </row>
    <row r="7293" spans="2:13" x14ac:dyDescent="0.2">
      <c r="C7293" t="b">
        <v>0</v>
      </c>
      <c r="D7293">
        <v>8212.65</v>
      </c>
      <c r="E7293" t="s">
        <v>30</v>
      </c>
    </row>
    <row r="7294" spans="2:13" x14ac:dyDescent="0.2">
      <c r="C7294" t="b">
        <v>0</v>
      </c>
      <c r="D7294">
        <v>7972.64</v>
      </c>
      <c r="E7294" t="s">
        <v>30</v>
      </c>
    </row>
    <row r="7295" spans="2:13" x14ac:dyDescent="0.2">
      <c r="C7295" t="b">
        <v>0</v>
      </c>
      <c r="D7295">
        <v>7972.56</v>
      </c>
      <c r="E7295" t="s">
        <v>30</v>
      </c>
    </row>
    <row r="7296" spans="2:13" x14ac:dyDescent="0.2">
      <c r="C7296" t="b">
        <v>0</v>
      </c>
      <c r="D7296">
        <v>8012.58</v>
      </c>
      <c r="E7296" t="s">
        <v>30</v>
      </c>
    </row>
    <row r="7297" spans="1:13" x14ac:dyDescent="0.2">
      <c r="A7297" t="s">
        <v>0</v>
      </c>
    </row>
    <row r="7298" spans="1:13" x14ac:dyDescent="0.2">
      <c r="B7298" t="s">
        <v>1</v>
      </c>
      <c r="C7298" t="s">
        <v>2</v>
      </c>
      <c r="D7298" t="s">
        <v>3</v>
      </c>
      <c r="E7298" t="s">
        <v>4</v>
      </c>
      <c r="F7298" t="s">
        <v>5</v>
      </c>
      <c r="G7298" t="s">
        <v>6</v>
      </c>
    </row>
    <row r="7299" spans="1:13" x14ac:dyDescent="0.2">
      <c r="A7299" t="s">
        <v>476</v>
      </c>
      <c r="B7299" t="b">
        <v>0</v>
      </c>
      <c r="C7299" t="s">
        <v>477</v>
      </c>
      <c r="D7299" t="s">
        <v>478</v>
      </c>
      <c r="E7299" t="s">
        <v>0</v>
      </c>
      <c r="G7299" t="s">
        <v>479</v>
      </c>
    </row>
    <row r="7300" spans="1:13" x14ac:dyDescent="0.2">
      <c r="B7300" t="s">
        <v>11</v>
      </c>
    </row>
    <row r="7301" spans="1:13" x14ac:dyDescent="0.2">
      <c r="B7301" t="s">
        <v>12</v>
      </c>
      <c r="C7301" t="s">
        <v>13</v>
      </c>
      <c r="D7301" t="s">
        <v>14</v>
      </c>
      <c r="E7301" t="s">
        <v>15</v>
      </c>
      <c r="F7301" t="s">
        <v>16</v>
      </c>
      <c r="G7301" t="s">
        <v>17</v>
      </c>
      <c r="H7301" t="s">
        <v>18</v>
      </c>
      <c r="I7301" t="s">
        <v>19</v>
      </c>
      <c r="J7301" t="s">
        <v>20</v>
      </c>
      <c r="K7301" t="s">
        <v>21</v>
      </c>
      <c r="L7301" t="s">
        <v>22</v>
      </c>
      <c r="M7301" t="s">
        <v>23</v>
      </c>
    </row>
    <row r="7302" spans="1:13" x14ac:dyDescent="0.2">
      <c r="B7302" t="s">
        <v>24</v>
      </c>
      <c r="C7302">
        <v>59</v>
      </c>
      <c r="E7302" t="s">
        <v>25</v>
      </c>
      <c r="F7302">
        <v>1876119.01</v>
      </c>
      <c r="G7302">
        <v>0.8</v>
      </c>
      <c r="H7302">
        <v>0.57799999999999996</v>
      </c>
      <c r="I7302" t="s">
        <v>26</v>
      </c>
      <c r="J7302">
        <v>0.8</v>
      </c>
      <c r="K7302">
        <v>0.1</v>
      </c>
      <c r="L7302">
        <v>7</v>
      </c>
    </row>
    <row r="7303" spans="1:13" x14ac:dyDescent="0.2">
      <c r="C7303" t="s">
        <v>27</v>
      </c>
    </row>
    <row r="7304" spans="1:13" x14ac:dyDescent="0.2">
      <c r="C7304" t="s">
        <v>28</v>
      </c>
      <c r="D7304" t="s">
        <v>16</v>
      </c>
      <c r="E7304" t="s">
        <v>29</v>
      </c>
      <c r="F7304" t="s">
        <v>18</v>
      </c>
    </row>
    <row r="7305" spans="1:13" x14ac:dyDescent="0.2">
      <c r="C7305" t="b">
        <v>0</v>
      </c>
      <c r="D7305">
        <v>1882726.38</v>
      </c>
      <c r="E7305" t="s">
        <v>67</v>
      </c>
      <c r="F7305">
        <v>0.57999999999999996</v>
      </c>
    </row>
    <row r="7306" spans="1:13" x14ac:dyDescent="0.2">
      <c r="C7306" t="b">
        <v>0</v>
      </c>
      <c r="D7306">
        <v>1850554.97</v>
      </c>
      <c r="E7306" t="s">
        <v>67</v>
      </c>
      <c r="F7306">
        <v>0.56999999999999995</v>
      </c>
    </row>
    <row r="7307" spans="1:13" x14ac:dyDescent="0.2">
      <c r="C7307" t="b">
        <v>0</v>
      </c>
      <c r="D7307">
        <v>1889078.41</v>
      </c>
      <c r="E7307" t="s">
        <v>67</v>
      </c>
      <c r="F7307">
        <v>0.58199999999999996</v>
      </c>
    </row>
    <row r="7308" spans="1:13" x14ac:dyDescent="0.2">
      <c r="C7308" t="b">
        <v>0</v>
      </c>
      <c r="D7308">
        <v>1870417.32</v>
      </c>
      <c r="E7308" t="s">
        <v>67</v>
      </c>
      <c r="F7308">
        <v>0.57599999999999996</v>
      </c>
    </row>
    <row r="7309" spans="1:13" x14ac:dyDescent="0.2">
      <c r="C7309" t="b">
        <v>0</v>
      </c>
      <c r="D7309">
        <v>1894924.82</v>
      </c>
      <c r="E7309" t="s">
        <v>67</v>
      </c>
      <c r="F7309">
        <v>0.58399999999999996</v>
      </c>
    </row>
    <row r="7310" spans="1:13" x14ac:dyDescent="0.2">
      <c r="C7310" t="b">
        <v>0</v>
      </c>
      <c r="D7310">
        <v>1873534.97</v>
      </c>
      <c r="E7310" t="s">
        <v>67</v>
      </c>
      <c r="F7310">
        <v>0.57699999999999996</v>
      </c>
    </row>
    <row r="7311" spans="1:13" x14ac:dyDescent="0.2">
      <c r="C7311" t="b">
        <v>0</v>
      </c>
      <c r="D7311">
        <v>1871596.22</v>
      </c>
      <c r="E7311" t="s">
        <v>67</v>
      </c>
      <c r="F7311">
        <v>0.57699999999999996</v>
      </c>
    </row>
    <row r="7312" spans="1:13" x14ac:dyDescent="0.2">
      <c r="B7312" t="s">
        <v>11</v>
      </c>
    </row>
    <row r="7313" spans="2:13" x14ac:dyDescent="0.2">
      <c r="B7313" t="s">
        <v>12</v>
      </c>
      <c r="C7313" t="s">
        <v>13</v>
      </c>
      <c r="D7313" t="s">
        <v>14</v>
      </c>
      <c r="E7313" t="s">
        <v>15</v>
      </c>
      <c r="F7313" t="s">
        <v>16</v>
      </c>
      <c r="G7313" t="s">
        <v>17</v>
      </c>
      <c r="H7313" t="s">
        <v>18</v>
      </c>
      <c r="I7313" t="s">
        <v>19</v>
      </c>
      <c r="J7313" t="s">
        <v>20</v>
      </c>
      <c r="K7313" t="s">
        <v>21</v>
      </c>
      <c r="L7313" t="s">
        <v>22</v>
      </c>
      <c r="M7313" t="s">
        <v>23</v>
      </c>
    </row>
    <row r="7314" spans="2:13" x14ac:dyDescent="0.2">
      <c r="B7314" t="s">
        <v>31</v>
      </c>
      <c r="C7314">
        <v>45</v>
      </c>
      <c r="E7314" t="s">
        <v>25</v>
      </c>
      <c r="F7314">
        <v>1657.3</v>
      </c>
      <c r="G7314">
        <v>10.6</v>
      </c>
      <c r="K7314">
        <v>0.1</v>
      </c>
      <c r="L7314">
        <v>7</v>
      </c>
      <c r="M7314">
        <v>127.8</v>
      </c>
    </row>
    <row r="7315" spans="2:13" x14ac:dyDescent="0.2">
      <c r="C7315" t="s">
        <v>27</v>
      </c>
    </row>
    <row r="7316" spans="2:13" x14ac:dyDescent="0.2">
      <c r="C7316" t="s">
        <v>28</v>
      </c>
      <c r="D7316" t="s">
        <v>16</v>
      </c>
      <c r="E7316" t="s">
        <v>29</v>
      </c>
      <c r="F7316" t="s">
        <v>18</v>
      </c>
    </row>
    <row r="7317" spans="2:13" x14ac:dyDescent="0.2">
      <c r="C7317" t="b">
        <v>0</v>
      </c>
      <c r="D7317">
        <v>1760.16</v>
      </c>
      <c r="E7317" t="s">
        <v>30</v>
      </c>
    </row>
    <row r="7318" spans="2:13" x14ac:dyDescent="0.2">
      <c r="C7318" t="b">
        <v>0</v>
      </c>
      <c r="D7318">
        <v>1480.12</v>
      </c>
      <c r="E7318" t="s">
        <v>30</v>
      </c>
    </row>
    <row r="7319" spans="2:13" x14ac:dyDescent="0.2">
      <c r="C7319" t="b">
        <v>0</v>
      </c>
      <c r="D7319">
        <v>1900.19</v>
      </c>
      <c r="E7319" t="s">
        <v>30</v>
      </c>
    </row>
    <row r="7320" spans="2:13" x14ac:dyDescent="0.2">
      <c r="C7320" t="b">
        <v>0</v>
      </c>
      <c r="D7320">
        <v>1450.13</v>
      </c>
      <c r="E7320" t="s">
        <v>30</v>
      </c>
    </row>
    <row r="7321" spans="2:13" x14ac:dyDescent="0.2">
      <c r="C7321" t="b">
        <v>0</v>
      </c>
      <c r="D7321">
        <v>1690.18</v>
      </c>
      <c r="E7321" t="s">
        <v>30</v>
      </c>
    </row>
    <row r="7322" spans="2:13" x14ac:dyDescent="0.2">
      <c r="C7322" t="b">
        <v>0</v>
      </c>
      <c r="D7322">
        <v>1520.14</v>
      </c>
      <c r="E7322" t="s">
        <v>30</v>
      </c>
    </row>
    <row r="7323" spans="2:13" x14ac:dyDescent="0.2">
      <c r="C7323" t="b">
        <v>0</v>
      </c>
      <c r="D7323">
        <v>1800.18</v>
      </c>
      <c r="E7323" t="s">
        <v>30</v>
      </c>
    </row>
    <row r="7324" spans="2:13" x14ac:dyDescent="0.2">
      <c r="B7324" t="s">
        <v>11</v>
      </c>
    </row>
    <row r="7325" spans="2:13" x14ac:dyDescent="0.2">
      <c r="B7325" t="s">
        <v>12</v>
      </c>
      <c r="C7325" t="s">
        <v>13</v>
      </c>
      <c r="D7325" t="s">
        <v>14</v>
      </c>
      <c r="E7325" t="s">
        <v>15</v>
      </c>
      <c r="F7325" t="s">
        <v>16</v>
      </c>
      <c r="G7325" t="s">
        <v>17</v>
      </c>
      <c r="H7325" t="s">
        <v>18</v>
      </c>
      <c r="I7325" t="s">
        <v>19</v>
      </c>
      <c r="J7325" t="s">
        <v>20</v>
      </c>
      <c r="K7325" t="s">
        <v>21</v>
      </c>
      <c r="L7325" t="s">
        <v>22</v>
      </c>
      <c r="M7325" t="s">
        <v>23</v>
      </c>
    </row>
    <row r="7326" spans="2:13" x14ac:dyDescent="0.2">
      <c r="B7326" t="s">
        <v>32</v>
      </c>
      <c r="C7326">
        <v>72</v>
      </c>
      <c r="E7326" t="s">
        <v>25</v>
      </c>
      <c r="F7326">
        <v>1275.82</v>
      </c>
      <c r="G7326">
        <v>5.7</v>
      </c>
      <c r="K7326">
        <v>0.1</v>
      </c>
      <c r="L7326">
        <v>7</v>
      </c>
      <c r="M7326">
        <v>92.4</v>
      </c>
    </row>
    <row r="7327" spans="2:13" x14ac:dyDescent="0.2">
      <c r="C7327" t="s">
        <v>27</v>
      </c>
    </row>
    <row r="7328" spans="2:13" x14ac:dyDescent="0.2">
      <c r="C7328" t="s">
        <v>28</v>
      </c>
      <c r="D7328" t="s">
        <v>16</v>
      </c>
      <c r="E7328" t="s">
        <v>29</v>
      </c>
      <c r="F7328" t="s">
        <v>18</v>
      </c>
    </row>
    <row r="7329" spans="2:13" x14ac:dyDescent="0.2">
      <c r="C7329" t="b">
        <v>0</v>
      </c>
      <c r="D7329">
        <v>1290.1099999999999</v>
      </c>
      <c r="E7329" t="s">
        <v>30</v>
      </c>
    </row>
    <row r="7330" spans="2:13" x14ac:dyDescent="0.2">
      <c r="C7330" t="b">
        <v>0</v>
      </c>
      <c r="D7330">
        <v>1230.0999999999999</v>
      </c>
      <c r="E7330" t="s">
        <v>30</v>
      </c>
    </row>
    <row r="7331" spans="2:13" x14ac:dyDescent="0.2">
      <c r="C7331" t="b">
        <v>0</v>
      </c>
      <c r="D7331">
        <v>1280.1099999999999</v>
      </c>
      <c r="E7331" t="s">
        <v>30</v>
      </c>
    </row>
    <row r="7332" spans="2:13" x14ac:dyDescent="0.2">
      <c r="C7332" t="b">
        <v>0</v>
      </c>
      <c r="D7332">
        <v>1230.08</v>
      </c>
      <c r="E7332" t="s">
        <v>30</v>
      </c>
    </row>
    <row r="7333" spans="2:13" x14ac:dyDescent="0.2">
      <c r="C7333" t="b">
        <v>0</v>
      </c>
      <c r="D7333">
        <v>1250.1199999999999</v>
      </c>
      <c r="E7333" t="s">
        <v>30</v>
      </c>
    </row>
    <row r="7334" spans="2:13" x14ac:dyDescent="0.2">
      <c r="C7334" t="b">
        <v>0</v>
      </c>
      <c r="D7334">
        <v>1220.0999999999999</v>
      </c>
      <c r="E7334" t="s">
        <v>30</v>
      </c>
    </row>
    <row r="7335" spans="2:13" x14ac:dyDescent="0.2">
      <c r="C7335" t="b">
        <v>0</v>
      </c>
      <c r="D7335">
        <v>1430.12</v>
      </c>
      <c r="E7335" t="s">
        <v>30</v>
      </c>
    </row>
    <row r="7336" spans="2:13" x14ac:dyDescent="0.2">
      <c r="B7336" t="s">
        <v>11</v>
      </c>
    </row>
    <row r="7337" spans="2:13" x14ac:dyDescent="0.2">
      <c r="B7337" t="s">
        <v>12</v>
      </c>
      <c r="C7337" t="s">
        <v>13</v>
      </c>
      <c r="D7337" t="s">
        <v>14</v>
      </c>
      <c r="E7337" t="s">
        <v>15</v>
      </c>
      <c r="F7337" t="s">
        <v>16</v>
      </c>
      <c r="G7337" t="s">
        <v>17</v>
      </c>
      <c r="H7337" t="s">
        <v>18</v>
      </c>
      <c r="I7337" t="s">
        <v>19</v>
      </c>
      <c r="J7337" t="s">
        <v>20</v>
      </c>
      <c r="K7337" t="s">
        <v>21</v>
      </c>
      <c r="L7337" t="s">
        <v>22</v>
      </c>
      <c r="M7337" t="s">
        <v>23</v>
      </c>
    </row>
    <row r="7338" spans="2:13" x14ac:dyDescent="0.2">
      <c r="B7338" t="s">
        <v>33</v>
      </c>
      <c r="C7338">
        <v>89</v>
      </c>
      <c r="E7338" t="s">
        <v>25</v>
      </c>
      <c r="F7338">
        <v>7715.3</v>
      </c>
      <c r="G7338">
        <v>3.6</v>
      </c>
      <c r="K7338">
        <v>0.1</v>
      </c>
      <c r="L7338">
        <v>7</v>
      </c>
      <c r="M7338">
        <v>102.4</v>
      </c>
    </row>
    <row r="7339" spans="2:13" x14ac:dyDescent="0.2">
      <c r="C7339" t="s">
        <v>27</v>
      </c>
    </row>
    <row r="7340" spans="2:13" x14ac:dyDescent="0.2">
      <c r="C7340" t="s">
        <v>28</v>
      </c>
      <c r="D7340" t="s">
        <v>16</v>
      </c>
      <c r="E7340" t="s">
        <v>29</v>
      </c>
      <c r="F7340" t="s">
        <v>18</v>
      </c>
    </row>
    <row r="7341" spans="2:13" x14ac:dyDescent="0.2">
      <c r="C7341" t="b">
        <v>0</v>
      </c>
      <c r="D7341">
        <v>8102.68</v>
      </c>
      <c r="E7341" t="s">
        <v>30</v>
      </c>
    </row>
    <row r="7342" spans="2:13" x14ac:dyDescent="0.2">
      <c r="C7342" t="b">
        <v>0</v>
      </c>
      <c r="D7342">
        <v>7832.46</v>
      </c>
      <c r="E7342" t="s">
        <v>30</v>
      </c>
    </row>
    <row r="7343" spans="2:13" x14ac:dyDescent="0.2">
      <c r="C7343" t="b">
        <v>0</v>
      </c>
      <c r="D7343">
        <v>7962.59</v>
      </c>
      <c r="E7343" t="s">
        <v>30</v>
      </c>
    </row>
    <row r="7344" spans="2:13" x14ac:dyDescent="0.2">
      <c r="C7344" t="b">
        <v>0</v>
      </c>
      <c r="D7344">
        <v>7372.23</v>
      </c>
      <c r="E7344" t="s">
        <v>30</v>
      </c>
    </row>
    <row r="7345" spans="1:13" x14ac:dyDescent="0.2">
      <c r="C7345" t="b">
        <v>0</v>
      </c>
      <c r="D7345">
        <v>7352.19</v>
      </c>
      <c r="E7345" t="s">
        <v>30</v>
      </c>
    </row>
    <row r="7346" spans="1:13" x14ac:dyDescent="0.2">
      <c r="C7346" t="b">
        <v>0</v>
      </c>
      <c r="D7346">
        <v>7702.48</v>
      </c>
      <c r="E7346" t="s">
        <v>30</v>
      </c>
    </row>
    <row r="7347" spans="1:13" x14ac:dyDescent="0.2">
      <c r="C7347" t="b">
        <v>0</v>
      </c>
      <c r="D7347">
        <v>7682.48</v>
      </c>
      <c r="E7347" t="s">
        <v>30</v>
      </c>
    </row>
    <row r="7348" spans="1:13" x14ac:dyDescent="0.2">
      <c r="A7348" t="s">
        <v>0</v>
      </c>
    </row>
    <row r="7349" spans="1:13" x14ac:dyDescent="0.2">
      <c r="B7349" t="s">
        <v>1</v>
      </c>
      <c r="C7349" t="s">
        <v>2</v>
      </c>
      <c r="D7349" t="s">
        <v>3</v>
      </c>
      <c r="E7349" t="s">
        <v>4</v>
      </c>
      <c r="F7349" t="s">
        <v>5</v>
      </c>
      <c r="G7349" t="s">
        <v>6</v>
      </c>
    </row>
    <row r="7350" spans="1:13" x14ac:dyDescent="0.2">
      <c r="A7350" t="s">
        <v>480</v>
      </c>
      <c r="B7350" t="b">
        <v>0</v>
      </c>
      <c r="C7350" t="s">
        <v>481</v>
      </c>
      <c r="D7350" t="s">
        <v>482</v>
      </c>
      <c r="E7350" t="s">
        <v>0</v>
      </c>
      <c r="G7350" t="s">
        <v>483</v>
      </c>
    </row>
    <row r="7351" spans="1:13" x14ac:dyDescent="0.2">
      <c r="B7351" t="s">
        <v>11</v>
      </c>
    </row>
    <row r="7352" spans="1:13" x14ac:dyDescent="0.2">
      <c r="B7352" t="s">
        <v>12</v>
      </c>
      <c r="C7352" t="s">
        <v>13</v>
      </c>
      <c r="D7352" t="s">
        <v>14</v>
      </c>
      <c r="E7352" t="s">
        <v>15</v>
      </c>
      <c r="F7352" t="s">
        <v>16</v>
      </c>
      <c r="G7352" t="s">
        <v>17</v>
      </c>
      <c r="H7352" t="s">
        <v>18</v>
      </c>
      <c r="I7352" t="s">
        <v>19</v>
      </c>
      <c r="J7352" t="s">
        <v>20</v>
      </c>
      <c r="K7352" t="s">
        <v>21</v>
      </c>
      <c r="L7352" t="s">
        <v>22</v>
      </c>
      <c r="M7352" t="s">
        <v>23</v>
      </c>
    </row>
    <row r="7353" spans="1:13" x14ac:dyDescent="0.2">
      <c r="B7353" t="s">
        <v>24</v>
      </c>
      <c r="C7353">
        <v>59</v>
      </c>
      <c r="E7353" t="s">
        <v>25</v>
      </c>
      <c r="F7353">
        <v>2131326.7999999998</v>
      </c>
      <c r="G7353">
        <v>1.5</v>
      </c>
      <c r="H7353">
        <v>0.65700000000000003</v>
      </c>
      <c r="I7353" t="s">
        <v>26</v>
      </c>
      <c r="J7353">
        <v>1.5</v>
      </c>
      <c r="K7353">
        <v>0.1</v>
      </c>
      <c r="L7353">
        <v>7</v>
      </c>
    </row>
    <row r="7354" spans="1:13" x14ac:dyDescent="0.2">
      <c r="C7354" t="s">
        <v>27</v>
      </c>
    </row>
    <row r="7355" spans="1:13" x14ac:dyDescent="0.2">
      <c r="C7355" t="s">
        <v>28</v>
      </c>
      <c r="D7355" t="s">
        <v>16</v>
      </c>
      <c r="E7355" t="s">
        <v>29</v>
      </c>
      <c r="F7355" t="s">
        <v>18</v>
      </c>
    </row>
    <row r="7356" spans="1:13" x14ac:dyDescent="0.2">
      <c r="C7356" t="b">
        <v>0</v>
      </c>
      <c r="D7356">
        <v>2103332.62</v>
      </c>
      <c r="E7356" t="s">
        <v>67</v>
      </c>
      <c r="F7356">
        <v>0.64800000000000002</v>
      </c>
    </row>
    <row r="7357" spans="1:13" x14ac:dyDescent="0.2">
      <c r="C7357" t="b">
        <v>0</v>
      </c>
      <c r="D7357">
        <v>2095910.91</v>
      </c>
      <c r="E7357" t="s">
        <v>67</v>
      </c>
      <c r="F7357">
        <v>0.64600000000000002</v>
      </c>
    </row>
    <row r="7358" spans="1:13" x14ac:dyDescent="0.2">
      <c r="C7358" t="b">
        <v>0</v>
      </c>
      <c r="D7358">
        <v>2122801.5299999998</v>
      </c>
      <c r="E7358" t="s">
        <v>67</v>
      </c>
      <c r="F7358">
        <v>0.65400000000000003</v>
      </c>
    </row>
    <row r="7359" spans="1:13" x14ac:dyDescent="0.2">
      <c r="C7359" t="b">
        <v>0</v>
      </c>
      <c r="D7359">
        <v>2184324.5</v>
      </c>
      <c r="E7359" t="s">
        <v>67</v>
      </c>
      <c r="F7359">
        <v>0.67300000000000004</v>
      </c>
    </row>
    <row r="7360" spans="1:13" x14ac:dyDescent="0.2">
      <c r="C7360" t="b">
        <v>0</v>
      </c>
      <c r="D7360">
        <v>2132467.16</v>
      </c>
      <c r="E7360" t="s">
        <v>67</v>
      </c>
      <c r="F7360">
        <v>0.65700000000000003</v>
      </c>
    </row>
    <row r="7361" spans="2:13" x14ac:dyDescent="0.2">
      <c r="C7361" t="b">
        <v>0</v>
      </c>
      <c r="D7361">
        <v>2166133.09</v>
      </c>
      <c r="E7361" t="s">
        <v>67</v>
      </c>
      <c r="F7361">
        <v>0.66800000000000004</v>
      </c>
    </row>
    <row r="7362" spans="2:13" x14ac:dyDescent="0.2">
      <c r="C7362" t="b">
        <v>0</v>
      </c>
      <c r="D7362">
        <v>2114317.7799999998</v>
      </c>
      <c r="E7362" t="s">
        <v>67</v>
      </c>
      <c r="F7362">
        <v>0.65200000000000002</v>
      </c>
    </row>
    <row r="7363" spans="2:13" x14ac:dyDescent="0.2">
      <c r="B7363" t="s">
        <v>11</v>
      </c>
    </row>
    <row r="7364" spans="2:13" x14ac:dyDescent="0.2">
      <c r="B7364" t="s">
        <v>12</v>
      </c>
      <c r="C7364" t="s">
        <v>13</v>
      </c>
      <c r="D7364" t="s">
        <v>14</v>
      </c>
      <c r="E7364" t="s">
        <v>15</v>
      </c>
      <c r="F7364" t="s">
        <v>16</v>
      </c>
      <c r="G7364" t="s">
        <v>17</v>
      </c>
      <c r="H7364" t="s">
        <v>18</v>
      </c>
      <c r="I7364" t="s">
        <v>19</v>
      </c>
      <c r="J7364" t="s">
        <v>20</v>
      </c>
      <c r="K7364" t="s">
        <v>21</v>
      </c>
      <c r="L7364" t="s">
        <v>22</v>
      </c>
      <c r="M7364" t="s">
        <v>23</v>
      </c>
    </row>
    <row r="7365" spans="2:13" x14ac:dyDescent="0.2">
      <c r="B7365" t="s">
        <v>31</v>
      </c>
      <c r="C7365">
        <v>45</v>
      </c>
      <c r="E7365" t="s">
        <v>25</v>
      </c>
      <c r="F7365">
        <v>1354.4</v>
      </c>
      <c r="G7365">
        <v>8.6999999999999993</v>
      </c>
      <c r="K7365">
        <v>0.1</v>
      </c>
      <c r="L7365">
        <v>7</v>
      </c>
      <c r="M7365">
        <v>104.4</v>
      </c>
    </row>
    <row r="7366" spans="2:13" x14ac:dyDescent="0.2">
      <c r="C7366" t="s">
        <v>27</v>
      </c>
    </row>
    <row r="7367" spans="2:13" x14ac:dyDescent="0.2">
      <c r="C7367" t="s">
        <v>28</v>
      </c>
      <c r="D7367" t="s">
        <v>16</v>
      </c>
      <c r="E7367" t="s">
        <v>29</v>
      </c>
      <c r="F7367" t="s">
        <v>18</v>
      </c>
    </row>
    <row r="7368" spans="2:13" x14ac:dyDescent="0.2">
      <c r="C7368" t="b">
        <v>0</v>
      </c>
      <c r="D7368">
        <v>1460.12</v>
      </c>
      <c r="E7368" t="s">
        <v>30</v>
      </c>
    </row>
    <row r="7369" spans="2:13" x14ac:dyDescent="0.2">
      <c r="C7369" t="b">
        <v>0</v>
      </c>
      <c r="D7369">
        <v>1460.13</v>
      </c>
      <c r="E7369" t="s">
        <v>30</v>
      </c>
    </row>
    <row r="7370" spans="2:13" x14ac:dyDescent="0.2">
      <c r="C7370" t="b">
        <v>0</v>
      </c>
      <c r="D7370">
        <v>1240.0899999999999</v>
      </c>
      <c r="E7370" t="s">
        <v>30</v>
      </c>
    </row>
    <row r="7371" spans="2:13" x14ac:dyDescent="0.2">
      <c r="C7371" t="b">
        <v>0</v>
      </c>
      <c r="D7371">
        <v>1380.11</v>
      </c>
      <c r="E7371" t="s">
        <v>30</v>
      </c>
    </row>
    <row r="7372" spans="2:13" x14ac:dyDescent="0.2">
      <c r="C7372" t="b">
        <v>0</v>
      </c>
      <c r="D7372">
        <v>1330.11</v>
      </c>
      <c r="E7372" t="s">
        <v>30</v>
      </c>
    </row>
    <row r="7373" spans="2:13" x14ac:dyDescent="0.2">
      <c r="C7373" t="b">
        <v>0</v>
      </c>
      <c r="D7373">
        <v>1160.08</v>
      </c>
      <c r="E7373" t="s">
        <v>30</v>
      </c>
    </row>
    <row r="7374" spans="2:13" x14ac:dyDescent="0.2">
      <c r="C7374" t="b">
        <v>0</v>
      </c>
      <c r="D7374">
        <v>1450.14</v>
      </c>
      <c r="E7374" t="s">
        <v>30</v>
      </c>
    </row>
    <row r="7375" spans="2:13" x14ac:dyDescent="0.2">
      <c r="B7375" t="s">
        <v>11</v>
      </c>
    </row>
    <row r="7376" spans="2:13" x14ac:dyDescent="0.2">
      <c r="B7376" t="s">
        <v>12</v>
      </c>
      <c r="C7376" t="s">
        <v>13</v>
      </c>
      <c r="D7376" t="s">
        <v>14</v>
      </c>
      <c r="E7376" t="s">
        <v>15</v>
      </c>
      <c r="F7376" t="s">
        <v>16</v>
      </c>
      <c r="G7376" t="s">
        <v>17</v>
      </c>
      <c r="H7376" t="s">
        <v>18</v>
      </c>
      <c r="I7376" t="s">
        <v>19</v>
      </c>
      <c r="J7376" t="s">
        <v>20</v>
      </c>
      <c r="K7376" t="s">
        <v>21</v>
      </c>
      <c r="L7376" t="s">
        <v>22</v>
      </c>
      <c r="M7376" t="s">
        <v>23</v>
      </c>
    </row>
    <row r="7377" spans="2:13" x14ac:dyDescent="0.2">
      <c r="B7377" t="s">
        <v>32</v>
      </c>
      <c r="C7377">
        <v>72</v>
      </c>
      <c r="E7377" t="s">
        <v>25</v>
      </c>
      <c r="F7377">
        <v>1095.79</v>
      </c>
      <c r="G7377">
        <v>10.9</v>
      </c>
      <c r="K7377">
        <v>0.1</v>
      </c>
      <c r="L7377">
        <v>7</v>
      </c>
      <c r="M7377">
        <v>79.400000000000006</v>
      </c>
    </row>
    <row r="7378" spans="2:13" x14ac:dyDescent="0.2">
      <c r="C7378" t="s">
        <v>27</v>
      </c>
    </row>
    <row r="7379" spans="2:13" x14ac:dyDescent="0.2">
      <c r="C7379" t="s">
        <v>28</v>
      </c>
      <c r="D7379" t="s">
        <v>16</v>
      </c>
      <c r="E7379" t="s">
        <v>29</v>
      </c>
      <c r="F7379" t="s">
        <v>18</v>
      </c>
    </row>
    <row r="7380" spans="2:13" x14ac:dyDescent="0.2">
      <c r="C7380" t="b">
        <v>0</v>
      </c>
      <c r="D7380">
        <v>1260.0999999999999</v>
      </c>
      <c r="E7380" t="s">
        <v>30</v>
      </c>
    </row>
    <row r="7381" spans="2:13" x14ac:dyDescent="0.2">
      <c r="C7381" t="b">
        <v>0</v>
      </c>
      <c r="D7381">
        <v>910.06</v>
      </c>
      <c r="E7381" t="s">
        <v>30</v>
      </c>
    </row>
    <row r="7382" spans="2:13" x14ac:dyDescent="0.2">
      <c r="C7382" t="b">
        <v>0</v>
      </c>
      <c r="D7382">
        <v>1170.08</v>
      </c>
      <c r="E7382" t="s">
        <v>30</v>
      </c>
    </row>
    <row r="7383" spans="2:13" x14ac:dyDescent="0.2">
      <c r="C7383" t="b">
        <v>0</v>
      </c>
      <c r="D7383">
        <v>1120.0899999999999</v>
      </c>
      <c r="E7383" t="s">
        <v>30</v>
      </c>
    </row>
    <row r="7384" spans="2:13" x14ac:dyDescent="0.2">
      <c r="C7384" t="b">
        <v>0</v>
      </c>
      <c r="D7384">
        <v>1040.07</v>
      </c>
      <c r="E7384" t="s">
        <v>30</v>
      </c>
    </row>
    <row r="7385" spans="2:13" x14ac:dyDescent="0.2">
      <c r="C7385" t="b">
        <v>0</v>
      </c>
      <c r="D7385">
        <v>1000.07</v>
      </c>
      <c r="E7385" t="s">
        <v>30</v>
      </c>
    </row>
    <row r="7386" spans="2:13" x14ac:dyDescent="0.2">
      <c r="C7386" t="b">
        <v>0</v>
      </c>
      <c r="D7386">
        <v>1170.08</v>
      </c>
      <c r="E7386" t="s">
        <v>30</v>
      </c>
    </row>
    <row r="7387" spans="2:13" x14ac:dyDescent="0.2">
      <c r="B7387" t="s">
        <v>11</v>
      </c>
    </row>
    <row r="7388" spans="2:13" x14ac:dyDescent="0.2">
      <c r="B7388" t="s">
        <v>12</v>
      </c>
      <c r="C7388" t="s">
        <v>13</v>
      </c>
      <c r="D7388" t="s">
        <v>14</v>
      </c>
      <c r="E7388" t="s">
        <v>15</v>
      </c>
      <c r="F7388" t="s">
        <v>16</v>
      </c>
      <c r="G7388" t="s">
        <v>17</v>
      </c>
      <c r="H7388" t="s">
        <v>18</v>
      </c>
      <c r="I7388" t="s">
        <v>19</v>
      </c>
      <c r="J7388" t="s">
        <v>20</v>
      </c>
      <c r="K7388" t="s">
        <v>21</v>
      </c>
      <c r="L7388" t="s">
        <v>22</v>
      </c>
      <c r="M7388" t="s">
        <v>23</v>
      </c>
    </row>
    <row r="7389" spans="2:13" x14ac:dyDescent="0.2">
      <c r="B7389" t="s">
        <v>33</v>
      </c>
      <c r="C7389">
        <v>89</v>
      </c>
      <c r="E7389" t="s">
        <v>25</v>
      </c>
      <c r="F7389">
        <v>6145.87</v>
      </c>
      <c r="G7389">
        <v>3.1</v>
      </c>
      <c r="K7389">
        <v>0.1</v>
      </c>
      <c r="L7389">
        <v>7</v>
      </c>
      <c r="M7389">
        <v>81.599999999999994</v>
      </c>
    </row>
    <row r="7390" spans="2:13" x14ac:dyDescent="0.2">
      <c r="C7390" t="s">
        <v>27</v>
      </c>
    </row>
    <row r="7391" spans="2:13" x14ac:dyDescent="0.2">
      <c r="C7391" t="s">
        <v>28</v>
      </c>
      <c r="D7391" t="s">
        <v>16</v>
      </c>
      <c r="E7391" t="s">
        <v>29</v>
      </c>
      <c r="F7391" t="s">
        <v>18</v>
      </c>
    </row>
    <row r="7392" spans="2:13" x14ac:dyDescent="0.2">
      <c r="C7392" t="b">
        <v>0</v>
      </c>
      <c r="D7392">
        <v>6181.61</v>
      </c>
      <c r="E7392" t="s">
        <v>30</v>
      </c>
    </row>
    <row r="7393" spans="1:13" x14ac:dyDescent="0.2">
      <c r="C7393" t="b">
        <v>0</v>
      </c>
      <c r="D7393">
        <v>6381.63</v>
      </c>
      <c r="E7393" t="s">
        <v>30</v>
      </c>
    </row>
    <row r="7394" spans="1:13" x14ac:dyDescent="0.2">
      <c r="C7394" t="b">
        <v>0</v>
      </c>
      <c r="D7394">
        <v>6121.57</v>
      </c>
      <c r="E7394" t="s">
        <v>30</v>
      </c>
    </row>
    <row r="7395" spans="1:13" x14ac:dyDescent="0.2">
      <c r="C7395" t="b">
        <v>0</v>
      </c>
      <c r="D7395">
        <v>5861.46</v>
      </c>
      <c r="E7395" t="s">
        <v>30</v>
      </c>
    </row>
    <row r="7396" spans="1:13" x14ac:dyDescent="0.2">
      <c r="C7396" t="b">
        <v>0</v>
      </c>
      <c r="D7396">
        <v>5981.53</v>
      </c>
      <c r="E7396" t="s">
        <v>30</v>
      </c>
    </row>
    <row r="7397" spans="1:13" x14ac:dyDescent="0.2">
      <c r="C7397" t="b">
        <v>0</v>
      </c>
      <c r="D7397">
        <v>6381.69</v>
      </c>
      <c r="E7397" t="s">
        <v>30</v>
      </c>
    </row>
    <row r="7398" spans="1:13" x14ac:dyDescent="0.2">
      <c r="C7398" t="b">
        <v>0</v>
      </c>
      <c r="D7398">
        <v>6111.57</v>
      </c>
      <c r="E7398" t="s">
        <v>30</v>
      </c>
    </row>
    <row r="7399" spans="1:13" x14ac:dyDescent="0.2">
      <c r="A7399" t="s">
        <v>0</v>
      </c>
    </row>
    <row r="7400" spans="1:13" x14ac:dyDescent="0.2">
      <c r="B7400" t="s">
        <v>1</v>
      </c>
      <c r="C7400" t="s">
        <v>2</v>
      </c>
      <c r="D7400" t="s">
        <v>3</v>
      </c>
      <c r="E7400" t="s">
        <v>4</v>
      </c>
      <c r="F7400" t="s">
        <v>5</v>
      </c>
      <c r="G7400" t="s">
        <v>6</v>
      </c>
    </row>
    <row r="7401" spans="1:13" x14ac:dyDescent="0.2">
      <c r="B7401" t="b">
        <v>0</v>
      </c>
      <c r="C7401" t="s">
        <v>484</v>
      </c>
      <c r="D7401" t="s">
        <v>485</v>
      </c>
      <c r="E7401" t="s">
        <v>0</v>
      </c>
      <c r="G7401" t="s">
        <v>486</v>
      </c>
    </row>
    <row r="7402" spans="1:13" x14ac:dyDescent="0.2">
      <c r="B7402" t="s">
        <v>11</v>
      </c>
    </row>
    <row r="7403" spans="1:13" x14ac:dyDescent="0.2">
      <c r="B7403" t="s">
        <v>12</v>
      </c>
      <c r="C7403" t="s">
        <v>13</v>
      </c>
      <c r="D7403" t="s">
        <v>14</v>
      </c>
      <c r="E7403" t="s">
        <v>15</v>
      </c>
      <c r="F7403" t="s">
        <v>16</v>
      </c>
      <c r="G7403" t="s">
        <v>17</v>
      </c>
      <c r="H7403" t="s">
        <v>18</v>
      </c>
      <c r="I7403" t="s">
        <v>19</v>
      </c>
      <c r="J7403" t="s">
        <v>20</v>
      </c>
      <c r="K7403" t="s">
        <v>21</v>
      </c>
      <c r="L7403" t="s">
        <v>22</v>
      </c>
      <c r="M7403" t="s">
        <v>23</v>
      </c>
    </row>
    <row r="7404" spans="1:13" x14ac:dyDescent="0.2">
      <c r="B7404" t="s">
        <v>24</v>
      </c>
      <c r="C7404">
        <v>59</v>
      </c>
      <c r="E7404" t="s">
        <v>25</v>
      </c>
      <c r="F7404">
        <v>2032415.77</v>
      </c>
      <c r="G7404">
        <v>1.2</v>
      </c>
      <c r="H7404">
        <v>0.626</v>
      </c>
      <c r="I7404" t="s">
        <v>26</v>
      </c>
      <c r="J7404">
        <v>1.2</v>
      </c>
      <c r="K7404">
        <v>0.1</v>
      </c>
      <c r="L7404">
        <v>7</v>
      </c>
    </row>
    <row r="7405" spans="1:13" x14ac:dyDescent="0.2">
      <c r="C7405" t="s">
        <v>27</v>
      </c>
    </row>
    <row r="7406" spans="1:13" x14ac:dyDescent="0.2">
      <c r="C7406" t="s">
        <v>28</v>
      </c>
      <c r="D7406" t="s">
        <v>16</v>
      </c>
      <c r="E7406" t="s">
        <v>29</v>
      </c>
      <c r="F7406" t="s">
        <v>18</v>
      </c>
    </row>
    <row r="7407" spans="1:13" x14ac:dyDescent="0.2">
      <c r="C7407" t="b">
        <v>0</v>
      </c>
      <c r="D7407">
        <v>2013047.47</v>
      </c>
      <c r="E7407" t="s">
        <v>67</v>
      </c>
      <c r="F7407">
        <v>0.62</v>
      </c>
    </row>
    <row r="7408" spans="1:13" x14ac:dyDescent="0.2">
      <c r="C7408" t="b">
        <v>0</v>
      </c>
      <c r="D7408">
        <v>2035339.34</v>
      </c>
      <c r="E7408" t="s">
        <v>67</v>
      </c>
      <c r="F7408">
        <v>0.627</v>
      </c>
    </row>
    <row r="7409" spans="2:13" x14ac:dyDescent="0.2">
      <c r="C7409" t="b">
        <v>0</v>
      </c>
      <c r="D7409">
        <v>2019887.16</v>
      </c>
      <c r="E7409" t="s">
        <v>67</v>
      </c>
      <c r="F7409">
        <v>0.623</v>
      </c>
    </row>
    <row r="7410" spans="2:13" x14ac:dyDescent="0.2">
      <c r="C7410" t="b">
        <v>0</v>
      </c>
      <c r="D7410">
        <v>2062744.66</v>
      </c>
      <c r="E7410" t="s">
        <v>67</v>
      </c>
      <c r="F7410">
        <v>0.63600000000000001</v>
      </c>
    </row>
    <row r="7411" spans="2:13" x14ac:dyDescent="0.2">
      <c r="C7411" t="b">
        <v>0</v>
      </c>
      <c r="D7411">
        <v>2019053.88</v>
      </c>
      <c r="E7411" t="s">
        <v>67</v>
      </c>
      <c r="F7411">
        <v>0.622</v>
      </c>
    </row>
    <row r="7412" spans="2:13" x14ac:dyDescent="0.2">
      <c r="C7412" t="b">
        <v>0</v>
      </c>
      <c r="D7412">
        <v>2070221.69</v>
      </c>
      <c r="E7412" t="s">
        <v>67</v>
      </c>
      <c r="F7412">
        <v>0.63800000000000001</v>
      </c>
    </row>
    <row r="7413" spans="2:13" x14ac:dyDescent="0.2">
      <c r="C7413" t="b">
        <v>0</v>
      </c>
      <c r="D7413">
        <v>2006616.22</v>
      </c>
      <c r="E7413" t="s">
        <v>67</v>
      </c>
      <c r="F7413">
        <v>0.61799999999999999</v>
      </c>
    </row>
    <row r="7414" spans="2:13" x14ac:dyDescent="0.2">
      <c r="B7414" t="s">
        <v>11</v>
      </c>
    </row>
    <row r="7415" spans="2:13" x14ac:dyDescent="0.2">
      <c r="B7415" t="s">
        <v>12</v>
      </c>
      <c r="C7415" t="s">
        <v>13</v>
      </c>
      <c r="D7415" t="s">
        <v>14</v>
      </c>
      <c r="E7415" t="s">
        <v>15</v>
      </c>
      <c r="F7415" t="s">
        <v>16</v>
      </c>
      <c r="G7415" t="s">
        <v>17</v>
      </c>
      <c r="H7415" t="s">
        <v>18</v>
      </c>
      <c r="I7415" t="s">
        <v>19</v>
      </c>
      <c r="J7415" t="s">
        <v>20</v>
      </c>
      <c r="K7415" t="s">
        <v>21</v>
      </c>
      <c r="L7415" t="s">
        <v>22</v>
      </c>
      <c r="M7415" t="s">
        <v>23</v>
      </c>
    </row>
    <row r="7416" spans="2:13" x14ac:dyDescent="0.2">
      <c r="B7416" t="s">
        <v>31</v>
      </c>
      <c r="C7416">
        <v>45</v>
      </c>
      <c r="E7416" t="s">
        <v>25</v>
      </c>
      <c r="F7416">
        <v>1464.42</v>
      </c>
      <c r="G7416">
        <v>10.7</v>
      </c>
      <c r="K7416">
        <v>0.1</v>
      </c>
      <c r="L7416">
        <v>7</v>
      </c>
      <c r="M7416">
        <v>112.9</v>
      </c>
    </row>
    <row r="7417" spans="2:13" x14ac:dyDescent="0.2">
      <c r="C7417" t="s">
        <v>27</v>
      </c>
    </row>
    <row r="7418" spans="2:13" x14ac:dyDescent="0.2">
      <c r="C7418" t="s">
        <v>28</v>
      </c>
      <c r="D7418" t="s">
        <v>16</v>
      </c>
      <c r="E7418" t="s">
        <v>29</v>
      </c>
      <c r="F7418" t="s">
        <v>18</v>
      </c>
    </row>
    <row r="7419" spans="2:13" x14ac:dyDescent="0.2">
      <c r="C7419" t="b">
        <v>0</v>
      </c>
      <c r="D7419">
        <v>1660.15</v>
      </c>
      <c r="E7419" t="s">
        <v>30</v>
      </c>
    </row>
    <row r="7420" spans="2:13" x14ac:dyDescent="0.2">
      <c r="C7420" t="b">
        <v>0</v>
      </c>
      <c r="D7420">
        <v>1410.12</v>
      </c>
      <c r="E7420" t="s">
        <v>30</v>
      </c>
    </row>
    <row r="7421" spans="2:13" x14ac:dyDescent="0.2">
      <c r="C7421" t="b">
        <v>0</v>
      </c>
      <c r="D7421">
        <v>1340.11</v>
      </c>
      <c r="E7421" t="s">
        <v>30</v>
      </c>
    </row>
    <row r="7422" spans="2:13" x14ac:dyDescent="0.2">
      <c r="C7422" t="b">
        <v>0</v>
      </c>
      <c r="D7422">
        <v>1620.16</v>
      </c>
      <c r="E7422" t="s">
        <v>30</v>
      </c>
    </row>
    <row r="7423" spans="2:13" x14ac:dyDescent="0.2">
      <c r="C7423" t="b">
        <v>0</v>
      </c>
      <c r="D7423">
        <v>1600.15</v>
      </c>
      <c r="E7423" t="s">
        <v>30</v>
      </c>
    </row>
    <row r="7424" spans="2:13" x14ac:dyDescent="0.2">
      <c r="C7424" t="b">
        <v>0</v>
      </c>
      <c r="D7424">
        <v>1310.1099999999999</v>
      </c>
      <c r="E7424" t="s">
        <v>30</v>
      </c>
    </row>
    <row r="7425" spans="2:13" x14ac:dyDescent="0.2">
      <c r="C7425" t="b">
        <v>0</v>
      </c>
      <c r="D7425">
        <v>1310.1099999999999</v>
      </c>
      <c r="E7425" t="s">
        <v>30</v>
      </c>
    </row>
    <row r="7426" spans="2:13" x14ac:dyDescent="0.2">
      <c r="B7426" t="s">
        <v>11</v>
      </c>
    </row>
    <row r="7427" spans="2:13" x14ac:dyDescent="0.2">
      <c r="B7427" t="s">
        <v>12</v>
      </c>
      <c r="C7427" t="s">
        <v>13</v>
      </c>
      <c r="D7427" t="s">
        <v>14</v>
      </c>
      <c r="E7427" t="s">
        <v>15</v>
      </c>
      <c r="F7427" t="s">
        <v>16</v>
      </c>
      <c r="G7427" t="s">
        <v>17</v>
      </c>
      <c r="H7427" t="s">
        <v>18</v>
      </c>
      <c r="I7427" t="s">
        <v>19</v>
      </c>
      <c r="J7427" t="s">
        <v>20</v>
      </c>
      <c r="K7427" t="s">
        <v>21</v>
      </c>
      <c r="L7427" t="s">
        <v>22</v>
      </c>
      <c r="M7427" t="s">
        <v>23</v>
      </c>
    </row>
    <row r="7428" spans="2:13" x14ac:dyDescent="0.2">
      <c r="B7428" t="s">
        <v>32</v>
      </c>
      <c r="C7428">
        <v>72</v>
      </c>
      <c r="E7428" t="s">
        <v>25</v>
      </c>
      <c r="F7428">
        <v>1345.83</v>
      </c>
      <c r="G7428">
        <v>6.8</v>
      </c>
      <c r="K7428">
        <v>0.1</v>
      </c>
      <c r="L7428">
        <v>7</v>
      </c>
      <c r="M7428">
        <v>97.5</v>
      </c>
    </row>
    <row r="7429" spans="2:13" x14ac:dyDescent="0.2">
      <c r="C7429" t="s">
        <v>27</v>
      </c>
    </row>
    <row r="7430" spans="2:13" x14ac:dyDescent="0.2">
      <c r="C7430" t="s">
        <v>28</v>
      </c>
      <c r="D7430" t="s">
        <v>16</v>
      </c>
      <c r="E7430" t="s">
        <v>29</v>
      </c>
      <c r="F7430" t="s">
        <v>18</v>
      </c>
    </row>
    <row r="7431" spans="2:13" x14ac:dyDescent="0.2">
      <c r="C7431" t="b">
        <v>0</v>
      </c>
      <c r="D7431">
        <v>1460.13</v>
      </c>
      <c r="E7431" t="s">
        <v>30</v>
      </c>
    </row>
    <row r="7432" spans="2:13" x14ac:dyDescent="0.2">
      <c r="C7432" t="b">
        <v>0</v>
      </c>
      <c r="D7432">
        <v>1480.12</v>
      </c>
      <c r="E7432" t="s">
        <v>30</v>
      </c>
    </row>
    <row r="7433" spans="2:13" x14ac:dyDescent="0.2">
      <c r="C7433" t="b">
        <v>0</v>
      </c>
      <c r="D7433">
        <v>1310.1099999999999</v>
      </c>
      <c r="E7433" t="s">
        <v>30</v>
      </c>
    </row>
    <row r="7434" spans="2:13" x14ac:dyDescent="0.2">
      <c r="C7434" t="b">
        <v>0</v>
      </c>
      <c r="D7434">
        <v>1270.0999999999999</v>
      </c>
      <c r="E7434" t="s">
        <v>30</v>
      </c>
    </row>
    <row r="7435" spans="2:13" x14ac:dyDescent="0.2">
      <c r="C7435" t="b">
        <v>0</v>
      </c>
      <c r="D7435">
        <v>1270.1099999999999</v>
      </c>
      <c r="E7435" t="s">
        <v>30</v>
      </c>
    </row>
    <row r="7436" spans="2:13" x14ac:dyDescent="0.2">
      <c r="C7436" t="b">
        <v>0</v>
      </c>
      <c r="D7436">
        <v>1270.0999999999999</v>
      </c>
      <c r="E7436" t="s">
        <v>30</v>
      </c>
    </row>
    <row r="7437" spans="2:13" x14ac:dyDescent="0.2">
      <c r="C7437" t="b">
        <v>0</v>
      </c>
      <c r="D7437">
        <v>1360.11</v>
      </c>
      <c r="E7437" t="s">
        <v>30</v>
      </c>
    </row>
    <row r="7438" spans="2:13" x14ac:dyDescent="0.2">
      <c r="B7438" t="s">
        <v>11</v>
      </c>
    </row>
    <row r="7439" spans="2:13" x14ac:dyDescent="0.2">
      <c r="B7439" t="s">
        <v>12</v>
      </c>
      <c r="C7439" t="s">
        <v>13</v>
      </c>
      <c r="D7439" t="s">
        <v>14</v>
      </c>
      <c r="E7439" t="s">
        <v>15</v>
      </c>
      <c r="F7439" t="s">
        <v>16</v>
      </c>
      <c r="G7439" t="s">
        <v>17</v>
      </c>
      <c r="H7439" t="s">
        <v>18</v>
      </c>
      <c r="I7439" t="s">
        <v>19</v>
      </c>
      <c r="J7439" t="s">
        <v>20</v>
      </c>
      <c r="K7439" t="s">
        <v>21</v>
      </c>
      <c r="L7439" t="s">
        <v>22</v>
      </c>
      <c r="M7439" t="s">
        <v>23</v>
      </c>
    </row>
    <row r="7440" spans="2:13" x14ac:dyDescent="0.2">
      <c r="B7440" t="s">
        <v>33</v>
      </c>
      <c r="C7440">
        <v>89</v>
      </c>
      <c r="E7440" t="s">
        <v>25</v>
      </c>
      <c r="F7440">
        <v>7665.25</v>
      </c>
      <c r="G7440">
        <v>3.7</v>
      </c>
      <c r="K7440">
        <v>0.1</v>
      </c>
      <c r="L7440">
        <v>7</v>
      </c>
      <c r="M7440">
        <v>101.8</v>
      </c>
    </row>
    <row r="7441" spans="1:13" x14ac:dyDescent="0.2">
      <c r="C7441" t="s">
        <v>27</v>
      </c>
    </row>
    <row r="7442" spans="1:13" x14ac:dyDescent="0.2">
      <c r="C7442" t="s">
        <v>28</v>
      </c>
      <c r="D7442" t="s">
        <v>16</v>
      </c>
      <c r="E7442" t="s">
        <v>29</v>
      </c>
      <c r="F7442" t="s">
        <v>18</v>
      </c>
    </row>
    <row r="7443" spans="1:13" x14ac:dyDescent="0.2">
      <c r="C7443" t="b">
        <v>0</v>
      </c>
      <c r="D7443">
        <v>8082.61</v>
      </c>
      <c r="E7443" t="s">
        <v>30</v>
      </c>
    </row>
    <row r="7444" spans="1:13" x14ac:dyDescent="0.2">
      <c r="C7444" t="b">
        <v>0</v>
      </c>
      <c r="D7444">
        <v>7852.57</v>
      </c>
      <c r="E7444" t="s">
        <v>30</v>
      </c>
    </row>
    <row r="7445" spans="1:13" x14ac:dyDescent="0.2">
      <c r="C7445" t="b">
        <v>0</v>
      </c>
      <c r="D7445">
        <v>7812.47</v>
      </c>
      <c r="E7445" t="s">
        <v>30</v>
      </c>
    </row>
    <row r="7446" spans="1:13" x14ac:dyDescent="0.2">
      <c r="C7446" t="b">
        <v>0</v>
      </c>
      <c r="D7446">
        <v>7752.51</v>
      </c>
      <c r="E7446" t="s">
        <v>30</v>
      </c>
    </row>
    <row r="7447" spans="1:13" x14ac:dyDescent="0.2">
      <c r="C7447" t="b">
        <v>0</v>
      </c>
      <c r="D7447">
        <v>7332.16</v>
      </c>
      <c r="E7447" t="s">
        <v>30</v>
      </c>
    </row>
    <row r="7448" spans="1:13" x14ac:dyDescent="0.2">
      <c r="C7448" t="b">
        <v>0</v>
      </c>
      <c r="D7448">
        <v>7452.21</v>
      </c>
      <c r="E7448" t="s">
        <v>30</v>
      </c>
    </row>
    <row r="7449" spans="1:13" x14ac:dyDescent="0.2">
      <c r="C7449" t="b">
        <v>0</v>
      </c>
      <c r="D7449">
        <v>7372.23</v>
      </c>
      <c r="E7449" t="s">
        <v>30</v>
      </c>
    </row>
    <row r="7450" spans="1:13" x14ac:dyDescent="0.2">
      <c r="A7450" t="s">
        <v>0</v>
      </c>
    </row>
    <row r="7451" spans="1:13" x14ac:dyDescent="0.2">
      <c r="B7451" t="s">
        <v>1</v>
      </c>
      <c r="C7451" t="s">
        <v>2</v>
      </c>
      <c r="D7451" t="s">
        <v>3</v>
      </c>
      <c r="E7451" t="s">
        <v>4</v>
      </c>
      <c r="F7451" t="s">
        <v>5</v>
      </c>
      <c r="G7451" t="s">
        <v>6</v>
      </c>
    </row>
    <row r="7452" spans="1:13" x14ac:dyDescent="0.2">
      <c r="A7452" t="s">
        <v>487</v>
      </c>
      <c r="B7452" t="b">
        <v>0</v>
      </c>
      <c r="C7452" t="s">
        <v>488</v>
      </c>
      <c r="D7452" t="s">
        <v>489</v>
      </c>
      <c r="E7452" t="s">
        <v>0</v>
      </c>
      <c r="G7452" t="s">
        <v>197</v>
      </c>
    </row>
    <row r="7453" spans="1:13" x14ac:dyDescent="0.2">
      <c r="B7453" t="s">
        <v>11</v>
      </c>
    </row>
    <row r="7454" spans="1:13" x14ac:dyDescent="0.2">
      <c r="B7454" t="s">
        <v>12</v>
      </c>
      <c r="C7454" t="s">
        <v>13</v>
      </c>
      <c r="D7454" t="s">
        <v>14</v>
      </c>
      <c r="E7454" t="s">
        <v>15</v>
      </c>
      <c r="F7454" t="s">
        <v>16</v>
      </c>
      <c r="G7454" t="s">
        <v>17</v>
      </c>
      <c r="H7454" t="s">
        <v>18</v>
      </c>
      <c r="I7454" t="s">
        <v>19</v>
      </c>
      <c r="J7454" t="s">
        <v>20</v>
      </c>
      <c r="K7454" t="s">
        <v>21</v>
      </c>
      <c r="L7454" t="s">
        <v>22</v>
      </c>
      <c r="M7454" t="s">
        <v>23</v>
      </c>
    </row>
    <row r="7455" spans="1:13" x14ac:dyDescent="0.2">
      <c r="B7455" t="s">
        <v>24</v>
      </c>
      <c r="C7455">
        <v>59</v>
      </c>
      <c r="E7455" t="s">
        <v>25</v>
      </c>
      <c r="F7455">
        <v>603176.46</v>
      </c>
      <c r="G7455">
        <v>1.1000000000000001</v>
      </c>
      <c r="H7455">
        <v>0.186</v>
      </c>
      <c r="I7455" t="s">
        <v>26</v>
      </c>
      <c r="J7455">
        <v>1.1000000000000001</v>
      </c>
      <c r="K7455">
        <v>0.1</v>
      </c>
      <c r="L7455">
        <v>7</v>
      </c>
    </row>
    <row r="7456" spans="1:13" x14ac:dyDescent="0.2">
      <c r="C7456" t="s">
        <v>27</v>
      </c>
    </row>
    <row r="7457" spans="2:13" x14ac:dyDescent="0.2">
      <c r="C7457" t="s">
        <v>28</v>
      </c>
      <c r="D7457" t="s">
        <v>16</v>
      </c>
      <c r="E7457" t="s">
        <v>29</v>
      </c>
      <c r="F7457" t="s">
        <v>18</v>
      </c>
    </row>
    <row r="7458" spans="2:13" x14ac:dyDescent="0.2">
      <c r="C7458" t="b">
        <v>0</v>
      </c>
      <c r="D7458">
        <v>596675.18999999994</v>
      </c>
      <c r="E7458" t="s">
        <v>30</v>
      </c>
      <c r="F7458">
        <v>0.184</v>
      </c>
    </row>
    <row r="7459" spans="2:13" x14ac:dyDescent="0.2">
      <c r="C7459" t="b">
        <v>0</v>
      </c>
      <c r="D7459">
        <v>605902.32999999996</v>
      </c>
      <c r="E7459" t="s">
        <v>30</v>
      </c>
      <c r="F7459">
        <v>0.187</v>
      </c>
    </row>
    <row r="7460" spans="2:13" x14ac:dyDescent="0.2">
      <c r="C7460" t="b">
        <v>0</v>
      </c>
      <c r="D7460">
        <v>602712.65</v>
      </c>
      <c r="E7460" t="s">
        <v>30</v>
      </c>
      <c r="F7460">
        <v>0.186</v>
      </c>
    </row>
    <row r="7461" spans="2:13" x14ac:dyDescent="0.2">
      <c r="C7461" t="b">
        <v>0</v>
      </c>
      <c r="D7461">
        <v>611529.25</v>
      </c>
      <c r="E7461" t="s">
        <v>30</v>
      </c>
      <c r="F7461">
        <v>0.188</v>
      </c>
    </row>
    <row r="7462" spans="2:13" x14ac:dyDescent="0.2">
      <c r="C7462" t="b">
        <v>0</v>
      </c>
      <c r="D7462">
        <v>596162.37</v>
      </c>
      <c r="E7462" t="s">
        <v>30</v>
      </c>
      <c r="F7462">
        <v>0.184</v>
      </c>
    </row>
    <row r="7463" spans="2:13" x14ac:dyDescent="0.2">
      <c r="C7463" t="b">
        <v>0</v>
      </c>
      <c r="D7463">
        <v>610566.12</v>
      </c>
      <c r="E7463" t="s">
        <v>30</v>
      </c>
      <c r="F7463">
        <v>0.188</v>
      </c>
    </row>
    <row r="7464" spans="2:13" x14ac:dyDescent="0.2">
      <c r="C7464" t="b">
        <v>0</v>
      </c>
      <c r="D7464">
        <v>598687.30000000005</v>
      </c>
      <c r="E7464" t="s">
        <v>30</v>
      </c>
      <c r="F7464">
        <v>0.185</v>
      </c>
    </row>
    <row r="7465" spans="2:13" x14ac:dyDescent="0.2">
      <c r="B7465" t="s">
        <v>11</v>
      </c>
    </row>
    <row r="7466" spans="2:13" x14ac:dyDescent="0.2">
      <c r="B7466" t="s">
        <v>12</v>
      </c>
      <c r="C7466" t="s">
        <v>13</v>
      </c>
      <c r="D7466" t="s">
        <v>14</v>
      </c>
      <c r="E7466" t="s">
        <v>15</v>
      </c>
      <c r="F7466" t="s">
        <v>16</v>
      </c>
      <c r="G7466" t="s">
        <v>17</v>
      </c>
      <c r="H7466" t="s">
        <v>18</v>
      </c>
      <c r="I7466" t="s">
        <v>19</v>
      </c>
      <c r="J7466" t="s">
        <v>20</v>
      </c>
      <c r="K7466" t="s">
        <v>21</v>
      </c>
      <c r="L7466" t="s">
        <v>22</v>
      </c>
      <c r="M7466" t="s">
        <v>23</v>
      </c>
    </row>
    <row r="7467" spans="2:13" x14ac:dyDescent="0.2">
      <c r="B7467" t="s">
        <v>31</v>
      </c>
      <c r="C7467">
        <v>45</v>
      </c>
      <c r="E7467" t="s">
        <v>25</v>
      </c>
      <c r="F7467">
        <v>1600.15</v>
      </c>
      <c r="G7467">
        <v>13.3</v>
      </c>
      <c r="K7467">
        <v>0.1</v>
      </c>
      <c r="L7467">
        <v>7</v>
      </c>
      <c r="M7467">
        <v>123.3</v>
      </c>
    </row>
    <row r="7468" spans="2:13" x14ac:dyDescent="0.2">
      <c r="C7468" t="s">
        <v>27</v>
      </c>
    </row>
    <row r="7469" spans="2:13" x14ac:dyDescent="0.2">
      <c r="C7469" t="s">
        <v>28</v>
      </c>
      <c r="D7469" t="s">
        <v>16</v>
      </c>
      <c r="E7469" t="s">
        <v>29</v>
      </c>
      <c r="F7469" t="s">
        <v>18</v>
      </c>
    </row>
    <row r="7470" spans="2:13" x14ac:dyDescent="0.2">
      <c r="C7470" t="b">
        <v>0</v>
      </c>
      <c r="D7470">
        <v>1750.17</v>
      </c>
      <c r="E7470" t="s">
        <v>30</v>
      </c>
    </row>
    <row r="7471" spans="2:13" x14ac:dyDescent="0.2">
      <c r="C7471" t="b">
        <v>0</v>
      </c>
      <c r="D7471">
        <v>1530.13</v>
      </c>
      <c r="E7471" t="s">
        <v>30</v>
      </c>
    </row>
    <row r="7472" spans="2:13" x14ac:dyDescent="0.2">
      <c r="C7472" t="b">
        <v>0</v>
      </c>
      <c r="D7472">
        <v>1600.16</v>
      </c>
      <c r="E7472" t="s">
        <v>30</v>
      </c>
    </row>
    <row r="7473" spans="2:13" x14ac:dyDescent="0.2">
      <c r="C7473" t="b">
        <v>0</v>
      </c>
      <c r="D7473">
        <v>1930.2</v>
      </c>
      <c r="E7473" t="s">
        <v>30</v>
      </c>
    </row>
    <row r="7474" spans="2:13" x14ac:dyDescent="0.2">
      <c r="C7474" t="b">
        <v>0</v>
      </c>
      <c r="D7474">
        <v>1420.11</v>
      </c>
      <c r="E7474" t="s">
        <v>30</v>
      </c>
    </row>
    <row r="7475" spans="2:13" x14ac:dyDescent="0.2">
      <c r="C7475" t="b">
        <v>0</v>
      </c>
      <c r="D7475">
        <v>1680.15</v>
      </c>
      <c r="E7475" t="s">
        <v>30</v>
      </c>
    </row>
    <row r="7476" spans="2:13" x14ac:dyDescent="0.2">
      <c r="C7476" t="b">
        <v>0</v>
      </c>
      <c r="D7476">
        <v>1290.1099999999999</v>
      </c>
      <c r="E7476" t="s">
        <v>30</v>
      </c>
    </row>
    <row r="7477" spans="2:13" x14ac:dyDescent="0.2">
      <c r="B7477" t="s">
        <v>11</v>
      </c>
    </row>
    <row r="7478" spans="2:13" x14ac:dyDescent="0.2">
      <c r="B7478" t="s">
        <v>12</v>
      </c>
      <c r="C7478" t="s">
        <v>13</v>
      </c>
      <c r="D7478" t="s">
        <v>14</v>
      </c>
      <c r="E7478" t="s">
        <v>15</v>
      </c>
      <c r="F7478" t="s">
        <v>16</v>
      </c>
      <c r="G7478" t="s">
        <v>17</v>
      </c>
      <c r="H7478" t="s">
        <v>18</v>
      </c>
      <c r="I7478" t="s">
        <v>19</v>
      </c>
      <c r="J7478" t="s">
        <v>20</v>
      </c>
      <c r="K7478" t="s">
        <v>21</v>
      </c>
      <c r="L7478" t="s">
        <v>22</v>
      </c>
      <c r="M7478" t="s">
        <v>23</v>
      </c>
    </row>
    <row r="7479" spans="2:13" x14ac:dyDescent="0.2">
      <c r="B7479" t="s">
        <v>32</v>
      </c>
      <c r="C7479">
        <v>72</v>
      </c>
      <c r="E7479" t="s">
        <v>25</v>
      </c>
      <c r="F7479">
        <v>1374.41</v>
      </c>
      <c r="G7479">
        <v>11.1</v>
      </c>
      <c r="K7479">
        <v>0.1</v>
      </c>
      <c r="L7479">
        <v>7</v>
      </c>
      <c r="M7479">
        <v>99.6</v>
      </c>
    </row>
    <row r="7480" spans="2:13" x14ac:dyDescent="0.2">
      <c r="C7480" t="s">
        <v>27</v>
      </c>
    </row>
    <row r="7481" spans="2:13" x14ac:dyDescent="0.2">
      <c r="C7481" t="s">
        <v>28</v>
      </c>
      <c r="D7481" t="s">
        <v>16</v>
      </c>
      <c r="E7481" t="s">
        <v>29</v>
      </c>
      <c r="F7481" t="s">
        <v>18</v>
      </c>
    </row>
    <row r="7482" spans="2:13" x14ac:dyDescent="0.2">
      <c r="C7482" t="b">
        <v>0</v>
      </c>
      <c r="D7482">
        <v>1360.12</v>
      </c>
      <c r="E7482" t="s">
        <v>30</v>
      </c>
    </row>
    <row r="7483" spans="2:13" x14ac:dyDescent="0.2">
      <c r="C7483" t="b">
        <v>0</v>
      </c>
      <c r="D7483">
        <v>1200.0899999999999</v>
      </c>
      <c r="E7483" t="s">
        <v>30</v>
      </c>
    </row>
    <row r="7484" spans="2:13" x14ac:dyDescent="0.2">
      <c r="C7484" t="b">
        <v>0</v>
      </c>
      <c r="D7484">
        <v>1330.13</v>
      </c>
      <c r="E7484" t="s">
        <v>30</v>
      </c>
    </row>
    <row r="7485" spans="2:13" x14ac:dyDescent="0.2">
      <c r="C7485" t="b">
        <v>0</v>
      </c>
      <c r="D7485">
        <v>1650.15</v>
      </c>
      <c r="E7485" t="s">
        <v>30</v>
      </c>
    </row>
    <row r="7486" spans="2:13" x14ac:dyDescent="0.2">
      <c r="C7486" t="b">
        <v>0</v>
      </c>
      <c r="D7486">
        <v>1320.12</v>
      </c>
      <c r="E7486" t="s">
        <v>30</v>
      </c>
    </row>
    <row r="7487" spans="2:13" x14ac:dyDescent="0.2">
      <c r="C7487" t="b">
        <v>0</v>
      </c>
      <c r="D7487">
        <v>1500.14</v>
      </c>
      <c r="E7487" t="s">
        <v>30</v>
      </c>
    </row>
    <row r="7488" spans="2:13" x14ac:dyDescent="0.2">
      <c r="C7488" t="b">
        <v>0</v>
      </c>
      <c r="D7488">
        <v>1260.1099999999999</v>
      </c>
      <c r="E7488" t="s">
        <v>30</v>
      </c>
    </row>
    <row r="7489" spans="1:13" x14ac:dyDescent="0.2">
      <c r="B7489" t="s">
        <v>11</v>
      </c>
    </row>
    <row r="7490" spans="1:13" x14ac:dyDescent="0.2">
      <c r="B7490" t="s">
        <v>12</v>
      </c>
      <c r="C7490" t="s">
        <v>13</v>
      </c>
      <c r="D7490" t="s">
        <v>14</v>
      </c>
      <c r="E7490" t="s">
        <v>15</v>
      </c>
      <c r="F7490" t="s">
        <v>16</v>
      </c>
      <c r="G7490" t="s">
        <v>17</v>
      </c>
      <c r="H7490" t="s">
        <v>18</v>
      </c>
      <c r="I7490" t="s">
        <v>19</v>
      </c>
      <c r="J7490" t="s">
        <v>20</v>
      </c>
      <c r="K7490" t="s">
        <v>21</v>
      </c>
      <c r="L7490" t="s">
        <v>22</v>
      </c>
      <c r="M7490" t="s">
        <v>23</v>
      </c>
    </row>
    <row r="7491" spans="1:13" x14ac:dyDescent="0.2">
      <c r="B7491" t="s">
        <v>33</v>
      </c>
      <c r="C7491">
        <v>89</v>
      </c>
      <c r="E7491" t="s">
        <v>25</v>
      </c>
      <c r="F7491">
        <v>8315.65</v>
      </c>
      <c r="G7491">
        <v>5.9</v>
      </c>
      <c r="K7491">
        <v>0.1</v>
      </c>
      <c r="L7491">
        <v>7</v>
      </c>
      <c r="M7491">
        <v>110.4</v>
      </c>
    </row>
    <row r="7492" spans="1:13" x14ac:dyDescent="0.2">
      <c r="C7492" t="s">
        <v>27</v>
      </c>
    </row>
    <row r="7493" spans="1:13" x14ac:dyDescent="0.2">
      <c r="C7493" t="s">
        <v>28</v>
      </c>
      <c r="D7493" t="s">
        <v>16</v>
      </c>
      <c r="E7493" t="s">
        <v>29</v>
      </c>
      <c r="F7493" t="s">
        <v>18</v>
      </c>
    </row>
    <row r="7494" spans="1:13" x14ac:dyDescent="0.2">
      <c r="C7494" t="b">
        <v>0</v>
      </c>
      <c r="D7494">
        <v>7762.43</v>
      </c>
      <c r="E7494" t="s">
        <v>30</v>
      </c>
    </row>
    <row r="7495" spans="1:13" x14ac:dyDescent="0.2">
      <c r="C7495" t="b">
        <v>0</v>
      </c>
      <c r="D7495">
        <v>8112.69</v>
      </c>
      <c r="E7495" t="s">
        <v>30</v>
      </c>
    </row>
    <row r="7496" spans="1:13" x14ac:dyDescent="0.2">
      <c r="C7496" t="b">
        <v>0</v>
      </c>
      <c r="D7496">
        <v>8632.94</v>
      </c>
      <c r="E7496" t="s">
        <v>30</v>
      </c>
    </row>
    <row r="7497" spans="1:13" x14ac:dyDescent="0.2">
      <c r="C7497" t="b">
        <v>0</v>
      </c>
      <c r="D7497">
        <v>8853.24</v>
      </c>
      <c r="E7497" t="s">
        <v>30</v>
      </c>
    </row>
    <row r="7498" spans="1:13" x14ac:dyDescent="0.2">
      <c r="C7498" t="b">
        <v>0</v>
      </c>
      <c r="D7498">
        <v>7772.4</v>
      </c>
      <c r="E7498" t="s">
        <v>30</v>
      </c>
    </row>
    <row r="7499" spans="1:13" x14ac:dyDescent="0.2">
      <c r="C7499" t="b">
        <v>0</v>
      </c>
      <c r="D7499">
        <v>8933.2099999999991</v>
      </c>
      <c r="E7499" t="s">
        <v>30</v>
      </c>
    </row>
    <row r="7500" spans="1:13" x14ac:dyDescent="0.2">
      <c r="C7500" t="b">
        <v>0</v>
      </c>
      <c r="D7500">
        <v>8142.63</v>
      </c>
      <c r="E7500" t="s">
        <v>30</v>
      </c>
    </row>
    <row r="7501" spans="1:13" x14ac:dyDescent="0.2">
      <c r="A7501" t="s">
        <v>0</v>
      </c>
    </row>
    <row r="7502" spans="1:13" x14ac:dyDescent="0.2">
      <c r="B7502" t="s">
        <v>1</v>
      </c>
      <c r="C7502" t="s">
        <v>2</v>
      </c>
      <c r="D7502" t="s">
        <v>3</v>
      </c>
      <c r="E7502" t="s">
        <v>4</v>
      </c>
      <c r="F7502" t="s">
        <v>5</v>
      </c>
      <c r="G7502" t="s">
        <v>6</v>
      </c>
    </row>
    <row r="7503" spans="1:13" x14ac:dyDescent="0.2">
      <c r="B7503" t="b">
        <v>0</v>
      </c>
      <c r="C7503" t="s">
        <v>490</v>
      </c>
      <c r="D7503" t="s">
        <v>491</v>
      </c>
      <c r="E7503" t="s">
        <v>0</v>
      </c>
      <c r="G7503" t="s">
        <v>200</v>
      </c>
    </row>
    <row r="7504" spans="1:13" x14ac:dyDescent="0.2">
      <c r="B7504" t="s">
        <v>11</v>
      </c>
    </row>
    <row r="7505" spans="2:13" x14ac:dyDescent="0.2">
      <c r="B7505" t="s">
        <v>12</v>
      </c>
      <c r="C7505" t="s">
        <v>13</v>
      </c>
      <c r="D7505" t="s">
        <v>14</v>
      </c>
      <c r="E7505" t="s">
        <v>15</v>
      </c>
      <c r="F7505" t="s">
        <v>16</v>
      </c>
      <c r="G7505" t="s">
        <v>17</v>
      </c>
      <c r="H7505" t="s">
        <v>18</v>
      </c>
      <c r="I7505" t="s">
        <v>19</v>
      </c>
      <c r="J7505" t="s">
        <v>20</v>
      </c>
      <c r="K7505" t="s">
        <v>21</v>
      </c>
      <c r="L7505" t="s">
        <v>22</v>
      </c>
      <c r="M7505" t="s">
        <v>23</v>
      </c>
    </row>
    <row r="7506" spans="2:13" x14ac:dyDescent="0.2">
      <c r="B7506" t="s">
        <v>24</v>
      </c>
      <c r="C7506">
        <v>59</v>
      </c>
      <c r="E7506" t="s">
        <v>25</v>
      </c>
      <c r="F7506">
        <v>570032.12</v>
      </c>
      <c r="G7506">
        <v>1.3</v>
      </c>
      <c r="H7506">
        <v>0.17599999999999999</v>
      </c>
      <c r="I7506" t="s">
        <v>26</v>
      </c>
      <c r="J7506">
        <v>1.3</v>
      </c>
      <c r="K7506">
        <v>0.1</v>
      </c>
      <c r="L7506">
        <v>7</v>
      </c>
    </row>
    <row r="7507" spans="2:13" x14ac:dyDescent="0.2">
      <c r="C7507" t="s">
        <v>27</v>
      </c>
    </row>
    <row r="7508" spans="2:13" x14ac:dyDescent="0.2">
      <c r="C7508" t="s">
        <v>28</v>
      </c>
      <c r="D7508" t="s">
        <v>16</v>
      </c>
      <c r="E7508" t="s">
        <v>29</v>
      </c>
      <c r="F7508" t="s">
        <v>18</v>
      </c>
    </row>
    <row r="7509" spans="2:13" x14ac:dyDescent="0.2">
      <c r="C7509" t="b">
        <v>0</v>
      </c>
      <c r="D7509">
        <v>563326.24</v>
      </c>
      <c r="E7509" t="s">
        <v>30</v>
      </c>
      <c r="F7509">
        <v>0.17399999999999999</v>
      </c>
    </row>
    <row r="7510" spans="2:13" x14ac:dyDescent="0.2">
      <c r="C7510" t="b">
        <v>0</v>
      </c>
      <c r="D7510">
        <v>563025.93000000005</v>
      </c>
      <c r="E7510" t="s">
        <v>30</v>
      </c>
      <c r="F7510">
        <v>0.17399999999999999</v>
      </c>
    </row>
    <row r="7511" spans="2:13" x14ac:dyDescent="0.2">
      <c r="C7511" t="b">
        <v>0</v>
      </c>
      <c r="D7511">
        <v>565393.07999999996</v>
      </c>
      <c r="E7511" t="s">
        <v>30</v>
      </c>
      <c r="F7511">
        <v>0.17399999999999999</v>
      </c>
    </row>
    <row r="7512" spans="2:13" x14ac:dyDescent="0.2">
      <c r="C7512" t="b">
        <v>0</v>
      </c>
      <c r="D7512">
        <v>571392.65</v>
      </c>
      <c r="E7512" t="s">
        <v>30</v>
      </c>
      <c r="F7512">
        <v>0.17599999999999999</v>
      </c>
    </row>
    <row r="7513" spans="2:13" x14ac:dyDescent="0.2">
      <c r="C7513" t="b">
        <v>0</v>
      </c>
      <c r="D7513">
        <v>577323.66</v>
      </c>
      <c r="E7513" t="s">
        <v>30</v>
      </c>
      <c r="F7513">
        <v>0.17799999999999999</v>
      </c>
    </row>
    <row r="7514" spans="2:13" x14ac:dyDescent="0.2">
      <c r="C7514" t="b">
        <v>0</v>
      </c>
      <c r="D7514">
        <v>582159.87</v>
      </c>
      <c r="E7514" t="s">
        <v>30</v>
      </c>
      <c r="F7514">
        <v>0.17899999999999999</v>
      </c>
    </row>
    <row r="7515" spans="2:13" x14ac:dyDescent="0.2">
      <c r="C7515" t="b">
        <v>0</v>
      </c>
      <c r="D7515">
        <v>567603.39</v>
      </c>
      <c r="E7515" t="s">
        <v>30</v>
      </c>
      <c r="F7515">
        <v>0.17499999999999999</v>
      </c>
    </row>
    <row r="7516" spans="2:13" x14ac:dyDescent="0.2">
      <c r="B7516" t="s">
        <v>11</v>
      </c>
    </row>
    <row r="7517" spans="2:13" x14ac:dyDescent="0.2">
      <c r="B7517" t="s">
        <v>12</v>
      </c>
      <c r="C7517" t="s">
        <v>13</v>
      </c>
      <c r="D7517" t="s">
        <v>14</v>
      </c>
      <c r="E7517" t="s">
        <v>15</v>
      </c>
      <c r="F7517" t="s">
        <v>16</v>
      </c>
      <c r="G7517" t="s">
        <v>17</v>
      </c>
      <c r="H7517" t="s">
        <v>18</v>
      </c>
      <c r="I7517" t="s">
        <v>19</v>
      </c>
      <c r="J7517" t="s">
        <v>20</v>
      </c>
      <c r="K7517" t="s">
        <v>21</v>
      </c>
      <c r="L7517" t="s">
        <v>22</v>
      </c>
      <c r="M7517" t="s">
        <v>23</v>
      </c>
    </row>
    <row r="7518" spans="2:13" x14ac:dyDescent="0.2">
      <c r="B7518" t="s">
        <v>31</v>
      </c>
      <c r="C7518">
        <v>45</v>
      </c>
      <c r="E7518" t="s">
        <v>25</v>
      </c>
      <c r="F7518">
        <v>1482.99</v>
      </c>
      <c r="G7518">
        <v>3.5</v>
      </c>
      <c r="K7518">
        <v>0.1</v>
      </c>
      <c r="L7518">
        <v>7</v>
      </c>
      <c r="M7518">
        <v>114.3</v>
      </c>
    </row>
    <row r="7519" spans="2:13" x14ac:dyDescent="0.2">
      <c r="C7519" t="s">
        <v>27</v>
      </c>
    </row>
    <row r="7520" spans="2:13" x14ac:dyDescent="0.2">
      <c r="C7520" t="s">
        <v>28</v>
      </c>
      <c r="D7520" t="s">
        <v>16</v>
      </c>
      <c r="E7520" t="s">
        <v>29</v>
      </c>
      <c r="F7520" t="s">
        <v>18</v>
      </c>
    </row>
    <row r="7521" spans="2:13" x14ac:dyDescent="0.2">
      <c r="C7521" t="b">
        <v>0</v>
      </c>
      <c r="D7521">
        <v>1530.13</v>
      </c>
      <c r="E7521" t="s">
        <v>30</v>
      </c>
    </row>
    <row r="7522" spans="2:13" x14ac:dyDescent="0.2">
      <c r="C7522" t="b">
        <v>0</v>
      </c>
      <c r="D7522">
        <v>1450.13</v>
      </c>
      <c r="E7522" t="s">
        <v>30</v>
      </c>
    </row>
    <row r="7523" spans="2:13" x14ac:dyDescent="0.2">
      <c r="C7523" t="b">
        <v>0</v>
      </c>
      <c r="D7523">
        <v>1450.13</v>
      </c>
      <c r="E7523" t="s">
        <v>30</v>
      </c>
    </row>
    <row r="7524" spans="2:13" x14ac:dyDescent="0.2">
      <c r="C7524" t="b">
        <v>0</v>
      </c>
      <c r="D7524">
        <v>1490.13</v>
      </c>
      <c r="E7524" t="s">
        <v>30</v>
      </c>
    </row>
    <row r="7525" spans="2:13" x14ac:dyDescent="0.2">
      <c r="C7525" t="b">
        <v>0</v>
      </c>
      <c r="D7525">
        <v>1400.12</v>
      </c>
      <c r="E7525" t="s">
        <v>30</v>
      </c>
    </row>
    <row r="7526" spans="2:13" x14ac:dyDescent="0.2">
      <c r="C7526" t="b">
        <v>0</v>
      </c>
      <c r="D7526">
        <v>1540.14</v>
      </c>
      <c r="E7526" t="s">
        <v>30</v>
      </c>
    </row>
    <row r="7527" spans="2:13" x14ac:dyDescent="0.2">
      <c r="C7527" t="b">
        <v>0</v>
      </c>
      <c r="D7527">
        <v>1520.15</v>
      </c>
      <c r="E7527" t="s">
        <v>30</v>
      </c>
    </row>
    <row r="7528" spans="2:13" x14ac:dyDescent="0.2">
      <c r="B7528" t="s">
        <v>11</v>
      </c>
    </row>
    <row r="7529" spans="2:13" x14ac:dyDescent="0.2">
      <c r="B7529" t="s">
        <v>12</v>
      </c>
      <c r="C7529" t="s">
        <v>13</v>
      </c>
      <c r="D7529" t="s">
        <v>14</v>
      </c>
      <c r="E7529" t="s">
        <v>15</v>
      </c>
      <c r="F7529" t="s">
        <v>16</v>
      </c>
      <c r="G7529" t="s">
        <v>17</v>
      </c>
      <c r="H7529" t="s">
        <v>18</v>
      </c>
      <c r="I7529" t="s">
        <v>19</v>
      </c>
      <c r="J7529" t="s">
        <v>20</v>
      </c>
      <c r="K7529" t="s">
        <v>21</v>
      </c>
      <c r="L7529" t="s">
        <v>22</v>
      </c>
      <c r="M7529" t="s">
        <v>23</v>
      </c>
    </row>
    <row r="7530" spans="2:13" x14ac:dyDescent="0.2">
      <c r="B7530" t="s">
        <v>32</v>
      </c>
      <c r="C7530">
        <v>72</v>
      </c>
      <c r="E7530" t="s">
        <v>25</v>
      </c>
      <c r="F7530">
        <v>1381.55</v>
      </c>
      <c r="G7530">
        <v>9.4</v>
      </c>
      <c r="K7530">
        <v>0.1</v>
      </c>
      <c r="L7530">
        <v>7</v>
      </c>
      <c r="M7530">
        <v>100.1</v>
      </c>
    </row>
    <row r="7531" spans="2:13" x14ac:dyDescent="0.2">
      <c r="C7531" t="s">
        <v>27</v>
      </c>
    </row>
    <row r="7532" spans="2:13" x14ac:dyDescent="0.2">
      <c r="C7532" t="s">
        <v>28</v>
      </c>
      <c r="D7532" t="s">
        <v>16</v>
      </c>
      <c r="E7532" t="s">
        <v>29</v>
      </c>
      <c r="F7532" t="s">
        <v>18</v>
      </c>
    </row>
    <row r="7533" spans="2:13" x14ac:dyDescent="0.2">
      <c r="C7533" t="b">
        <v>0</v>
      </c>
      <c r="D7533">
        <v>1320.12</v>
      </c>
      <c r="E7533" t="s">
        <v>30</v>
      </c>
    </row>
    <row r="7534" spans="2:13" x14ac:dyDescent="0.2">
      <c r="C7534" t="b">
        <v>0</v>
      </c>
      <c r="D7534">
        <v>1240.0899999999999</v>
      </c>
      <c r="E7534" t="s">
        <v>30</v>
      </c>
    </row>
    <row r="7535" spans="2:13" x14ac:dyDescent="0.2">
      <c r="C7535" t="b">
        <v>0</v>
      </c>
      <c r="D7535">
        <v>1350.12</v>
      </c>
      <c r="E7535" t="s">
        <v>30</v>
      </c>
    </row>
    <row r="7536" spans="2:13" x14ac:dyDescent="0.2">
      <c r="C7536" t="b">
        <v>0</v>
      </c>
      <c r="D7536">
        <v>1640.16</v>
      </c>
      <c r="E7536" t="s">
        <v>30</v>
      </c>
    </row>
    <row r="7537" spans="1:13" x14ac:dyDescent="0.2">
      <c r="C7537" t="b">
        <v>0</v>
      </c>
      <c r="D7537">
        <v>1440.13</v>
      </c>
      <c r="E7537" t="s">
        <v>30</v>
      </c>
    </row>
    <row r="7538" spans="1:13" x14ac:dyDescent="0.2">
      <c r="C7538" t="b">
        <v>0</v>
      </c>
      <c r="D7538">
        <v>1300.1199999999999</v>
      </c>
      <c r="E7538" t="s">
        <v>30</v>
      </c>
    </row>
    <row r="7539" spans="1:13" x14ac:dyDescent="0.2">
      <c r="C7539" t="b">
        <v>0</v>
      </c>
      <c r="D7539">
        <v>1380.12</v>
      </c>
      <c r="E7539" t="s">
        <v>30</v>
      </c>
    </row>
    <row r="7540" spans="1:13" x14ac:dyDescent="0.2">
      <c r="B7540" t="s">
        <v>11</v>
      </c>
    </row>
    <row r="7541" spans="1:13" x14ac:dyDescent="0.2">
      <c r="B7541" t="s">
        <v>12</v>
      </c>
      <c r="C7541" t="s">
        <v>13</v>
      </c>
      <c r="D7541" t="s">
        <v>14</v>
      </c>
      <c r="E7541" t="s">
        <v>15</v>
      </c>
      <c r="F7541" t="s">
        <v>16</v>
      </c>
      <c r="G7541" t="s">
        <v>17</v>
      </c>
      <c r="H7541" t="s">
        <v>18</v>
      </c>
      <c r="I7541" t="s">
        <v>19</v>
      </c>
      <c r="J7541" t="s">
        <v>20</v>
      </c>
      <c r="K7541" t="s">
        <v>21</v>
      </c>
      <c r="L7541" t="s">
        <v>22</v>
      </c>
      <c r="M7541" t="s">
        <v>23</v>
      </c>
    </row>
    <row r="7542" spans="1:13" x14ac:dyDescent="0.2">
      <c r="B7542" t="s">
        <v>33</v>
      </c>
      <c r="C7542">
        <v>89</v>
      </c>
      <c r="E7542" t="s">
        <v>25</v>
      </c>
      <c r="F7542">
        <v>7825.35</v>
      </c>
      <c r="G7542">
        <v>4.4000000000000004</v>
      </c>
      <c r="K7542">
        <v>0.1</v>
      </c>
      <c r="L7542">
        <v>7</v>
      </c>
      <c r="M7542">
        <v>103.9</v>
      </c>
    </row>
    <row r="7543" spans="1:13" x14ac:dyDescent="0.2">
      <c r="C7543" t="s">
        <v>27</v>
      </c>
    </row>
    <row r="7544" spans="1:13" x14ac:dyDescent="0.2">
      <c r="C7544" t="s">
        <v>28</v>
      </c>
      <c r="D7544" t="s">
        <v>16</v>
      </c>
      <c r="E7544" t="s">
        <v>29</v>
      </c>
      <c r="F7544" t="s">
        <v>18</v>
      </c>
    </row>
    <row r="7545" spans="1:13" x14ac:dyDescent="0.2">
      <c r="C7545" t="b">
        <v>0</v>
      </c>
      <c r="D7545">
        <v>7512.36</v>
      </c>
      <c r="E7545" t="s">
        <v>30</v>
      </c>
    </row>
    <row r="7546" spans="1:13" x14ac:dyDescent="0.2">
      <c r="C7546" t="b">
        <v>0</v>
      </c>
      <c r="D7546">
        <v>7712.43</v>
      </c>
      <c r="E7546" t="s">
        <v>30</v>
      </c>
    </row>
    <row r="7547" spans="1:13" x14ac:dyDescent="0.2">
      <c r="C7547" t="b">
        <v>0</v>
      </c>
      <c r="D7547">
        <v>7522.23</v>
      </c>
      <c r="E7547" t="s">
        <v>30</v>
      </c>
    </row>
    <row r="7548" spans="1:13" x14ac:dyDescent="0.2">
      <c r="C7548" t="b">
        <v>0</v>
      </c>
      <c r="D7548">
        <v>7522.33</v>
      </c>
      <c r="E7548" t="s">
        <v>30</v>
      </c>
    </row>
    <row r="7549" spans="1:13" x14ac:dyDescent="0.2">
      <c r="C7549" t="b">
        <v>0</v>
      </c>
      <c r="D7549">
        <v>8092.67</v>
      </c>
      <c r="E7549" t="s">
        <v>30</v>
      </c>
    </row>
    <row r="7550" spans="1:13" x14ac:dyDescent="0.2">
      <c r="C7550" t="b">
        <v>0</v>
      </c>
      <c r="D7550">
        <v>8372.77</v>
      </c>
      <c r="E7550" t="s">
        <v>30</v>
      </c>
    </row>
    <row r="7551" spans="1:13" x14ac:dyDescent="0.2">
      <c r="C7551" t="b">
        <v>0</v>
      </c>
      <c r="D7551">
        <v>8042.63</v>
      </c>
      <c r="E7551" t="s">
        <v>30</v>
      </c>
    </row>
    <row r="7552" spans="1:13" x14ac:dyDescent="0.2">
      <c r="A7552" t="s">
        <v>0</v>
      </c>
    </row>
    <row r="7553" spans="2:13" x14ac:dyDescent="0.2">
      <c r="B7553" t="s">
        <v>1</v>
      </c>
      <c r="C7553" t="s">
        <v>2</v>
      </c>
      <c r="D7553" t="s">
        <v>3</v>
      </c>
      <c r="E7553" t="s">
        <v>4</v>
      </c>
      <c r="F7553" t="s">
        <v>5</v>
      </c>
      <c r="G7553" t="s">
        <v>6</v>
      </c>
    </row>
    <row r="7554" spans="2:13" x14ac:dyDescent="0.2">
      <c r="B7554" t="b">
        <v>0</v>
      </c>
      <c r="C7554" t="s">
        <v>492</v>
      </c>
      <c r="D7554" t="s">
        <v>493</v>
      </c>
      <c r="E7554" t="s">
        <v>0</v>
      </c>
      <c r="G7554" t="s">
        <v>203</v>
      </c>
    </row>
    <row r="7555" spans="2:13" x14ac:dyDescent="0.2">
      <c r="B7555" t="s">
        <v>11</v>
      </c>
    </row>
    <row r="7556" spans="2:13" x14ac:dyDescent="0.2">
      <c r="B7556" t="s">
        <v>12</v>
      </c>
      <c r="C7556" t="s">
        <v>13</v>
      </c>
      <c r="D7556" t="s">
        <v>14</v>
      </c>
      <c r="E7556" t="s">
        <v>15</v>
      </c>
      <c r="F7556" t="s">
        <v>16</v>
      </c>
      <c r="G7556" t="s">
        <v>17</v>
      </c>
      <c r="H7556" t="s">
        <v>18</v>
      </c>
      <c r="I7556" t="s">
        <v>19</v>
      </c>
      <c r="J7556" t="s">
        <v>20</v>
      </c>
      <c r="K7556" t="s">
        <v>21</v>
      </c>
      <c r="L7556" t="s">
        <v>22</v>
      </c>
      <c r="M7556" t="s">
        <v>23</v>
      </c>
    </row>
    <row r="7557" spans="2:13" x14ac:dyDescent="0.2">
      <c r="B7557" t="s">
        <v>24</v>
      </c>
      <c r="C7557">
        <v>59</v>
      </c>
      <c r="E7557" t="s">
        <v>25</v>
      </c>
      <c r="F7557">
        <v>1793002.36</v>
      </c>
      <c r="G7557">
        <v>1.5</v>
      </c>
      <c r="H7557">
        <v>0.55300000000000005</v>
      </c>
      <c r="I7557" t="s">
        <v>26</v>
      </c>
      <c r="J7557">
        <v>1.5</v>
      </c>
      <c r="K7557">
        <v>0.1</v>
      </c>
      <c r="L7557">
        <v>7</v>
      </c>
    </row>
    <row r="7558" spans="2:13" x14ac:dyDescent="0.2">
      <c r="C7558" t="s">
        <v>27</v>
      </c>
    </row>
    <row r="7559" spans="2:13" x14ac:dyDescent="0.2">
      <c r="C7559" t="s">
        <v>28</v>
      </c>
      <c r="D7559" t="s">
        <v>16</v>
      </c>
      <c r="E7559" t="s">
        <v>29</v>
      </c>
      <c r="F7559" t="s">
        <v>18</v>
      </c>
    </row>
    <row r="7560" spans="2:13" x14ac:dyDescent="0.2">
      <c r="C7560" t="b">
        <v>0</v>
      </c>
      <c r="D7560">
        <v>1765760.13</v>
      </c>
      <c r="E7560" t="s">
        <v>67</v>
      </c>
      <c r="F7560">
        <v>0.54400000000000004</v>
      </c>
    </row>
    <row r="7561" spans="2:13" x14ac:dyDescent="0.2">
      <c r="C7561" t="b">
        <v>0</v>
      </c>
      <c r="D7561">
        <v>1784265.75</v>
      </c>
      <c r="E7561" t="s">
        <v>67</v>
      </c>
      <c r="F7561">
        <v>0.55000000000000004</v>
      </c>
    </row>
    <row r="7562" spans="2:13" x14ac:dyDescent="0.2">
      <c r="C7562" t="b">
        <v>0</v>
      </c>
      <c r="D7562">
        <v>1771232.63</v>
      </c>
      <c r="E7562" t="s">
        <v>67</v>
      </c>
      <c r="F7562">
        <v>0.54600000000000004</v>
      </c>
    </row>
    <row r="7563" spans="2:13" x14ac:dyDescent="0.2">
      <c r="C7563" t="b">
        <v>0</v>
      </c>
      <c r="D7563">
        <v>1825166.38</v>
      </c>
      <c r="E7563" t="s">
        <v>67</v>
      </c>
      <c r="F7563">
        <v>0.56299999999999994</v>
      </c>
    </row>
    <row r="7564" spans="2:13" x14ac:dyDescent="0.2">
      <c r="C7564" t="b">
        <v>0</v>
      </c>
      <c r="D7564">
        <v>1765781.07</v>
      </c>
      <c r="E7564" t="s">
        <v>67</v>
      </c>
      <c r="F7564">
        <v>0.54400000000000004</v>
      </c>
    </row>
    <row r="7565" spans="2:13" x14ac:dyDescent="0.2">
      <c r="C7565" t="b">
        <v>0</v>
      </c>
      <c r="D7565">
        <v>1815074.35</v>
      </c>
      <c r="E7565" t="s">
        <v>67</v>
      </c>
      <c r="F7565">
        <v>0.55900000000000005</v>
      </c>
    </row>
    <row r="7566" spans="2:13" x14ac:dyDescent="0.2">
      <c r="C7566" t="b">
        <v>0</v>
      </c>
      <c r="D7566">
        <v>1823736.22</v>
      </c>
      <c r="E7566" t="s">
        <v>67</v>
      </c>
      <c r="F7566">
        <v>0.56200000000000006</v>
      </c>
    </row>
    <row r="7567" spans="2:13" x14ac:dyDescent="0.2">
      <c r="B7567" t="s">
        <v>11</v>
      </c>
    </row>
    <row r="7568" spans="2:13" x14ac:dyDescent="0.2">
      <c r="B7568" t="s">
        <v>12</v>
      </c>
      <c r="C7568" t="s">
        <v>13</v>
      </c>
      <c r="D7568" t="s">
        <v>14</v>
      </c>
      <c r="E7568" t="s">
        <v>15</v>
      </c>
      <c r="F7568" t="s">
        <v>16</v>
      </c>
      <c r="G7568" t="s">
        <v>17</v>
      </c>
      <c r="H7568" t="s">
        <v>18</v>
      </c>
      <c r="I7568" t="s">
        <v>19</v>
      </c>
      <c r="J7568" t="s">
        <v>20</v>
      </c>
      <c r="K7568" t="s">
        <v>21</v>
      </c>
      <c r="L7568" t="s">
        <v>22</v>
      </c>
      <c r="M7568" t="s">
        <v>23</v>
      </c>
    </row>
    <row r="7569" spans="2:13" x14ac:dyDescent="0.2">
      <c r="B7569" t="s">
        <v>31</v>
      </c>
      <c r="C7569">
        <v>45</v>
      </c>
      <c r="E7569" t="s">
        <v>25</v>
      </c>
      <c r="F7569">
        <v>1331.54</v>
      </c>
      <c r="G7569">
        <v>10.8</v>
      </c>
      <c r="K7569">
        <v>0.1</v>
      </c>
      <c r="L7569">
        <v>7</v>
      </c>
      <c r="M7569">
        <v>102.6</v>
      </c>
    </row>
    <row r="7570" spans="2:13" x14ac:dyDescent="0.2">
      <c r="C7570" t="s">
        <v>27</v>
      </c>
    </row>
    <row r="7571" spans="2:13" x14ac:dyDescent="0.2">
      <c r="C7571" t="s">
        <v>28</v>
      </c>
      <c r="D7571" t="s">
        <v>16</v>
      </c>
      <c r="E7571" t="s">
        <v>29</v>
      </c>
      <c r="F7571" t="s">
        <v>18</v>
      </c>
    </row>
    <row r="7572" spans="2:13" x14ac:dyDescent="0.2">
      <c r="C7572" t="b">
        <v>0</v>
      </c>
      <c r="D7572">
        <v>1380.12</v>
      </c>
      <c r="E7572" t="s">
        <v>30</v>
      </c>
    </row>
    <row r="7573" spans="2:13" x14ac:dyDescent="0.2">
      <c r="C7573" t="b">
        <v>0</v>
      </c>
      <c r="D7573">
        <v>1070.08</v>
      </c>
      <c r="E7573" t="s">
        <v>30</v>
      </c>
    </row>
    <row r="7574" spans="2:13" x14ac:dyDescent="0.2">
      <c r="C7574" t="b">
        <v>0</v>
      </c>
      <c r="D7574">
        <v>1320.11</v>
      </c>
      <c r="E7574" t="s">
        <v>30</v>
      </c>
    </row>
    <row r="7575" spans="2:13" x14ac:dyDescent="0.2">
      <c r="C7575" t="b">
        <v>0</v>
      </c>
      <c r="D7575">
        <v>1320.11</v>
      </c>
      <c r="E7575" t="s">
        <v>30</v>
      </c>
    </row>
    <row r="7576" spans="2:13" x14ac:dyDescent="0.2">
      <c r="C7576" t="b">
        <v>0</v>
      </c>
      <c r="D7576">
        <v>1410.12</v>
      </c>
      <c r="E7576" t="s">
        <v>30</v>
      </c>
    </row>
    <row r="7577" spans="2:13" x14ac:dyDescent="0.2">
      <c r="C7577" t="b">
        <v>0</v>
      </c>
      <c r="D7577">
        <v>1540.14</v>
      </c>
      <c r="E7577" t="s">
        <v>30</v>
      </c>
    </row>
    <row r="7578" spans="2:13" x14ac:dyDescent="0.2">
      <c r="C7578" t="b">
        <v>0</v>
      </c>
      <c r="D7578">
        <v>1280.0999999999999</v>
      </c>
      <c r="E7578" t="s">
        <v>30</v>
      </c>
    </row>
    <row r="7579" spans="2:13" x14ac:dyDescent="0.2">
      <c r="B7579" t="s">
        <v>11</v>
      </c>
    </row>
    <row r="7580" spans="2:13" x14ac:dyDescent="0.2">
      <c r="B7580" t="s">
        <v>12</v>
      </c>
      <c r="C7580" t="s">
        <v>13</v>
      </c>
      <c r="D7580" t="s">
        <v>14</v>
      </c>
      <c r="E7580" t="s">
        <v>15</v>
      </c>
      <c r="F7580" t="s">
        <v>16</v>
      </c>
      <c r="G7580" t="s">
        <v>17</v>
      </c>
      <c r="H7580" t="s">
        <v>18</v>
      </c>
      <c r="I7580" t="s">
        <v>19</v>
      </c>
      <c r="J7580" t="s">
        <v>20</v>
      </c>
      <c r="K7580" t="s">
        <v>21</v>
      </c>
      <c r="L7580" t="s">
        <v>22</v>
      </c>
      <c r="M7580" t="s">
        <v>23</v>
      </c>
    </row>
    <row r="7581" spans="2:13" x14ac:dyDescent="0.2">
      <c r="B7581" t="s">
        <v>32</v>
      </c>
      <c r="C7581">
        <v>72</v>
      </c>
      <c r="E7581" t="s">
        <v>25</v>
      </c>
      <c r="F7581">
        <v>1301.54</v>
      </c>
      <c r="G7581">
        <v>11</v>
      </c>
      <c r="K7581">
        <v>0.1</v>
      </c>
      <c r="L7581">
        <v>7</v>
      </c>
      <c r="M7581">
        <v>94.3</v>
      </c>
    </row>
    <row r="7582" spans="2:13" x14ac:dyDescent="0.2">
      <c r="C7582" t="s">
        <v>27</v>
      </c>
    </row>
    <row r="7583" spans="2:13" x14ac:dyDescent="0.2">
      <c r="C7583" t="s">
        <v>28</v>
      </c>
      <c r="D7583" t="s">
        <v>16</v>
      </c>
      <c r="E7583" t="s">
        <v>29</v>
      </c>
      <c r="F7583" t="s">
        <v>18</v>
      </c>
    </row>
    <row r="7584" spans="2:13" x14ac:dyDescent="0.2">
      <c r="C7584" t="b">
        <v>0</v>
      </c>
      <c r="D7584">
        <v>1190.0999999999999</v>
      </c>
      <c r="E7584" t="s">
        <v>30</v>
      </c>
    </row>
    <row r="7585" spans="2:13" x14ac:dyDescent="0.2">
      <c r="C7585" t="b">
        <v>0</v>
      </c>
      <c r="D7585">
        <v>1180.0899999999999</v>
      </c>
      <c r="E7585" t="s">
        <v>30</v>
      </c>
    </row>
    <row r="7586" spans="2:13" x14ac:dyDescent="0.2">
      <c r="C7586" t="b">
        <v>0</v>
      </c>
      <c r="D7586">
        <v>1310.0999999999999</v>
      </c>
      <c r="E7586" t="s">
        <v>30</v>
      </c>
    </row>
    <row r="7587" spans="2:13" x14ac:dyDescent="0.2">
      <c r="C7587" t="b">
        <v>0</v>
      </c>
      <c r="D7587">
        <v>1500.13</v>
      </c>
      <c r="E7587" t="s">
        <v>30</v>
      </c>
    </row>
    <row r="7588" spans="2:13" x14ac:dyDescent="0.2">
      <c r="C7588" t="b">
        <v>0</v>
      </c>
      <c r="D7588">
        <v>1460.14</v>
      </c>
      <c r="E7588" t="s">
        <v>30</v>
      </c>
    </row>
    <row r="7589" spans="2:13" x14ac:dyDescent="0.2">
      <c r="C7589" t="b">
        <v>0</v>
      </c>
      <c r="D7589">
        <v>1130.0899999999999</v>
      </c>
      <c r="E7589" t="s">
        <v>30</v>
      </c>
    </row>
    <row r="7590" spans="2:13" x14ac:dyDescent="0.2">
      <c r="C7590" t="b">
        <v>0</v>
      </c>
      <c r="D7590">
        <v>1340.12</v>
      </c>
      <c r="E7590" t="s">
        <v>30</v>
      </c>
    </row>
    <row r="7591" spans="2:13" x14ac:dyDescent="0.2">
      <c r="B7591" t="s">
        <v>11</v>
      </c>
    </row>
    <row r="7592" spans="2:13" x14ac:dyDescent="0.2">
      <c r="B7592" t="s">
        <v>12</v>
      </c>
      <c r="C7592" t="s">
        <v>13</v>
      </c>
      <c r="D7592" t="s">
        <v>14</v>
      </c>
      <c r="E7592" t="s">
        <v>15</v>
      </c>
      <c r="F7592" t="s">
        <v>16</v>
      </c>
      <c r="G7592" t="s">
        <v>17</v>
      </c>
      <c r="H7592" t="s">
        <v>18</v>
      </c>
      <c r="I7592" t="s">
        <v>19</v>
      </c>
      <c r="J7592" t="s">
        <v>20</v>
      </c>
      <c r="K7592" t="s">
        <v>21</v>
      </c>
      <c r="L7592" t="s">
        <v>22</v>
      </c>
      <c r="M7592" t="s">
        <v>23</v>
      </c>
    </row>
    <row r="7593" spans="2:13" x14ac:dyDescent="0.2">
      <c r="B7593" t="s">
        <v>33</v>
      </c>
      <c r="C7593">
        <v>89</v>
      </c>
      <c r="E7593" t="s">
        <v>25</v>
      </c>
      <c r="F7593">
        <v>7180.68</v>
      </c>
      <c r="G7593">
        <v>5</v>
      </c>
      <c r="K7593">
        <v>0.1</v>
      </c>
      <c r="L7593">
        <v>7</v>
      </c>
      <c r="M7593">
        <v>95.3</v>
      </c>
    </row>
    <row r="7594" spans="2:13" x14ac:dyDescent="0.2">
      <c r="C7594" t="s">
        <v>27</v>
      </c>
    </row>
    <row r="7595" spans="2:13" x14ac:dyDescent="0.2">
      <c r="C7595" t="s">
        <v>28</v>
      </c>
      <c r="D7595" t="s">
        <v>16</v>
      </c>
      <c r="E7595" t="s">
        <v>29</v>
      </c>
      <c r="F7595" t="s">
        <v>18</v>
      </c>
    </row>
    <row r="7596" spans="2:13" x14ac:dyDescent="0.2">
      <c r="C7596" t="b">
        <v>0</v>
      </c>
      <c r="D7596">
        <v>6791.87</v>
      </c>
      <c r="E7596" t="s">
        <v>30</v>
      </c>
    </row>
    <row r="7597" spans="2:13" x14ac:dyDescent="0.2">
      <c r="C7597" t="b">
        <v>0</v>
      </c>
      <c r="D7597">
        <v>6671.85</v>
      </c>
      <c r="E7597" t="s">
        <v>30</v>
      </c>
    </row>
    <row r="7598" spans="2:13" x14ac:dyDescent="0.2">
      <c r="C7598" t="b">
        <v>0</v>
      </c>
      <c r="D7598">
        <v>7352.19</v>
      </c>
      <c r="E7598" t="s">
        <v>30</v>
      </c>
    </row>
    <row r="7599" spans="2:13" x14ac:dyDescent="0.2">
      <c r="C7599" t="b">
        <v>0</v>
      </c>
      <c r="D7599">
        <v>7132</v>
      </c>
      <c r="E7599" t="s">
        <v>30</v>
      </c>
    </row>
    <row r="7600" spans="2:13" x14ac:dyDescent="0.2">
      <c r="C7600" t="b">
        <v>0</v>
      </c>
      <c r="D7600">
        <v>7622.42</v>
      </c>
      <c r="E7600" t="s">
        <v>30</v>
      </c>
    </row>
    <row r="7601" spans="1:13" x14ac:dyDescent="0.2">
      <c r="C7601" t="b">
        <v>0</v>
      </c>
      <c r="D7601">
        <v>7542.35</v>
      </c>
      <c r="E7601" t="s">
        <v>30</v>
      </c>
    </row>
    <row r="7602" spans="1:13" x14ac:dyDescent="0.2">
      <c r="C7602" t="b">
        <v>0</v>
      </c>
      <c r="D7602">
        <v>7152.1</v>
      </c>
      <c r="E7602" t="s">
        <v>30</v>
      </c>
    </row>
    <row r="7603" spans="1:13" x14ac:dyDescent="0.2">
      <c r="A7603" t="s">
        <v>0</v>
      </c>
    </row>
    <row r="7604" spans="1:13" x14ac:dyDescent="0.2">
      <c r="B7604" t="s">
        <v>1</v>
      </c>
      <c r="C7604" t="s">
        <v>2</v>
      </c>
      <c r="D7604" t="s">
        <v>3</v>
      </c>
      <c r="E7604" t="s">
        <v>4</v>
      </c>
      <c r="F7604" t="s">
        <v>5</v>
      </c>
      <c r="G7604" t="s">
        <v>6</v>
      </c>
    </row>
    <row r="7605" spans="1:13" x14ac:dyDescent="0.2">
      <c r="A7605" t="s">
        <v>494</v>
      </c>
      <c r="B7605" t="b">
        <v>0</v>
      </c>
      <c r="C7605" t="s">
        <v>495</v>
      </c>
      <c r="D7605" t="s">
        <v>496</v>
      </c>
      <c r="E7605" t="s">
        <v>0</v>
      </c>
      <c r="G7605" t="s">
        <v>206</v>
      </c>
    </row>
    <row r="7606" spans="1:13" x14ac:dyDescent="0.2">
      <c r="B7606" t="s">
        <v>11</v>
      </c>
    </row>
    <row r="7607" spans="1:13" x14ac:dyDescent="0.2">
      <c r="B7607" t="s">
        <v>12</v>
      </c>
      <c r="C7607" t="s">
        <v>13</v>
      </c>
      <c r="D7607" t="s">
        <v>14</v>
      </c>
      <c r="E7607" t="s">
        <v>15</v>
      </c>
      <c r="F7607" t="s">
        <v>16</v>
      </c>
      <c r="G7607" t="s">
        <v>17</v>
      </c>
      <c r="H7607" t="s">
        <v>18</v>
      </c>
      <c r="I7607" t="s">
        <v>19</v>
      </c>
      <c r="J7607" t="s">
        <v>20</v>
      </c>
      <c r="K7607" t="s">
        <v>21</v>
      </c>
      <c r="L7607" t="s">
        <v>22</v>
      </c>
      <c r="M7607" t="s">
        <v>23</v>
      </c>
    </row>
    <row r="7608" spans="1:13" x14ac:dyDescent="0.2">
      <c r="B7608" t="s">
        <v>24</v>
      </c>
      <c r="C7608">
        <v>59</v>
      </c>
      <c r="E7608" t="s">
        <v>25</v>
      </c>
      <c r="F7608">
        <v>2115498.4700000002</v>
      </c>
      <c r="G7608">
        <v>1.1000000000000001</v>
      </c>
      <c r="H7608">
        <v>0.65200000000000002</v>
      </c>
      <c r="I7608" t="s">
        <v>26</v>
      </c>
      <c r="J7608">
        <v>1.1000000000000001</v>
      </c>
      <c r="K7608">
        <v>0.1</v>
      </c>
      <c r="L7608">
        <v>7</v>
      </c>
    </row>
    <row r="7609" spans="1:13" x14ac:dyDescent="0.2">
      <c r="C7609" t="s">
        <v>27</v>
      </c>
    </row>
    <row r="7610" spans="1:13" x14ac:dyDescent="0.2">
      <c r="C7610" t="s">
        <v>28</v>
      </c>
      <c r="D7610" t="s">
        <v>16</v>
      </c>
      <c r="E7610" t="s">
        <v>29</v>
      </c>
      <c r="F7610" t="s">
        <v>18</v>
      </c>
    </row>
    <row r="7611" spans="1:13" x14ac:dyDescent="0.2">
      <c r="C7611" t="b">
        <v>0</v>
      </c>
      <c r="D7611">
        <v>2095731.38</v>
      </c>
      <c r="E7611" t="s">
        <v>67</v>
      </c>
      <c r="F7611">
        <v>0.64600000000000002</v>
      </c>
    </row>
    <row r="7612" spans="1:13" x14ac:dyDescent="0.2">
      <c r="C7612" t="b">
        <v>0</v>
      </c>
      <c r="D7612">
        <v>2126863.09</v>
      </c>
      <c r="E7612" t="s">
        <v>67</v>
      </c>
      <c r="F7612">
        <v>0.65500000000000003</v>
      </c>
    </row>
    <row r="7613" spans="1:13" x14ac:dyDescent="0.2">
      <c r="C7613" t="b">
        <v>0</v>
      </c>
      <c r="D7613">
        <v>2127636.5299999998</v>
      </c>
      <c r="E7613" t="s">
        <v>67</v>
      </c>
      <c r="F7613">
        <v>0.65600000000000003</v>
      </c>
    </row>
    <row r="7614" spans="1:13" x14ac:dyDescent="0.2">
      <c r="C7614" t="b">
        <v>0</v>
      </c>
      <c r="D7614">
        <v>2148273.87</v>
      </c>
      <c r="E7614" t="s">
        <v>67</v>
      </c>
      <c r="F7614">
        <v>0.66200000000000003</v>
      </c>
    </row>
    <row r="7615" spans="1:13" x14ac:dyDescent="0.2">
      <c r="C7615" t="b">
        <v>0</v>
      </c>
      <c r="D7615">
        <v>2096724.81</v>
      </c>
      <c r="E7615" t="s">
        <v>67</v>
      </c>
      <c r="F7615">
        <v>0.64600000000000002</v>
      </c>
    </row>
    <row r="7616" spans="1:13" x14ac:dyDescent="0.2">
      <c r="C7616" t="b">
        <v>0</v>
      </c>
      <c r="D7616">
        <v>2126113.7200000002</v>
      </c>
      <c r="E7616" t="s">
        <v>67</v>
      </c>
      <c r="F7616">
        <v>0.65500000000000003</v>
      </c>
    </row>
    <row r="7617" spans="2:13" x14ac:dyDescent="0.2">
      <c r="C7617" t="b">
        <v>0</v>
      </c>
      <c r="D7617">
        <v>2087145.91</v>
      </c>
      <c r="E7617" t="s">
        <v>67</v>
      </c>
      <c r="F7617">
        <v>0.64300000000000002</v>
      </c>
    </row>
    <row r="7618" spans="2:13" x14ac:dyDescent="0.2">
      <c r="B7618" t="s">
        <v>11</v>
      </c>
    </row>
    <row r="7619" spans="2:13" x14ac:dyDescent="0.2">
      <c r="B7619" t="s">
        <v>12</v>
      </c>
      <c r="C7619" t="s">
        <v>13</v>
      </c>
      <c r="D7619" t="s">
        <v>14</v>
      </c>
      <c r="E7619" t="s">
        <v>15</v>
      </c>
      <c r="F7619" t="s">
        <v>16</v>
      </c>
      <c r="G7619" t="s">
        <v>17</v>
      </c>
      <c r="H7619" t="s">
        <v>18</v>
      </c>
      <c r="I7619" t="s">
        <v>19</v>
      </c>
      <c r="J7619" t="s">
        <v>20</v>
      </c>
      <c r="K7619" t="s">
        <v>21</v>
      </c>
      <c r="L7619" t="s">
        <v>22</v>
      </c>
      <c r="M7619" t="s">
        <v>23</v>
      </c>
    </row>
    <row r="7620" spans="2:13" x14ac:dyDescent="0.2">
      <c r="B7620" t="s">
        <v>31</v>
      </c>
      <c r="C7620">
        <v>45</v>
      </c>
      <c r="E7620" t="s">
        <v>25</v>
      </c>
      <c r="F7620">
        <v>1212.95</v>
      </c>
      <c r="G7620">
        <v>6</v>
      </c>
      <c r="K7620">
        <v>0.1</v>
      </c>
      <c r="L7620">
        <v>7</v>
      </c>
      <c r="M7620">
        <v>93.5</v>
      </c>
    </row>
    <row r="7621" spans="2:13" x14ac:dyDescent="0.2">
      <c r="C7621" t="s">
        <v>27</v>
      </c>
    </row>
    <row r="7622" spans="2:13" x14ac:dyDescent="0.2">
      <c r="C7622" t="s">
        <v>28</v>
      </c>
      <c r="D7622" t="s">
        <v>16</v>
      </c>
      <c r="E7622" t="s">
        <v>29</v>
      </c>
      <c r="F7622" t="s">
        <v>18</v>
      </c>
    </row>
    <row r="7623" spans="2:13" x14ac:dyDescent="0.2">
      <c r="C7623" t="b">
        <v>0</v>
      </c>
      <c r="D7623">
        <v>1180.0899999999999</v>
      </c>
      <c r="E7623" t="s">
        <v>30</v>
      </c>
    </row>
    <row r="7624" spans="2:13" x14ac:dyDescent="0.2">
      <c r="C7624" t="b">
        <v>0</v>
      </c>
      <c r="D7624">
        <v>1230.0999999999999</v>
      </c>
      <c r="E7624" t="s">
        <v>30</v>
      </c>
    </row>
    <row r="7625" spans="2:13" x14ac:dyDescent="0.2">
      <c r="C7625" t="b">
        <v>0</v>
      </c>
      <c r="D7625">
        <v>1260.0999999999999</v>
      </c>
      <c r="E7625" t="s">
        <v>30</v>
      </c>
    </row>
    <row r="7626" spans="2:13" x14ac:dyDescent="0.2">
      <c r="C7626" t="b">
        <v>0</v>
      </c>
      <c r="D7626">
        <v>1080.08</v>
      </c>
      <c r="E7626" t="s">
        <v>30</v>
      </c>
    </row>
    <row r="7627" spans="2:13" x14ac:dyDescent="0.2">
      <c r="C7627" t="b">
        <v>0</v>
      </c>
      <c r="D7627">
        <v>1180.0899999999999</v>
      </c>
      <c r="E7627" t="s">
        <v>30</v>
      </c>
    </row>
    <row r="7628" spans="2:13" x14ac:dyDescent="0.2">
      <c r="C7628" t="b">
        <v>0</v>
      </c>
      <c r="D7628">
        <v>1300.1099999999999</v>
      </c>
      <c r="E7628" t="s">
        <v>30</v>
      </c>
    </row>
    <row r="7629" spans="2:13" x14ac:dyDescent="0.2">
      <c r="C7629" t="b">
        <v>0</v>
      </c>
      <c r="D7629">
        <v>1260.0999999999999</v>
      </c>
      <c r="E7629" t="s">
        <v>30</v>
      </c>
    </row>
    <row r="7630" spans="2:13" x14ac:dyDescent="0.2">
      <c r="B7630" t="s">
        <v>11</v>
      </c>
    </row>
    <row r="7631" spans="2:13" x14ac:dyDescent="0.2">
      <c r="B7631" t="s">
        <v>12</v>
      </c>
      <c r="C7631" t="s">
        <v>13</v>
      </c>
      <c r="D7631" t="s">
        <v>14</v>
      </c>
      <c r="E7631" t="s">
        <v>15</v>
      </c>
      <c r="F7631" t="s">
        <v>16</v>
      </c>
      <c r="G7631" t="s">
        <v>17</v>
      </c>
      <c r="H7631" t="s">
        <v>18</v>
      </c>
      <c r="I7631" t="s">
        <v>19</v>
      </c>
      <c r="J7631" t="s">
        <v>20</v>
      </c>
      <c r="K7631" t="s">
        <v>21</v>
      </c>
      <c r="L7631" t="s">
        <v>22</v>
      </c>
      <c r="M7631" t="s">
        <v>23</v>
      </c>
    </row>
    <row r="7632" spans="2:13" x14ac:dyDescent="0.2">
      <c r="B7632" t="s">
        <v>32</v>
      </c>
      <c r="C7632">
        <v>72</v>
      </c>
      <c r="E7632" t="s">
        <v>25</v>
      </c>
      <c r="F7632">
        <v>1014.36</v>
      </c>
      <c r="G7632">
        <v>9.4</v>
      </c>
      <c r="K7632">
        <v>0.1</v>
      </c>
      <c r="L7632">
        <v>7</v>
      </c>
      <c r="M7632">
        <v>73.5</v>
      </c>
    </row>
    <row r="7633" spans="2:13" x14ac:dyDescent="0.2">
      <c r="C7633" t="s">
        <v>27</v>
      </c>
    </row>
    <row r="7634" spans="2:13" x14ac:dyDescent="0.2">
      <c r="C7634" t="s">
        <v>28</v>
      </c>
      <c r="D7634" t="s">
        <v>16</v>
      </c>
      <c r="E7634" t="s">
        <v>29</v>
      </c>
      <c r="F7634" t="s">
        <v>18</v>
      </c>
    </row>
    <row r="7635" spans="2:13" x14ac:dyDescent="0.2">
      <c r="C7635" t="b">
        <v>0</v>
      </c>
      <c r="D7635">
        <v>1160.0999999999999</v>
      </c>
      <c r="E7635" t="s">
        <v>30</v>
      </c>
    </row>
    <row r="7636" spans="2:13" x14ac:dyDescent="0.2">
      <c r="C7636" t="b">
        <v>0</v>
      </c>
      <c r="D7636">
        <v>1000.07</v>
      </c>
      <c r="E7636" t="s">
        <v>30</v>
      </c>
    </row>
    <row r="7637" spans="2:13" x14ac:dyDescent="0.2">
      <c r="C7637" t="b">
        <v>0</v>
      </c>
      <c r="D7637">
        <v>880.05</v>
      </c>
      <c r="E7637" t="s">
        <v>30</v>
      </c>
    </row>
    <row r="7638" spans="2:13" x14ac:dyDescent="0.2">
      <c r="C7638" t="b">
        <v>0</v>
      </c>
      <c r="D7638">
        <v>910.06</v>
      </c>
      <c r="E7638" t="s">
        <v>30</v>
      </c>
    </row>
    <row r="7639" spans="2:13" x14ac:dyDescent="0.2">
      <c r="C7639" t="b">
        <v>0</v>
      </c>
      <c r="D7639">
        <v>1060.08</v>
      </c>
      <c r="E7639" t="s">
        <v>30</v>
      </c>
    </row>
    <row r="7640" spans="2:13" x14ac:dyDescent="0.2">
      <c r="C7640" t="b">
        <v>0</v>
      </c>
      <c r="D7640">
        <v>1050.08</v>
      </c>
      <c r="E7640" t="s">
        <v>30</v>
      </c>
    </row>
    <row r="7641" spans="2:13" x14ac:dyDescent="0.2">
      <c r="C7641" t="b">
        <v>0</v>
      </c>
      <c r="D7641">
        <v>1040.07</v>
      </c>
      <c r="E7641" t="s">
        <v>30</v>
      </c>
    </row>
    <row r="7642" spans="2:13" x14ac:dyDescent="0.2">
      <c r="B7642" t="s">
        <v>11</v>
      </c>
    </row>
    <row r="7643" spans="2:13" x14ac:dyDescent="0.2">
      <c r="B7643" t="s">
        <v>12</v>
      </c>
      <c r="C7643" t="s">
        <v>13</v>
      </c>
      <c r="D7643" t="s">
        <v>14</v>
      </c>
      <c r="E7643" t="s">
        <v>15</v>
      </c>
      <c r="F7643" t="s">
        <v>16</v>
      </c>
      <c r="G7643" t="s">
        <v>17</v>
      </c>
      <c r="H7643" t="s">
        <v>18</v>
      </c>
      <c r="I7643" t="s">
        <v>19</v>
      </c>
      <c r="J7643" t="s">
        <v>20</v>
      </c>
      <c r="K7643" t="s">
        <v>21</v>
      </c>
      <c r="L7643" t="s">
        <v>22</v>
      </c>
      <c r="M7643" t="s">
        <v>23</v>
      </c>
    </row>
    <row r="7644" spans="2:13" x14ac:dyDescent="0.2">
      <c r="B7644" t="s">
        <v>33</v>
      </c>
      <c r="C7644">
        <v>89</v>
      </c>
      <c r="E7644" t="s">
        <v>25</v>
      </c>
      <c r="F7644">
        <v>5218.3100000000004</v>
      </c>
      <c r="G7644">
        <v>5.3</v>
      </c>
      <c r="K7644">
        <v>0.1</v>
      </c>
      <c r="L7644">
        <v>7</v>
      </c>
      <c r="M7644">
        <v>69.3</v>
      </c>
    </row>
    <row r="7645" spans="2:13" x14ac:dyDescent="0.2">
      <c r="C7645" t="s">
        <v>27</v>
      </c>
    </row>
    <row r="7646" spans="2:13" x14ac:dyDescent="0.2">
      <c r="C7646" t="s">
        <v>28</v>
      </c>
      <c r="D7646" t="s">
        <v>16</v>
      </c>
      <c r="E7646" t="s">
        <v>29</v>
      </c>
      <c r="F7646" t="s">
        <v>18</v>
      </c>
    </row>
    <row r="7647" spans="2:13" x14ac:dyDescent="0.2">
      <c r="C7647" t="b">
        <v>0</v>
      </c>
      <c r="D7647">
        <v>5561.31</v>
      </c>
      <c r="E7647" t="s">
        <v>30</v>
      </c>
    </row>
    <row r="7648" spans="2:13" x14ac:dyDescent="0.2">
      <c r="C7648" t="b">
        <v>0</v>
      </c>
      <c r="D7648">
        <v>5281.16</v>
      </c>
      <c r="E7648" t="s">
        <v>30</v>
      </c>
    </row>
    <row r="7649" spans="1:13" x14ac:dyDescent="0.2">
      <c r="C7649" t="b">
        <v>0</v>
      </c>
      <c r="D7649">
        <v>4981.0600000000004</v>
      </c>
      <c r="E7649" t="s">
        <v>30</v>
      </c>
    </row>
    <row r="7650" spans="1:13" x14ac:dyDescent="0.2">
      <c r="C7650" t="b">
        <v>0</v>
      </c>
      <c r="D7650">
        <v>4941.09</v>
      </c>
      <c r="E7650" t="s">
        <v>30</v>
      </c>
    </row>
    <row r="7651" spans="1:13" x14ac:dyDescent="0.2">
      <c r="C7651" t="b">
        <v>0</v>
      </c>
      <c r="D7651">
        <v>4951.1099999999997</v>
      </c>
      <c r="E7651" t="s">
        <v>30</v>
      </c>
    </row>
    <row r="7652" spans="1:13" x14ac:dyDescent="0.2">
      <c r="C7652" t="b">
        <v>0</v>
      </c>
      <c r="D7652">
        <v>5581.33</v>
      </c>
      <c r="E7652" t="s">
        <v>30</v>
      </c>
    </row>
    <row r="7653" spans="1:13" x14ac:dyDescent="0.2">
      <c r="C7653" t="b">
        <v>0</v>
      </c>
      <c r="D7653">
        <v>5231.12</v>
      </c>
      <c r="E7653" t="s">
        <v>30</v>
      </c>
    </row>
    <row r="7654" spans="1:13" x14ac:dyDescent="0.2">
      <c r="A7654" t="s">
        <v>0</v>
      </c>
    </row>
    <row r="7655" spans="1:13" x14ac:dyDescent="0.2">
      <c r="B7655" t="s">
        <v>1</v>
      </c>
      <c r="C7655" t="s">
        <v>2</v>
      </c>
      <c r="D7655" t="s">
        <v>3</v>
      </c>
      <c r="E7655" t="s">
        <v>4</v>
      </c>
      <c r="F7655" t="s">
        <v>5</v>
      </c>
      <c r="G7655" t="s">
        <v>6</v>
      </c>
    </row>
    <row r="7656" spans="1:13" x14ac:dyDescent="0.2">
      <c r="B7656" t="b">
        <v>0</v>
      </c>
      <c r="C7656" t="s">
        <v>497</v>
      </c>
      <c r="D7656" t="s">
        <v>498</v>
      </c>
      <c r="E7656" t="s">
        <v>0</v>
      </c>
      <c r="G7656" t="s">
        <v>209</v>
      </c>
    </row>
    <row r="7657" spans="1:13" x14ac:dyDescent="0.2">
      <c r="B7657" t="s">
        <v>11</v>
      </c>
    </row>
    <row r="7658" spans="1:13" x14ac:dyDescent="0.2">
      <c r="B7658" t="s">
        <v>12</v>
      </c>
      <c r="C7658" t="s">
        <v>13</v>
      </c>
      <c r="D7658" t="s">
        <v>14</v>
      </c>
      <c r="E7658" t="s">
        <v>15</v>
      </c>
      <c r="F7658" t="s">
        <v>16</v>
      </c>
      <c r="G7658" t="s">
        <v>17</v>
      </c>
      <c r="H7658" t="s">
        <v>18</v>
      </c>
      <c r="I7658" t="s">
        <v>19</v>
      </c>
      <c r="J7658" t="s">
        <v>20</v>
      </c>
      <c r="K7658" t="s">
        <v>21</v>
      </c>
      <c r="L7658" t="s">
        <v>22</v>
      </c>
      <c r="M7658" t="s">
        <v>23</v>
      </c>
    </row>
    <row r="7659" spans="1:13" x14ac:dyDescent="0.2">
      <c r="B7659" t="s">
        <v>24</v>
      </c>
      <c r="C7659">
        <v>59</v>
      </c>
      <c r="E7659" t="s">
        <v>25</v>
      </c>
      <c r="F7659">
        <v>2106581.89</v>
      </c>
      <c r="G7659">
        <v>1.5</v>
      </c>
      <c r="H7659">
        <v>0.64900000000000002</v>
      </c>
      <c r="I7659" t="s">
        <v>26</v>
      </c>
      <c r="J7659">
        <v>1.5</v>
      </c>
      <c r="K7659">
        <v>0.1</v>
      </c>
      <c r="L7659">
        <v>7</v>
      </c>
    </row>
    <row r="7660" spans="1:13" x14ac:dyDescent="0.2">
      <c r="C7660" t="s">
        <v>27</v>
      </c>
    </row>
    <row r="7661" spans="1:13" x14ac:dyDescent="0.2">
      <c r="C7661" t="s">
        <v>28</v>
      </c>
      <c r="D7661" t="s">
        <v>16</v>
      </c>
      <c r="E7661" t="s">
        <v>29</v>
      </c>
      <c r="F7661" t="s">
        <v>18</v>
      </c>
    </row>
    <row r="7662" spans="1:13" x14ac:dyDescent="0.2">
      <c r="C7662" t="b">
        <v>0</v>
      </c>
      <c r="D7662">
        <v>2064117.94</v>
      </c>
      <c r="E7662" t="s">
        <v>67</v>
      </c>
      <c r="F7662">
        <v>0.63600000000000001</v>
      </c>
    </row>
    <row r="7663" spans="1:13" x14ac:dyDescent="0.2">
      <c r="C7663" t="b">
        <v>0</v>
      </c>
      <c r="D7663">
        <v>2140710.12</v>
      </c>
      <c r="E7663" t="s">
        <v>67</v>
      </c>
      <c r="F7663">
        <v>0.66</v>
      </c>
    </row>
    <row r="7664" spans="1:13" x14ac:dyDescent="0.2">
      <c r="C7664" t="b">
        <v>0</v>
      </c>
      <c r="D7664">
        <v>2144538.41</v>
      </c>
      <c r="E7664" t="s">
        <v>67</v>
      </c>
      <c r="F7664">
        <v>0.66100000000000003</v>
      </c>
    </row>
    <row r="7665" spans="2:13" x14ac:dyDescent="0.2">
      <c r="C7665" t="b">
        <v>0</v>
      </c>
      <c r="D7665">
        <v>2116373.25</v>
      </c>
      <c r="E7665" t="s">
        <v>67</v>
      </c>
      <c r="F7665">
        <v>0.65200000000000002</v>
      </c>
    </row>
    <row r="7666" spans="2:13" x14ac:dyDescent="0.2">
      <c r="C7666" t="b">
        <v>0</v>
      </c>
      <c r="D7666">
        <v>2120659.19</v>
      </c>
      <c r="E7666" t="s">
        <v>67</v>
      </c>
      <c r="F7666">
        <v>0.65400000000000003</v>
      </c>
    </row>
    <row r="7667" spans="2:13" x14ac:dyDescent="0.2">
      <c r="C7667" t="b">
        <v>0</v>
      </c>
      <c r="D7667">
        <v>2072800.75</v>
      </c>
      <c r="E7667" t="s">
        <v>67</v>
      </c>
      <c r="F7667">
        <v>0.63900000000000001</v>
      </c>
    </row>
    <row r="7668" spans="2:13" x14ac:dyDescent="0.2">
      <c r="C7668" t="b">
        <v>0</v>
      </c>
      <c r="D7668">
        <v>2086873.56</v>
      </c>
      <c r="E7668" t="s">
        <v>67</v>
      </c>
      <c r="F7668">
        <v>0.64300000000000002</v>
      </c>
    </row>
    <row r="7669" spans="2:13" x14ac:dyDescent="0.2">
      <c r="B7669" t="s">
        <v>11</v>
      </c>
    </row>
    <row r="7670" spans="2:13" x14ac:dyDescent="0.2">
      <c r="B7670" t="s">
        <v>12</v>
      </c>
      <c r="C7670" t="s">
        <v>13</v>
      </c>
      <c r="D7670" t="s">
        <v>14</v>
      </c>
      <c r="E7670" t="s">
        <v>15</v>
      </c>
      <c r="F7670" t="s">
        <v>16</v>
      </c>
      <c r="G7670" t="s">
        <v>17</v>
      </c>
      <c r="H7670" t="s">
        <v>18</v>
      </c>
      <c r="I7670" t="s">
        <v>19</v>
      </c>
      <c r="J7670" t="s">
        <v>20</v>
      </c>
      <c r="K7670" t="s">
        <v>21</v>
      </c>
      <c r="L7670" t="s">
        <v>22</v>
      </c>
      <c r="M7670" t="s">
        <v>23</v>
      </c>
    </row>
    <row r="7671" spans="2:13" x14ac:dyDescent="0.2">
      <c r="B7671" t="s">
        <v>31</v>
      </c>
      <c r="C7671">
        <v>45</v>
      </c>
      <c r="E7671" t="s">
        <v>25</v>
      </c>
      <c r="F7671">
        <v>1392.98</v>
      </c>
      <c r="G7671">
        <v>6.1</v>
      </c>
      <c r="K7671">
        <v>0.1</v>
      </c>
      <c r="L7671">
        <v>7</v>
      </c>
      <c r="M7671">
        <v>107.4</v>
      </c>
    </row>
    <row r="7672" spans="2:13" x14ac:dyDescent="0.2">
      <c r="C7672" t="s">
        <v>27</v>
      </c>
    </row>
    <row r="7673" spans="2:13" x14ac:dyDescent="0.2">
      <c r="C7673" t="s">
        <v>28</v>
      </c>
      <c r="D7673" t="s">
        <v>16</v>
      </c>
      <c r="E7673" t="s">
        <v>29</v>
      </c>
      <c r="F7673" t="s">
        <v>18</v>
      </c>
    </row>
    <row r="7674" spans="2:13" x14ac:dyDescent="0.2">
      <c r="C7674" t="b">
        <v>0</v>
      </c>
      <c r="D7674">
        <v>1490.14</v>
      </c>
      <c r="E7674" t="s">
        <v>30</v>
      </c>
    </row>
    <row r="7675" spans="2:13" x14ac:dyDescent="0.2">
      <c r="C7675" t="b">
        <v>0</v>
      </c>
      <c r="D7675">
        <v>1460.14</v>
      </c>
      <c r="E7675" t="s">
        <v>30</v>
      </c>
    </row>
    <row r="7676" spans="2:13" x14ac:dyDescent="0.2">
      <c r="C7676" t="b">
        <v>0</v>
      </c>
      <c r="D7676">
        <v>1370.1</v>
      </c>
      <c r="E7676" t="s">
        <v>30</v>
      </c>
    </row>
    <row r="7677" spans="2:13" x14ac:dyDescent="0.2">
      <c r="C7677" t="b">
        <v>0</v>
      </c>
      <c r="D7677">
        <v>1310.1099999999999</v>
      </c>
      <c r="E7677" t="s">
        <v>30</v>
      </c>
    </row>
    <row r="7678" spans="2:13" x14ac:dyDescent="0.2">
      <c r="C7678" t="b">
        <v>0</v>
      </c>
      <c r="D7678">
        <v>1310.0999999999999</v>
      </c>
      <c r="E7678" t="s">
        <v>30</v>
      </c>
    </row>
    <row r="7679" spans="2:13" x14ac:dyDescent="0.2">
      <c r="C7679" t="b">
        <v>0</v>
      </c>
      <c r="D7679">
        <v>1320.1</v>
      </c>
      <c r="E7679" t="s">
        <v>30</v>
      </c>
    </row>
    <row r="7680" spans="2:13" x14ac:dyDescent="0.2">
      <c r="C7680" t="b">
        <v>0</v>
      </c>
      <c r="D7680">
        <v>1490.14</v>
      </c>
      <c r="E7680" t="s">
        <v>30</v>
      </c>
    </row>
    <row r="7681" spans="2:13" x14ac:dyDescent="0.2">
      <c r="B7681" t="s">
        <v>11</v>
      </c>
    </row>
    <row r="7682" spans="2:13" x14ac:dyDescent="0.2">
      <c r="B7682" t="s">
        <v>12</v>
      </c>
      <c r="C7682" t="s">
        <v>13</v>
      </c>
      <c r="D7682" t="s">
        <v>14</v>
      </c>
      <c r="E7682" t="s">
        <v>15</v>
      </c>
      <c r="F7682" t="s">
        <v>16</v>
      </c>
      <c r="G7682" t="s">
        <v>17</v>
      </c>
      <c r="H7682" t="s">
        <v>18</v>
      </c>
      <c r="I7682" t="s">
        <v>19</v>
      </c>
      <c r="J7682" t="s">
        <v>20</v>
      </c>
      <c r="K7682" t="s">
        <v>21</v>
      </c>
      <c r="L7682" t="s">
        <v>22</v>
      </c>
      <c r="M7682" t="s">
        <v>23</v>
      </c>
    </row>
    <row r="7683" spans="2:13" x14ac:dyDescent="0.2">
      <c r="B7683" t="s">
        <v>32</v>
      </c>
      <c r="C7683">
        <v>72</v>
      </c>
      <c r="E7683" t="s">
        <v>25</v>
      </c>
      <c r="F7683">
        <v>1341.54</v>
      </c>
      <c r="G7683">
        <v>11</v>
      </c>
      <c r="K7683">
        <v>0.1</v>
      </c>
      <c r="L7683">
        <v>7</v>
      </c>
      <c r="M7683">
        <v>97.2</v>
      </c>
    </row>
    <row r="7684" spans="2:13" x14ac:dyDescent="0.2">
      <c r="C7684" t="s">
        <v>27</v>
      </c>
    </row>
    <row r="7685" spans="2:13" x14ac:dyDescent="0.2">
      <c r="C7685" t="s">
        <v>28</v>
      </c>
      <c r="D7685" t="s">
        <v>16</v>
      </c>
      <c r="E7685" t="s">
        <v>29</v>
      </c>
      <c r="F7685" t="s">
        <v>18</v>
      </c>
    </row>
    <row r="7686" spans="2:13" x14ac:dyDescent="0.2">
      <c r="C7686" t="b">
        <v>0</v>
      </c>
      <c r="D7686">
        <v>1480.14</v>
      </c>
      <c r="E7686" t="s">
        <v>30</v>
      </c>
    </row>
    <row r="7687" spans="2:13" x14ac:dyDescent="0.2">
      <c r="C7687" t="b">
        <v>0</v>
      </c>
      <c r="D7687">
        <v>1260.0999999999999</v>
      </c>
      <c r="E7687" t="s">
        <v>30</v>
      </c>
    </row>
    <row r="7688" spans="2:13" x14ac:dyDescent="0.2">
      <c r="C7688" t="b">
        <v>0</v>
      </c>
      <c r="D7688">
        <v>1240.1099999999999</v>
      </c>
      <c r="E7688" t="s">
        <v>30</v>
      </c>
    </row>
    <row r="7689" spans="2:13" x14ac:dyDescent="0.2">
      <c r="C7689" t="b">
        <v>0</v>
      </c>
      <c r="D7689">
        <v>1110.08</v>
      </c>
      <c r="E7689" t="s">
        <v>30</v>
      </c>
    </row>
    <row r="7690" spans="2:13" x14ac:dyDescent="0.2">
      <c r="C7690" t="b">
        <v>0</v>
      </c>
      <c r="D7690">
        <v>1520.13</v>
      </c>
      <c r="E7690" t="s">
        <v>30</v>
      </c>
    </row>
    <row r="7691" spans="2:13" x14ac:dyDescent="0.2">
      <c r="C7691" t="b">
        <v>0</v>
      </c>
      <c r="D7691">
        <v>1340.11</v>
      </c>
      <c r="E7691" t="s">
        <v>30</v>
      </c>
    </row>
    <row r="7692" spans="2:13" x14ac:dyDescent="0.2">
      <c r="C7692" t="b">
        <v>0</v>
      </c>
      <c r="D7692">
        <v>1440.13</v>
      </c>
      <c r="E7692" t="s">
        <v>30</v>
      </c>
    </row>
    <row r="7693" spans="2:13" x14ac:dyDescent="0.2">
      <c r="B7693" t="s">
        <v>11</v>
      </c>
    </row>
    <row r="7694" spans="2:13" x14ac:dyDescent="0.2">
      <c r="B7694" t="s">
        <v>12</v>
      </c>
      <c r="C7694" t="s">
        <v>13</v>
      </c>
      <c r="D7694" t="s">
        <v>14</v>
      </c>
      <c r="E7694" t="s">
        <v>15</v>
      </c>
      <c r="F7694" t="s">
        <v>16</v>
      </c>
      <c r="G7694" t="s">
        <v>17</v>
      </c>
      <c r="H7694" t="s">
        <v>18</v>
      </c>
      <c r="I7694" t="s">
        <v>19</v>
      </c>
      <c r="J7694" t="s">
        <v>20</v>
      </c>
      <c r="K7694" t="s">
        <v>21</v>
      </c>
      <c r="L7694" t="s">
        <v>22</v>
      </c>
      <c r="M7694" t="s">
        <v>23</v>
      </c>
    </row>
    <row r="7695" spans="2:13" x14ac:dyDescent="0.2">
      <c r="B7695" t="s">
        <v>33</v>
      </c>
      <c r="C7695">
        <v>89</v>
      </c>
      <c r="E7695" t="s">
        <v>25</v>
      </c>
      <c r="F7695">
        <v>7512.31</v>
      </c>
      <c r="G7695">
        <v>5.9</v>
      </c>
      <c r="K7695">
        <v>0.1</v>
      </c>
      <c r="L7695">
        <v>7</v>
      </c>
      <c r="M7695">
        <v>99.7</v>
      </c>
    </row>
    <row r="7696" spans="2:13" x14ac:dyDescent="0.2">
      <c r="C7696" t="s">
        <v>27</v>
      </c>
    </row>
    <row r="7697" spans="1:13" x14ac:dyDescent="0.2">
      <c r="C7697" t="s">
        <v>28</v>
      </c>
      <c r="D7697" t="s">
        <v>16</v>
      </c>
      <c r="E7697" t="s">
        <v>29</v>
      </c>
      <c r="F7697" t="s">
        <v>18</v>
      </c>
    </row>
    <row r="7698" spans="1:13" x14ac:dyDescent="0.2">
      <c r="C7698" t="b">
        <v>0</v>
      </c>
      <c r="D7698">
        <v>6892</v>
      </c>
      <c r="E7698" t="s">
        <v>30</v>
      </c>
    </row>
    <row r="7699" spans="1:13" x14ac:dyDescent="0.2">
      <c r="C7699" t="b">
        <v>0</v>
      </c>
      <c r="D7699">
        <v>7562.27</v>
      </c>
      <c r="E7699" t="s">
        <v>30</v>
      </c>
    </row>
    <row r="7700" spans="1:13" x14ac:dyDescent="0.2">
      <c r="C7700" t="b">
        <v>0</v>
      </c>
      <c r="D7700">
        <v>7142.17</v>
      </c>
      <c r="E7700" t="s">
        <v>30</v>
      </c>
    </row>
    <row r="7701" spans="1:13" x14ac:dyDescent="0.2">
      <c r="C7701" t="b">
        <v>0</v>
      </c>
      <c r="D7701">
        <v>7712.39</v>
      </c>
      <c r="E7701" t="s">
        <v>30</v>
      </c>
    </row>
    <row r="7702" spans="1:13" x14ac:dyDescent="0.2">
      <c r="C7702" t="b">
        <v>0</v>
      </c>
      <c r="D7702">
        <v>7772.49</v>
      </c>
      <c r="E7702" t="s">
        <v>30</v>
      </c>
    </row>
    <row r="7703" spans="1:13" x14ac:dyDescent="0.2">
      <c r="C7703" t="b">
        <v>0</v>
      </c>
      <c r="D7703">
        <v>7282.16</v>
      </c>
      <c r="E7703" t="s">
        <v>30</v>
      </c>
    </row>
    <row r="7704" spans="1:13" x14ac:dyDescent="0.2">
      <c r="C7704" t="b">
        <v>0</v>
      </c>
      <c r="D7704">
        <v>8222.7199999999993</v>
      </c>
      <c r="E7704" t="s">
        <v>30</v>
      </c>
    </row>
    <row r="7705" spans="1:13" x14ac:dyDescent="0.2">
      <c r="A7705" t="s">
        <v>0</v>
      </c>
    </row>
    <row r="7706" spans="1:13" x14ac:dyDescent="0.2">
      <c r="B7706" t="s">
        <v>1</v>
      </c>
      <c r="C7706" t="s">
        <v>2</v>
      </c>
      <c r="D7706" t="s">
        <v>3</v>
      </c>
      <c r="E7706" t="s">
        <v>4</v>
      </c>
      <c r="F7706" t="s">
        <v>5</v>
      </c>
      <c r="G7706" t="s">
        <v>6</v>
      </c>
    </row>
    <row r="7707" spans="1:13" x14ac:dyDescent="0.2">
      <c r="A7707" t="s">
        <v>499</v>
      </c>
      <c r="B7707" t="b">
        <v>0</v>
      </c>
      <c r="C7707" t="s">
        <v>500</v>
      </c>
      <c r="D7707" t="s">
        <v>501</v>
      </c>
      <c r="E7707" t="s">
        <v>9</v>
      </c>
      <c r="G7707" t="s">
        <v>212</v>
      </c>
    </row>
    <row r="7708" spans="1:13" x14ac:dyDescent="0.2">
      <c r="B7708" t="s">
        <v>11</v>
      </c>
    </row>
    <row r="7709" spans="1:13" x14ac:dyDescent="0.2">
      <c r="B7709" t="s">
        <v>12</v>
      </c>
      <c r="C7709" t="s">
        <v>13</v>
      </c>
      <c r="D7709" t="s">
        <v>14</v>
      </c>
      <c r="E7709" t="s">
        <v>15</v>
      </c>
      <c r="F7709" t="s">
        <v>16</v>
      </c>
      <c r="G7709" t="s">
        <v>17</v>
      </c>
      <c r="H7709" t="s">
        <v>18</v>
      </c>
      <c r="I7709" t="s">
        <v>19</v>
      </c>
      <c r="J7709" t="s">
        <v>20</v>
      </c>
      <c r="K7709" t="s">
        <v>21</v>
      </c>
      <c r="L7709" t="s">
        <v>22</v>
      </c>
      <c r="M7709" t="s">
        <v>23</v>
      </c>
    </row>
    <row r="7710" spans="1:13" x14ac:dyDescent="0.2">
      <c r="B7710" t="s">
        <v>24</v>
      </c>
      <c r="C7710">
        <v>59</v>
      </c>
      <c r="E7710" t="s">
        <v>25</v>
      </c>
      <c r="F7710">
        <v>2846.11</v>
      </c>
      <c r="G7710">
        <v>5.6</v>
      </c>
      <c r="H7710">
        <v>1E-3</v>
      </c>
      <c r="I7710" t="s">
        <v>26</v>
      </c>
      <c r="J7710">
        <v>5.7</v>
      </c>
      <c r="K7710">
        <v>0.1</v>
      </c>
      <c r="L7710">
        <v>7</v>
      </c>
    </row>
    <row r="7711" spans="1:13" x14ac:dyDescent="0.2">
      <c r="C7711" t="s">
        <v>27</v>
      </c>
    </row>
    <row r="7712" spans="1:13" x14ac:dyDescent="0.2">
      <c r="C7712" t="s">
        <v>28</v>
      </c>
      <c r="D7712" t="s">
        <v>16</v>
      </c>
      <c r="E7712" t="s">
        <v>29</v>
      </c>
      <c r="F7712" t="s">
        <v>18</v>
      </c>
    </row>
    <row r="7713" spans="2:13" x14ac:dyDescent="0.2">
      <c r="C7713" t="b">
        <v>0</v>
      </c>
      <c r="D7713">
        <v>2780.38</v>
      </c>
      <c r="E7713" t="s">
        <v>30</v>
      </c>
      <c r="F7713">
        <v>1E-3</v>
      </c>
    </row>
    <row r="7714" spans="2:13" x14ac:dyDescent="0.2">
      <c r="C7714" t="b">
        <v>0</v>
      </c>
      <c r="D7714">
        <v>2860.4</v>
      </c>
      <c r="E7714" t="s">
        <v>30</v>
      </c>
      <c r="F7714">
        <v>1E-3</v>
      </c>
    </row>
    <row r="7715" spans="2:13" x14ac:dyDescent="0.2">
      <c r="C7715" t="b">
        <v>0</v>
      </c>
      <c r="D7715">
        <v>2790.39</v>
      </c>
      <c r="E7715" t="s">
        <v>30</v>
      </c>
      <c r="F7715">
        <v>1E-3</v>
      </c>
    </row>
    <row r="7716" spans="2:13" x14ac:dyDescent="0.2">
      <c r="C7716" t="b">
        <v>0</v>
      </c>
      <c r="D7716">
        <v>2880.4</v>
      </c>
      <c r="E7716" t="s">
        <v>30</v>
      </c>
      <c r="F7716">
        <v>1E-3</v>
      </c>
    </row>
    <row r="7717" spans="2:13" x14ac:dyDescent="0.2">
      <c r="C7717" t="b">
        <v>0</v>
      </c>
      <c r="D7717">
        <v>2620.35</v>
      </c>
      <c r="E7717" t="s">
        <v>30</v>
      </c>
      <c r="F7717">
        <v>1E-3</v>
      </c>
    </row>
    <row r="7718" spans="2:13" x14ac:dyDescent="0.2">
      <c r="C7718" t="b">
        <v>0</v>
      </c>
      <c r="D7718">
        <v>3150.45</v>
      </c>
      <c r="E7718" t="s">
        <v>30</v>
      </c>
      <c r="F7718">
        <v>1E-3</v>
      </c>
    </row>
    <row r="7719" spans="2:13" x14ac:dyDescent="0.2">
      <c r="C7719" t="b">
        <v>0</v>
      </c>
      <c r="D7719">
        <v>2840.41</v>
      </c>
      <c r="E7719" t="s">
        <v>30</v>
      </c>
      <c r="F7719">
        <v>1E-3</v>
      </c>
    </row>
    <row r="7720" spans="2:13" x14ac:dyDescent="0.2">
      <c r="B7720" t="s">
        <v>11</v>
      </c>
    </row>
    <row r="7721" spans="2:13" x14ac:dyDescent="0.2">
      <c r="B7721" t="s">
        <v>12</v>
      </c>
      <c r="C7721" t="s">
        <v>13</v>
      </c>
      <c r="D7721" t="s">
        <v>14</v>
      </c>
      <c r="E7721" t="s">
        <v>15</v>
      </c>
      <c r="F7721" t="s">
        <v>16</v>
      </c>
      <c r="G7721" t="s">
        <v>17</v>
      </c>
      <c r="H7721" t="s">
        <v>18</v>
      </c>
      <c r="I7721" t="s">
        <v>19</v>
      </c>
      <c r="J7721" t="s">
        <v>20</v>
      </c>
      <c r="K7721" t="s">
        <v>21</v>
      </c>
      <c r="L7721" t="s">
        <v>22</v>
      </c>
      <c r="M7721" t="s">
        <v>23</v>
      </c>
    </row>
    <row r="7722" spans="2:13" x14ac:dyDescent="0.2">
      <c r="B7722" t="s">
        <v>31</v>
      </c>
      <c r="C7722">
        <v>45</v>
      </c>
      <c r="E7722" t="s">
        <v>25</v>
      </c>
      <c r="F7722">
        <v>1548.71</v>
      </c>
      <c r="G7722">
        <v>10</v>
      </c>
      <c r="K7722">
        <v>0.1</v>
      </c>
      <c r="L7722">
        <v>7</v>
      </c>
      <c r="M7722">
        <v>119.4</v>
      </c>
    </row>
    <row r="7723" spans="2:13" x14ac:dyDescent="0.2">
      <c r="C7723" t="s">
        <v>27</v>
      </c>
    </row>
    <row r="7724" spans="2:13" x14ac:dyDescent="0.2">
      <c r="C7724" t="s">
        <v>28</v>
      </c>
      <c r="D7724" t="s">
        <v>16</v>
      </c>
      <c r="E7724" t="s">
        <v>29</v>
      </c>
      <c r="F7724" t="s">
        <v>18</v>
      </c>
    </row>
    <row r="7725" spans="2:13" x14ac:dyDescent="0.2">
      <c r="C7725" t="b">
        <v>0</v>
      </c>
      <c r="D7725">
        <v>1520.13</v>
      </c>
      <c r="E7725" t="s">
        <v>30</v>
      </c>
    </row>
    <row r="7726" spans="2:13" x14ac:dyDescent="0.2">
      <c r="C7726" t="b">
        <v>0</v>
      </c>
      <c r="D7726">
        <v>1340.09</v>
      </c>
      <c r="E7726" t="s">
        <v>30</v>
      </c>
    </row>
    <row r="7727" spans="2:13" x14ac:dyDescent="0.2">
      <c r="C7727" t="b">
        <v>0</v>
      </c>
      <c r="D7727">
        <v>1370.12</v>
      </c>
      <c r="E7727" t="s">
        <v>30</v>
      </c>
    </row>
    <row r="7728" spans="2:13" x14ac:dyDescent="0.2">
      <c r="C7728" t="b">
        <v>0</v>
      </c>
      <c r="D7728">
        <v>1750.16</v>
      </c>
      <c r="E7728" t="s">
        <v>30</v>
      </c>
    </row>
    <row r="7729" spans="2:13" x14ac:dyDescent="0.2">
      <c r="C7729" t="b">
        <v>0</v>
      </c>
      <c r="D7729">
        <v>1560.14</v>
      </c>
      <c r="E7729" t="s">
        <v>30</v>
      </c>
    </row>
    <row r="7730" spans="2:13" x14ac:dyDescent="0.2">
      <c r="C7730" t="b">
        <v>0</v>
      </c>
      <c r="D7730">
        <v>1710.18</v>
      </c>
      <c r="E7730" t="s">
        <v>30</v>
      </c>
    </row>
    <row r="7731" spans="2:13" x14ac:dyDescent="0.2">
      <c r="C7731" t="b">
        <v>0</v>
      </c>
      <c r="D7731">
        <v>1590.14</v>
      </c>
      <c r="E7731" t="s">
        <v>30</v>
      </c>
    </row>
    <row r="7732" spans="2:13" x14ac:dyDescent="0.2">
      <c r="B7732" t="s">
        <v>11</v>
      </c>
    </row>
    <row r="7733" spans="2:13" x14ac:dyDescent="0.2">
      <c r="B7733" t="s">
        <v>12</v>
      </c>
      <c r="C7733" t="s">
        <v>13</v>
      </c>
      <c r="D7733" t="s">
        <v>14</v>
      </c>
      <c r="E7733" t="s">
        <v>15</v>
      </c>
      <c r="F7733" t="s">
        <v>16</v>
      </c>
      <c r="G7733" t="s">
        <v>17</v>
      </c>
      <c r="H7733" t="s">
        <v>18</v>
      </c>
      <c r="I7733" t="s">
        <v>19</v>
      </c>
      <c r="J7733" t="s">
        <v>20</v>
      </c>
      <c r="K7733" t="s">
        <v>21</v>
      </c>
      <c r="L7733" t="s">
        <v>22</v>
      </c>
      <c r="M7733" t="s">
        <v>23</v>
      </c>
    </row>
    <row r="7734" spans="2:13" x14ac:dyDescent="0.2">
      <c r="B7734" t="s">
        <v>32</v>
      </c>
      <c r="C7734">
        <v>72</v>
      </c>
      <c r="E7734" t="s">
        <v>25</v>
      </c>
      <c r="F7734">
        <v>1457.27</v>
      </c>
      <c r="G7734">
        <v>8.6</v>
      </c>
      <c r="K7734">
        <v>0.1</v>
      </c>
      <c r="L7734">
        <v>7</v>
      </c>
      <c r="M7734">
        <v>105.6</v>
      </c>
    </row>
    <row r="7735" spans="2:13" x14ac:dyDescent="0.2">
      <c r="C7735" t="s">
        <v>27</v>
      </c>
    </row>
    <row r="7736" spans="2:13" x14ac:dyDescent="0.2">
      <c r="C7736" t="s">
        <v>28</v>
      </c>
      <c r="D7736" t="s">
        <v>16</v>
      </c>
      <c r="E7736" t="s">
        <v>29</v>
      </c>
      <c r="F7736" t="s">
        <v>18</v>
      </c>
    </row>
    <row r="7737" spans="2:13" x14ac:dyDescent="0.2">
      <c r="C7737" t="b">
        <v>0</v>
      </c>
      <c r="D7737">
        <v>1270.0999999999999</v>
      </c>
      <c r="E7737" t="s">
        <v>30</v>
      </c>
    </row>
    <row r="7738" spans="2:13" x14ac:dyDescent="0.2">
      <c r="C7738" t="b">
        <v>0</v>
      </c>
      <c r="D7738">
        <v>1540.13</v>
      </c>
      <c r="E7738" t="s">
        <v>30</v>
      </c>
    </row>
    <row r="7739" spans="2:13" x14ac:dyDescent="0.2">
      <c r="C7739" t="b">
        <v>0</v>
      </c>
      <c r="D7739">
        <v>1560.14</v>
      </c>
      <c r="E7739" t="s">
        <v>30</v>
      </c>
    </row>
    <row r="7740" spans="2:13" x14ac:dyDescent="0.2">
      <c r="C7740" t="b">
        <v>0</v>
      </c>
      <c r="D7740">
        <v>1420.12</v>
      </c>
      <c r="E7740" t="s">
        <v>30</v>
      </c>
    </row>
    <row r="7741" spans="2:13" x14ac:dyDescent="0.2">
      <c r="C7741" t="b">
        <v>0</v>
      </c>
      <c r="D7741">
        <v>1330.11</v>
      </c>
      <c r="E7741" t="s">
        <v>30</v>
      </c>
    </row>
    <row r="7742" spans="2:13" x14ac:dyDescent="0.2">
      <c r="C7742" t="b">
        <v>0</v>
      </c>
      <c r="D7742">
        <v>1610.16</v>
      </c>
      <c r="E7742" t="s">
        <v>30</v>
      </c>
    </row>
    <row r="7743" spans="2:13" x14ac:dyDescent="0.2">
      <c r="C7743" t="b">
        <v>0</v>
      </c>
      <c r="D7743">
        <v>1470.14</v>
      </c>
      <c r="E7743" t="s">
        <v>30</v>
      </c>
    </row>
    <row r="7744" spans="2:13" x14ac:dyDescent="0.2">
      <c r="B7744" t="s">
        <v>11</v>
      </c>
    </row>
    <row r="7745" spans="1:13" x14ac:dyDescent="0.2">
      <c r="B7745" t="s">
        <v>12</v>
      </c>
      <c r="C7745" t="s">
        <v>13</v>
      </c>
      <c r="D7745" t="s">
        <v>14</v>
      </c>
      <c r="E7745" t="s">
        <v>15</v>
      </c>
      <c r="F7745" t="s">
        <v>16</v>
      </c>
      <c r="G7745" t="s">
        <v>17</v>
      </c>
      <c r="H7745" t="s">
        <v>18</v>
      </c>
      <c r="I7745" t="s">
        <v>19</v>
      </c>
      <c r="J7745" t="s">
        <v>20</v>
      </c>
      <c r="K7745" t="s">
        <v>21</v>
      </c>
      <c r="L7745" t="s">
        <v>22</v>
      </c>
      <c r="M7745" t="s">
        <v>23</v>
      </c>
    </row>
    <row r="7746" spans="1:13" x14ac:dyDescent="0.2">
      <c r="B7746" t="s">
        <v>33</v>
      </c>
      <c r="C7746">
        <v>89</v>
      </c>
      <c r="E7746" t="s">
        <v>25</v>
      </c>
      <c r="F7746">
        <v>9086.17</v>
      </c>
      <c r="G7746">
        <v>8.1</v>
      </c>
      <c r="K7746">
        <v>0.1</v>
      </c>
      <c r="L7746">
        <v>7</v>
      </c>
      <c r="M7746">
        <v>120.6</v>
      </c>
    </row>
    <row r="7747" spans="1:13" x14ac:dyDescent="0.2">
      <c r="C7747" t="s">
        <v>27</v>
      </c>
    </row>
    <row r="7748" spans="1:13" x14ac:dyDescent="0.2">
      <c r="C7748" t="s">
        <v>28</v>
      </c>
      <c r="D7748" t="s">
        <v>16</v>
      </c>
      <c r="E7748" t="s">
        <v>29</v>
      </c>
      <c r="F7748" t="s">
        <v>18</v>
      </c>
    </row>
    <row r="7749" spans="1:13" x14ac:dyDescent="0.2">
      <c r="C7749" t="b">
        <v>0</v>
      </c>
      <c r="D7749">
        <v>7752.45</v>
      </c>
      <c r="E7749" t="s">
        <v>30</v>
      </c>
    </row>
    <row r="7750" spans="1:13" x14ac:dyDescent="0.2">
      <c r="C7750" t="b">
        <v>0</v>
      </c>
      <c r="D7750">
        <v>9073.31</v>
      </c>
      <c r="E7750" t="s">
        <v>30</v>
      </c>
    </row>
    <row r="7751" spans="1:13" x14ac:dyDescent="0.2">
      <c r="C7751" t="b">
        <v>0</v>
      </c>
      <c r="D7751">
        <v>9513.57</v>
      </c>
      <c r="E7751" t="s">
        <v>30</v>
      </c>
    </row>
    <row r="7752" spans="1:13" x14ac:dyDescent="0.2">
      <c r="C7752" t="b">
        <v>0</v>
      </c>
      <c r="D7752">
        <v>10144.09</v>
      </c>
      <c r="E7752" t="s">
        <v>30</v>
      </c>
    </row>
    <row r="7753" spans="1:13" x14ac:dyDescent="0.2">
      <c r="C7753" t="b">
        <v>0</v>
      </c>
      <c r="D7753">
        <v>9223.39</v>
      </c>
      <c r="E7753" t="s">
        <v>30</v>
      </c>
    </row>
    <row r="7754" spans="1:13" x14ac:dyDescent="0.2">
      <c r="C7754" t="b">
        <v>0</v>
      </c>
      <c r="D7754">
        <v>8723.0499999999993</v>
      </c>
      <c r="E7754" t="s">
        <v>30</v>
      </c>
    </row>
    <row r="7755" spans="1:13" x14ac:dyDescent="0.2">
      <c r="C7755" t="b">
        <v>0</v>
      </c>
      <c r="D7755">
        <v>9173.36</v>
      </c>
      <c r="E7755" t="s">
        <v>30</v>
      </c>
    </row>
    <row r="7756" spans="1:13" x14ac:dyDescent="0.2">
      <c r="A7756" t="s">
        <v>0</v>
      </c>
    </row>
    <row r="7757" spans="1:13" x14ac:dyDescent="0.2">
      <c r="B7757" t="s">
        <v>1</v>
      </c>
      <c r="C7757" t="s">
        <v>2</v>
      </c>
      <c r="D7757" t="s">
        <v>3</v>
      </c>
      <c r="E7757" t="s">
        <v>4</v>
      </c>
      <c r="F7757" t="s">
        <v>5</v>
      </c>
      <c r="G7757" t="s">
        <v>6</v>
      </c>
    </row>
    <row r="7758" spans="1:13" x14ac:dyDescent="0.2">
      <c r="B7758" t="b">
        <v>0</v>
      </c>
      <c r="C7758" t="s">
        <v>502</v>
      </c>
      <c r="D7758" t="s">
        <v>503</v>
      </c>
      <c r="E7758" t="s">
        <v>9</v>
      </c>
      <c r="G7758" t="s">
        <v>212</v>
      </c>
    </row>
    <row r="7759" spans="1:13" x14ac:dyDescent="0.2">
      <c r="B7759" t="s">
        <v>11</v>
      </c>
    </row>
    <row r="7760" spans="1:13" x14ac:dyDescent="0.2">
      <c r="B7760" t="s">
        <v>12</v>
      </c>
      <c r="C7760" t="s">
        <v>13</v>
      </c>
      <c r="D7760" t="s">
        <v>14</v>
      </c>
      <c r="E7760" t="s">
        <v>15</v>
      </c>
      <c r="F7760" t="s">
        <v>16</v>
      </c>
      <c r="G7760" t="s">
        <v>17</v>
      </c>
      <c r="H7760" t="s">
        <v>18</v>
      </c>
      <c r="I7760" t="s">
        <v>19</v>
      </c>
      <c r="J7760" t="s">
        <v>20</v>
      </c>
      <c r="K7760" t="s">
        <v>21</v>
      </c>
      <c r="L7760" t="s">
        <v>22</v>
      </c>
      <c r="M7760" t="s">
        <v>23</v>
      </c>
    </row>
    <row r="7761" spans="2:13" x14ac:dyDescent="0.2">
      <c r="B7761" t="s">
        <v>24</v>
      </c>
      <c r="C7761">
        <v>59</v>
      </c>
      <c r="E7761" t="s">
        <v>25</v>
      </c>
      <c r="F7761">
        <v>238.58</v>
      </c>
      <c r="G7761">
        <v>27.5</v>
      </c>
      <c r="H7761">
        <v>0</v>
      </c>
      <c r="I7761" t="s">
        <v>26</v>
      </c>
      <c r="J7761">
        <v>32.799999999999997</v>
      </c>
      <c r="K7761">
        <v>0.1</v>
      </c>
      <c r="L7761">
        <v>7</v>
      </c>
    </row>
    <row r="7762" spans="2:13" x14ac:dyDescent="0.2">
      <c r="C7762" t="s">
        <v>27</v>
      </c>
    </row>
    <row r="7763" spans="2:13" x14ac:dyDescent="0.2">
      <c r="C7763" t="s">
        <v>28</v>
      </c>
      <c r="D7763" t="s">
        <v>16</v>
      </c>
      <c r="E7763" t="s">
        <v>29</v>
      </c>
      <c r="F7763" t="s">
        <v>18</v>
      </c>
    </row>
    <row r="7764" spans="2:13" x14ac:dyDescent="0.2">
      <c r="C7764" t="b">
        <v>0</v>
      </c>
      <c r="D7764">
        <v>290.01</v>
      </c>
      <c r="E7764" t="s">
        <v>30</v>
      </c>
      <c r="F7764">
        <v>0</v>
      </c>
    </row>
    <row r="7765" spans="2:13" x14ac:dyDescent="0.2">
      <c r="C7765" t="b">
        <v>0</v>
      </c>
      <c r="D7765">
        <v>200.01</v>
      </c>
      <c r="E7765" t="s">
        <v>30</v>
      </c>
      <c r="F7765">
        <v>0</v>
      </c>
    </row>
    <row r="7766" spans="2:13" x14ac:dyDescent="0.2">
      <c r="C7766" t="b">
        <v>0</v>
      </c>
      <c r="D7766">
        <v>200.01</v>
      </c>
      <c r="E7766" t="s">
        <v>30</v>
      </c>
      <c r="F7766">
        <v>0</v>
      </c>
    </row>
    <row r="7767" spans="2:13" x14ac:dyDescent="0.2">
      <c r="C7767" t="b">
        <v>0</v>
      </c>
      <c r="D7767">
        <v>140</v>
      </c>
      <c r="E7767" t="s">
        <v>30</v>
      </c>
      <c r="F7767">
        <v>0</v>
      </c>
    </row>
    <row r="7768" spans="2:13" x14ac:dyDescent="0.2">
      <c r="C7768" t="b">
        <v>0</v>
      </c>
      <c r="D7768">
        <v>220.01</v>
      </c>
      <c r="E7768" t="s">
        <v>30</v>
      </c>
      <c r="F7768">
        <v>0</v>
      </c>
    </row>
    <row r="7769" spans="2:13" x14ac:dyDescent="0.2">
      <c r="C7769" t="b">
        <v>0</v>
      </c>
      <c r="D7769">
        <v>310.02</v>
      </c>
      <c r="E7769" t="s">
        <v>30</v>
      </c>
      <c r="F7769">
        <v>0</v>
      </c>
    </row>
    <row r="7770" spans="2:13" x14ac:dyDescent="0.2">
      <c r="C7770" t="b">
        <v>0</v>
      </c>
      <c r="D7770">
        <v>310.02</v>
      </c>
      <c r="E7770" t="s">
        <v>30</v>
      </c>
      <c r="F7770">
        <v>0</v>
      </c>
    </row>
    <row r="7771" spans="2:13" x14ac:dyDescent="0.2">
      <c r="B7771" t="s">
        <v>11</v>
      </c>
    </row>
    <row r="7772" spans="2:13" x14ac:dyDescent="0.2">
      <c r="B7772" t="s">
        <v>12</v>
      </c>
      <c r="C7772" t="s">
        <v>13</v>
      </c>
      <c r="D7772" t="s">
        <v>14</v>
      </c>
      <c r="E7772" t="s">
        <v>15</v>
      </c>
      <c r="F7772" t="s">
        <v>16</v>
      </c>
      <c r="G7772" t="s">
        <v>17</v>
      </c>
      <c r="H7772" t="s">
        <v>18</v>
      </c>
      <c r="I7772" t="s">
        <v>19</v>
      </c>
      <c r="J7772" t="s">
        <v>20</v>
      </c>
      <c r="K7772" t="s">
        <v>21</v>
      </c>
      <c r="L7772" t="s">
        <v>22</v>
      </c>
      <c r="M7772" t="s">
        <v>23</v>
      </c>
    </row>
    <row r="7773" spans="2:13" x14ac:dyDescent="0.2">
      <c r="B7773" t="s">
        <v>31</v>
      </c>
      <c r="C7773">
        <v>45</v>
      </c>
      <c r="E7773" t="s">
        <v>25</v>
      </c>
      <c r="F7773">
        <v>1275.81</v>
      </c>
      <c r="G7773">
        <v>9.8000000000000007</v>
      </c>
      <c r="K7773">
        <v>0.1</v>
      </c>
      <c r="L7773">
        <v>7</v>
      </c>
      <c r="M7773">
        <v>98.3</v>
      </c>
    </row>
    <row r="7774" spans="2:13" x14ac:dyDescent="0.2">
      <c r="C7774" t="s">
        <v>27</v>
      </c>
    </row>
    <row r="7775" spans="2:13" x14ac:dyDescent="0.2">
      <c r="C7775" t="s">
        <v>28</v>
      </c>
      <c r="D7775" t="s">
        <v>16</v>
      </c>
      <c r="E7775" t="s">
        <v>29</v>
      </c>
      <c r="F7775" t="s">
        <v>18</v>
      </c>
    </row>
    <row r="7776" spans="2:13" x14ac:dyDescent="0.2">
      <c r="C7776" t="b">
        <v>0</v>
      </c>
      <c r="D7776">
        <v>1150.08</v>
      </c>
      <c r="E7776" t="s">
        <v>30</v>
      </c>
    </row>
    <row r="7777" spans="2:13" x14ac:dyDescent="0.2">
      <c r="C7777" t="b">
        <v>0</v>
      </c>
      <c r="D7777">
        <v>1460.12</v>
      </c>
      <c r="E7777" t="s">
        <v>30</v>
      </c>
    </row>
    <row r="7778" spans="2:13" x14ac:dyDescent="0.2">
      <c r="C7778" t="b">
        <v>0</v>
      </c>
      <c r="D7778">
        <v>1260.0999999999999</v>
      </c>
      <c r="E7778" t="s">
        <v>30</v>
      </c>
    </row>
    <row r="7779" spans="2:13" x14ac:dyDescent="0.2">
      <c r="C7779" t="b">
        <v>0</v>
      </c>
      <c r="D7779">
        <v>1340.1</v>
      </c>
      <c r="E7779" t="s">
        <v>30</v>
      </c>
    </row>
    <row r="7780" spans="2:13" x14ac:dyDescent="0.2">
      <c r="C7780" t="b">
        <v>0</v>
      </c>
      <c r="D7780">
        <v>1090.08</v>
      </c>
      <c r="E7780" t="s">
        <v>30</v>
      </c>
    </row>
    <row r="7781" spans="2:13" x14ac:dyDescent="0.2">
      <c r="C7781" t="b">
        <v>0</v>
      </c>
      <c r="D7781">
        <v>1290.1099999999999</v>
      </c>
      <c r="E7781" t="s">
        <v>30</v>
      </c>
    </row>
    <row r="7782" spans="2:13" x14ac:dyDescent="0.2">
      <c r="C7782" t="b">
        <v>0</v>
      </c>
      <c r="D7782">
        <v>1340.11</v>
      </c>
      <c r="E7782" t="s">
        <v>30</v>
      </c>
    </row>
    <row r="7783" spans="2:13" x14ac:dyDescent="0.2">
      <c r="B7783" t="s">
        <v>11</v>
      </c>
    </row>
    <row r="7784" spans="2:13" x14ac:dyDescent="0.2">
      <c r="B7784" t="s">
        <v>12</v>
      </c>
      <c r="C7784" t="s">
        <v>13</v>
      </c>
      <c r="D7784" t="s">
        <v>14</v>
      </c>
      <c r="E7784" t="s">
        <v>15</v>
      </c>
      <c r="F7784" t="s">
        <v>16</v>
      </c>
      <c r="G7784" t="s">
        <v>17</v>
      </c>
      <c r="H7784" t="s">
        <v>18</v>
      </c>
      <c r="I7784" t="s">
        <v>19</v>
      </c>
      <c r="J7784" t="s">
        <v>20</v>
      </c>
      <c r="K7784" t="s">
        <v>21</v>
      </c>
      <c r="L7784" t="s">
        <v>22</v>
      </c>
      <c r="M7784" t="s">
        <v>23</v>
      </c>
    </row>
    <row r="7785" spans="2:13" x14ac:dyDescent="0.2">
      <c r="B7785" t="s">
        <v>32</v>
      </c>
      <c r="C7785">
        <v>72</v>
      </c>
      <c r="E7785" t="s">
        <v>25</v>
      </c>
      <c r="F7785">
        <v>1181.53</v>
      </c>
      <c r="G7785">
        <v>5.0999999999999996</v>
      </c>
      <c r="K7785">
        <v>0.1</v>
      </c>
      <c r="L7785">
        <v>7</v>
      </c>
      <c r="M7785">
        <v>85.6</v>
      </c>
    </row>
    <row r="7786" spans="2:13" x14ac:dyDescent="0.2">
      <c r="C7786" t="s">
        <v>27</v>
      </c>
    </row>
    <row r="7787" spans="2:13" x14ac:dyDescent="0.2">
      <c r="C7787" t="s">
        <v>28</v>
      </c>
      <c r="D7787" t="s">
        <v>16</v>
      </c>
      <c r="E7787" t="s">
        <v>29</v>
      </c>
      <c r="F7787" t="s">
        <v>18</v>
      </c>
    </row>
    <row r="7788" spans="2:13" x14ac:dyDescent="0.2">
      <c r="C7788" t="b">
        <v>0</v>
      </c>
      <c r="D7788">
        <v>1250.0999999999999</v>
      </c>
      <c r="E7788" t="s">
        <v>30</v>
      </c>
    </row>
    <row r="7789" spans="2:13" x14ac:dyDescent="0.2">
      <c r="C7789" t="b">
        <v>0</v>
      </c>
      <c r="D7789">
        <v>1190.1099999999999</v>
      </c>
      <c r="E7789" t="s">
        <v>30</v>
      </c>
    </row>
    <row r="7790" spans="2:13" x14ac:dyDescent="0.2">
      <c r="C7790" t="b">
        <v>0</v>
      </c>
      <c r="D7790">
        <v>1170.0999999999999</v>
      </c>
      <c r="E7790" t="s">
        <v>30</v>
      </c>
    </row>
    <row r="7791" spans="2:13" x14ac:dyDescent="0.2">
      <c r="C7791" t="b">
        <v>0</v>
      </c>
      <c r="D7791">
        <v>1100.0899999999999</v>
      </c>
      <c r="E7791" t="s">
        <v>30</v>
      </c>
    </row>
    <row r="7792" spans="2:13" x14ac:dyDescent="0.2">
      <c r="C7792" t="b">
        <v>0</v>
      </c>
      <c r="D7792">
        <v>1180.0899999999999</v>
      </c>
      <c r="E7792" t="s">
        <v>30</v>
      </c>
    </row>
    <row r="7793" spans="1:13" x14ac:dyDescent="0.2">
      <c r="C7793" t="b">
        <v>0</v>
      </c>
      <c r="D7793">
        <v>1120.0899999999999</v>
      </c>
      <c r="E7793" t="s">
        <v>30</v>
      </c>
    </row>
    <row r="7794" spans="1:13" x14ac:dyDescent="0.2">
      <c r="C7794" t="b">
        <v>0</v>
      </c>
      <c r="D7794">
        <v>1260.0999999999999</v>
      </c>
      <c r="E7794" t="s">
        <v>30</v>
      </c>
    </row>
    <row r="7795" spans="1:13" x14ac:dyDescent="0.2">
      <c r="B7795" t="s">
        <v>11</v>
      </c>
    </row>
    <row r="7796" spans="1:13" x14ac:dyDescent="0.2">
      <c r="B7796" t="s">
        <v>12</v>
      </c>
      <c r="C7796" t="s">
        <v>13</v>
      </c>
      <c r="D7796" t="s">
        <v>14</v>
      </c>
      <c r="E7796" t="s">
        <v>15</v>
      </c>
      <c r="F7796" t="s">
        <v>16</v>
      </c>
      <c r="G7796" t="s">
        <v>17</v>
      </c>
      <c r="H7796" t="s">
        <v>18</v>
      </c>
      <c r="I7796" t="s">
        <v>19</v>
      </c>
      <c r="J7796" t="s">
        <v>20</v>
      </c>
      <c r="K7796" t="s">
        <v>21</v>
      </c>
      <c r="L7796" t="s">
        <v>22</v>
      </c>
      <c r="M7796" t="s">
        <v>23</v>
      </c>
    </row>
    <row r="7797" spans="1:13" x14ac:dyDescent="0.2">
      <c r="B7797" t="s">
        <v>33</v>
      </c>
      <c r="C7797">
        <v>89</v>
      </c>
      <c r="E7797" t="s">
        <v>25</v>
      </c>
      <c r="F7797">
        <v>6390.29</v>
      </c>
      <c r="G7797">
        <v>3.5</v>
      </c>
      <c r="K7797">
        <v>0.1</v>
      </c>
      <c r="L7797">
        <v>7</v>
      </c>
      <c r="M7797">
        <v>84.8</v>
      </c>
    </row>
    <row r="7798" spans="1:13" x14ac:dyDescent="0.2">
      <c r="C7798" t="s">
        <v>27</v>
      </c>
    </row>
    <row r="7799" spans="1:13" x14ac:dyDescent="0.2">
      <c r="C7799" t="s">
        <v>28</v>
      </c>
      <c r="D7799" t="s">
        <v>16</v>
      </c>
      <c r="E7799" t="s">
        <v>29</v>
      </c>
      <c r="F7799" t="s">
        <v>18</v>
      </c>
    </row>
    <row r="7800" spans="1:13" x14ac:dyDescent="0.2">
      <c r="C7800" t="b">
        <v>0</v>
      </c>
      <c r="D7800">
        <v>6371.79</v>
      </c>
      <c r="E7800" t="s">
        <v>30</v>
      </c>
    </row>
    <row r="7801" spans="1:13" x14ac:dyDescent="0.2">
      <c r="C7801" t="b">
        <v>0</v>
      </c>
      <c r="D7801">
        <v>6561.78</v>
      </c>
      <c r="E7801" t="s">
        <v>30</v>
      </c>
    </row>
    <row r="7802" spans="1:13" x14ac:dyDescent="0.2">
      <c r="C7802" t="b">
        <v>0</v>
      </c>
      <c r="D7802">
        <v>6261.6</v>
      </c>
      <c r="E7802" t="s">
        <v>30</v>
      </c>
    </row>
    <row r="7803" spans="1:13" x14ac:dyDescent="0.2">
      <c r="C7803" t="b">
        <v>0</v>
      </c>
      <c r="D7803">
        <v>6021.53</v>
      </c>
      <c r="E7803" t="s">
        <v>30</v>
      </c>
    </row>
    <row r="7804" spans="1:13" x14ac:dyDescent="0.2">
      <c r="C7804" t="b">
        <v>0</v>
      </c>
      <c r="D7804">
        <v>6321.7</v>
      </c>
      <c r="E7804" t="s">
        <v>30</v>
      </c>
    </row>
    <row r="7805" spans="1:13" x14ac:dyDescent="0.2">
      <c r="C7805" t="b">
        <v>0</v>
      </c>
      <c r="D7805">
        <v>6721.87</v>
      </c>
      <c r="E7805" t="s">
        <v>30</v>
      </c>
    </row>
    <row r="7806" spans="1:13" x14ac:dyDescent="0.2">
      <c r="C7806" t="b">
        <v>0</v>
      </c>
      <c r="D7806">
        <v>6471.73</v>
      </c>
      <c r="E7806" t="s">
        <v>30</v>
      </c>
    </row>
    <row r="7807" spans="1:13" x14ac:dyDescent="0.2">
      <c r="A7807" t="s">
        <v>0</v>
      </c>
    </row>
    <row r="7808" spans="1:13" x14ac:dyDescent="0.2">
      <c r="B7808" t="s">
        <v>1</v>
      </c>
      <c r="C7808" t="s">
        <v>2</v>
      </c>
      <c r="D7808" t="s">
        <v>3</v>
      </c>
      <c r="E7808" t="s">
        <v>4</v>
      </c>
      <c r="F7808" t="s">
        <v>5</v>
      </c>
      <c r="G7808" t="s">
        <v>6</v>
      </c>
    </row>
    <row r="7809" spans="1:13" x14ac:dyDescent="0.2">
      <c r="A7809" t="s">
        <v>504</v>
      </c>
      <c r="B7809" t="b">
        <v>0</v>
      </c>
      <c r="C7809" t="s">
        <v>505</v>
      </c>
      <c r="D7809" t="s">
        <v>506</v>
      </c>
      <c r="E7809" t="s">
        <v>150</v>
      </c>
      <c r="G7809" t="s">
        <v>507</v>
      </c>
    </row>
    <row r="7810" spans="1:13" x14ac:dyDescent="0.2">
      <c r="B7810" t="s">
        <v>11</v>
      </c>
    </row>
    <row r="7811" spans="1:13" x14ac:dyDescent="0.2">
      <c r="B7811" t="s">
        <v>12</v>
      </c>
      <c r="C7811" t="s">
        <v>13</v>
      </c>
      <c r="D7811" t="s">
        <v>14</v>
      </c>
      <c r="E7811" t="s">
        <v>15</v>
      </c>
      <c r="F7811" t="s">
        <v>16</v>
      </c>
      <c r="G7811" t="s">
        <v>17</v>
      </c>
      <c r="H7811" t="s">
        <v>18</v>
      </c>
      <c r="I7811" t="s">
        <v>19</v>
      </c>
      <c r="J7811" t="s">
        <v>20</v>
      </c>
      <c r="K7811" t="s">
        <v>21</v>
      </c>
      <c r="L7811" t="s">
        <v>22</v>
      </c>
      <c r="M7811" t="s">
        <v>23</v>
      </c>
    </row>
    <row r="7812" spans="1:13" x14ac:dyDescent="0.2">
      <c r="B7812" t="s">
        <v>24</v>
      </c>
      <c r="C7812">
        <v>59</v>
      </c>
      <c r="E7812" t="s">
        <v>25</v>
      </c>
      <c r="F7812">
        <v>3763786.42</v>
      </c>
      <c r="G7812">
        <v>1.2</v>
      </c>
      <c r="H7812">
        <v>1.1599999999999999</v>
      </c>
      <c r="I7812" t="s">
        <v>26</v>
      </c>
      <c r="J7812">
        <v>1.2</v>
      </c>
      <c r="K7812">
        <v>0.1</v>
      </c>
      <c r="L7812">
        <v>7</v>
      </c>
    </row>
    <row r="7813" spans="1:13" x14ac:dyDescent="0.2">
      <c r="C7813" t="s">
        <v>27</v>
      </c>
    </row>
    <row r="7814" spans="1:13" x14ac:dyDescent="0.2">
      <c r="C7814" t="s">
        <v>28</v>
      </c>
      <c r="D7814" t="s">
        <v>16</v>
      </c>
      <c r="E7814" t="s">
        <v>29</v>
      </c>
      <c r="F7814" t="s">
        <v>18</v>
      </c>
    </row>
    <row r="7815" spans="1:13" x14ac:dyDescent="0.2">
      <c r="C7815" t="b">
        <v>0</v>
      </c>
      <c r="D7815">
        <v>3706863.69</v>
      </c>
      <c r="E7815" t="s">
        <v>67</v>
      </c>
      <c r="F7815">
        <v>1.1419999999999999</v>
      </c>
    </row>
    <row r="7816" spans="1:13" x14ac:dyDescent="0.2">
      <c r="C7816" t="b">
        <v>0</v>
      </c>
      <c r="D7816">
        <v>3848280.57</v>
      </c>
      <c r="E7816" t="s">
        <v>67</v>
      </c>
      <c r="F7816">
        <v>1.1859999999999999</v>
      </c>
    </row>
    <row r="7817" spans="1:13" x14ac:dyDescent="0.2">
      <c r="C7817" t="b">
        <v>0</v>
      </c>
      <c r="D7817">
        <v>3761901.51</v>
      </c>
      <c r="E7817" t="s">
        <v>67</v>
      </c>
      <c r="F7817">
        <v>1.159</v>
      </c>
    </row>
    <row r="7818" spans="1:13" x14ac:dyDescent="0.2">
      <c r="C7818" t="b">
        <v>0</v>
      </c>
      <c r="D7818">
        <v>3741002.13</v>
      </c>
      <c r="E7818" t="s">
        <v>67</v>
      </c>
      <c r="F7818">
        <v>1.153</v>
      </c>
    </row>
    <row r="7819" spans="1:13" x14ac:dyDescent="0.2">
      <c r="C7819" t="b">
        <v>0</v>
      </c>
      <c r="D7819">
        <v>3764429.63</v>
      </c>
      <c r="E7819" t="s">
        <v>67</v>
      </c>
      <c r="F7819">
        <v>1.1599999999999999</v>
      </c>
    </row>
    <row r="7820" spans="1:13" x14ac:dyDescent="0.2">
      <c r="C7820" t="b">
        <v>0</v>
      </c>
      <c r="D7820">
        <v>3730231.19</v>
      </c>
      <c r="E7820" t="s">
        <v>67</v>
      </c>
      <c r="F7820">
        <v>1.1499999999999999</v>
      </c>
    </row>
    <row r="7821" spans="1:13" x14ac:dyDescent="0.2">
      <c r="C7821" t="b">
        <v>0</v>
      </c>
      <c r="D7821">
        <v>3793796.19</v>
      </c>
      <c r="E7821" t="s">
        <v>67</v>
      </c>
      <c r="F7821">
        <v>1.169</v>
      </c>
    </row>
    <row r="7822" spans="1:13" x14ac:dyDescent="0.2">
      <c r="B7822" t="s">
        <v>11</v>
      </c>
    </row>
    <row r="7823" spans="1:13" x14ac:dyDescent="0.2">
      <c r="B7823" t="s">
        <v>12</v>
      </c>
      <c r="C7823" t="s">
        <v>13</v>
      </c>
      <c r="D7823" t="s">
        <v>14</v>
      </c>
      <c r="E7823" t="s">
        <v>15</v>
      </c>
      <c r="F7823" t="s">
        <v>16</v>
      </c>
      <c r="G7823" t="s">
        <v>17</v>
      </c>
      <c r="H7823" t="s">
        <v>18</v>
      </c>
      <c r="I7823" t="s">
        <v>19</v>
      </c>
      <c r="J7823" t="s">
        <v>20</v>
      </c>
      <c r="K7823" t="s">
        <v>21</v>
      </c>
      <c r="L7823" t="s">
        <v>22</v>
      </c>
      <c r="M7823" t="s">
        <v>23</v>
      </c>
    </row>
    <row r="7824" spans="1:13" x14ac:dyDescent="0.2">
      <c r="B7824" t="s">
        <v>31</v>
      </c>
      <c r="C7824">
        <v>45</v>
      </c>
      <c r="E7824" t="s">
        <v>25</v>
      </c>
      <c r="F7824">
        <v>1690.16</v>
      </c>
      <c r="G7824">
        <v>8.9</v>
      </c>
      <c r="K7824">
        <v>0.1</v>
      </c>
      <c r="L7824">
        <v>7</v>
      </c>
      <c r="M7824">
        <v>130.30000000000001</v>
      </c>
    </row>
    <row r="7825" spans="2:13" x14ac:dyDescent="0.2">
      <c r="C7825" t="s">
        <v>27</v>
      </c>
    </row>
    <row r="7826" spans="2:13" x14ac:dyDescent="0.2">
      <c r="C7826" t="s">
        <v>28</v>
      </c>
      <c r="D7826" t="s">
        <v>16</v>
      </c>
      <c r="E7826" t="s">
        <v>29</v>
      </c>
      <c r="F7826" t="s">
        <v>18</v>
      </c>
    </row>
    <row r="7827" spans="2:13" x14ac:dyDescent="0.2">
      <c r="C7827" t="b">
        <v>0</v>
      </c>
      <c r="D7827">
        <v>1700.16</v>
      </c>
      <c r="E7827" t="s">
        <v>30</v>
      </c>
    </row>
    <row r="7828" spans="2:13" x14ac:dyDescent="0.2">
      <c r="C7828" t="b">
        <v>0</v>
      </c>
      <c r="D7828">
        <v>1540.14</v>
      </c>
      <c r="E7828" t="s">
        <v>30</v>
      </c>
    </row>
    <row r="7829" spans="2:13" x14ac:dyDescent="0.2">
      <c r="C7829" t="b">
        <v>0</v>
      </c>
      <c r="D7829">
        <v>1430.13</v>
      </c>
      <c r="E7829" t="s">
        <v>30</v>
      </c>
    </row>
    <row r="7830" spans="2:13" x14ac:dyDescent="0.2">
      <c r="C7830" t="b">
        <v>0</v>
      </c>
      <c r="D7830">
        <v>1840.19</v>
      </c>
      <c r="E7830" t="s">
        <v>30</v>
      </c>
    </row>
    <row r="7831" spans="2:13" x14ac:dyDescent="0.2">
      <c r="C7831" t="b">
        <v>0</v>
      </c>
      <c r="D7831">
        <v>1770.18</v>
      </c>
      <c r="E7831" t="s">
        <v>30</v>
      </c>
    </row>
    <row r="7832" spans="2:13" x14ac:dyDescent="0.2">
      <c r="C7832" t="b">
        <v>0</v>
      </c>
      <c r="D7832">
        <v>1740.17</v>
      </c>
      <c r="E7832" t="s">
        <v>30</v>
      </c>
    </row>
    <row r="7833" spans="2:13" x14ac:dyDescent="0.2">
      <c r="C7833" t="b">
        <v>0</v>
      </c>
      <c r="D7833">
        <v>1810.18</v>
      </c>
      <c r="E7833" t="s">
        <v>30</v>
      </c>
    </row>
    <row r="7834" spans="2:13" x14ac:dyDescent="0.2">
      <c r="B7834" t="s">
        <v>11</v>
      </c>
    </row>
    <row r="7835" spans="2:13" x14ac:dyDescent="0.2">
      <c r="B7835" t="s">
        <v>12</v>
      </c>
      <c r="C7835" t="s">
        <v>13</v>
      </c>
      <c r="D7835" t="s">
        <v>14</v>
      </c>
      <c r="E7835" t="s">
        <v>15</v>
      </c>
      <c r="F7835" t="s">
        <v>16</v>
      </c>
      <c r="G7835" t="s">
        <v>17</v>
      </c>
      <c r="H7835" t="s">
        <v>18</v>
      </c>
      <c r="I7835" t="s">
        <v>19</v>
      </c>
      <c r="J7835" t="s">
        <v>20</v>
      </c>
      <c r="K7835" t="s">
        <v>21</v>
      </c>
      <c r="L7835" t="s">
        <v>22</v>
      </c>
      <c r="M7835" t="s">
        <v>23</v>
      </c>
    </row>
    <row r="7836" spans="2:13" x14ac:dyDescent="0.2">
      <c r="B7836" t="s">
        <v>32</v>
      </c>
      <c r="C7836">
        <v>72</v>
      </c>
      <c r="E7836" t="s">
        <v>25</v>
      </c>
      <c r="F7836">
        <v>1468.7</v>
      </c>
      <c r="G7836">
        <v>7.5</v>
      </c>
      <c r="K7836">
        <v>0.1</v>
      </c>
      <c r="L7836">
        <v>7</v>
      </c>
      <c r="M7836">
        <v>106.4</v>
      </c>
    </row>
    <row r="7837" spans="2:13" x14ac:dyDescent="0.2">
      <c r="C7837" t="s">
        <v>27</v>
      </c>
    </row>
    <row r="7838" spans="2:13" x14ac:dyDescent="0.2">
      <c r="C7838" t="s">
        <v>28</v>
      </c>
      <c r="D7838" t="s">
        <v>16</v>
      </c>
      <c r="E7838" t="s">
        <v>29</v>
      </c>
      <c r="F7838" t="s">
        <v>18</v>
      </c>
    </row>
    <row r="7839" spans="2:13" x14ac:dyDescent="0.2">
      <c r="C7839" t="b">
        <v>0</v>
      </c>
      <c r="D7839">
        <v>1460.15</v>
      </c>
      <c r="E7839" t="s">
        <v>30</v>
      </c>
    </row>
    <row r="7840" spans="2:13" x14ac:dyDescent="0.2">
      <c r="C7840" t="b">
        <v>0</v>
      </c>
      <c r="D7840">
        <v>1430.12</v>
      </c>
      <c r="E7840" t="s">
        <v>30</v>
      </c>
    </row>
    <row r="7841" spans="2:13" x14ac:dyDescent="0.2">
      <c r="C7841" t="b">
        <v>0</v>
      </c>
      <c r="D7841">
        <v>1420.11</v>
      </c>
      <c r="E7841" t="s">
        <v>30</v>
      </c>
    </row>
    <row r="7842" spans="2:13" x14ac:dyDescent="0.2">
      <c r="C7842" t="b">
        <v>0</v>
      </c>
      <c r="D7842">
        <v>1710.17</v>
      </c>
      <c r="E7842" t="s">
        <v>30</v>
      </c>
    </row>
    <row r="7843" spans="2:13" x14ac:dyDescent="0.2">
      <c r="C7843" t="b">
        <v>0</v>
      </c>
      <c r="D7843">
        <v>1470.13</v>
      </c>
      <c r="E7843" t="s">
        <v>30</v>
      </c>
    </row>
    <row r="7844" spans="2:13" x14ac:dyDescent="0.2">
      <c r="C7844" t="b">
        <v>0</v>
      </c>
      <c r="D7844">
        <v>1390.11</v>
      </c>
      <c r="E7844" t="s">
        <v>30</v>
      </c>
    </row>
    <row r="7845" spans="2:13" x14ac:dyDescent="0.2">
      <c r="C7845" t="b">
        <v>0</v>
      </c>
      <c r="D7845">
        <v>1400.12</v>
      </c>
      <c r="E7845" t="s">
        <v>30</v>
      </c>
    </row>
    <row r="7846" spans="2:13" x14ac:dyDescent="0.2">
      <c r="B7846" t="s">
        <v>11</v>
      </c>
    </row>
    <row r="7847" spans="2:13" x14ac:dyDescent="0.2">
      <c r="B7847" t="s">
        <v>12</v>
      </c>
      <c r="C7847" t="s">
        <v>13</v>
      </c>
      <c r="D7847" t="s">
        <v>14</v>
      </c>
      <c r="E7847" t="s">
        <v>15</v>
      </c>
      <c r="F7847" t="s">
        <v>16</v>
      </c>
      <c r="G7847" t="s">
        <v>17</v>
      </c>
      <c r="H7847" t="s">
        <v>18</v>
      </c>
      <c r="I7847" t="s">
        <v>19</v>
      </c>
      <c r="J7847" t="s">
        <v>20</v>
      </c>
      <c r="K7847" t="s">
        <v>21</v>
      </c>
      <c r="L7847" t="s">
        <v>22</v>
      </c>
      <c r="M7847" t="s">
        <v>23</v>
      </c>
    </row>
    <row r="7848" spans="2:13" x14ac:dyDescent="0.2">
      <c r="B7848" t="s">
        <v>33</v>
      </c>
      <c r="C7848">
        <v>89</v>
      </c>
      <c r="E7848" t="s">
        <v>25</v>
      </c>
      <c r="F7848">
        <v>8485.77</v>
      </c>
      <c r="G7848">
        <v>6.7</v>
      </c>
      <c r="K7848">
        <v>0.1</v>
      </c>
      <c r="L7848">
        <v>7</v>
      </c>
      <c r="M7848">
        <v>112.7</v>
      </c>
    </row>
    <row r="7849" spans="2:13" x14ac:dyDescent="0.2">
      <c r="C7849" t="s">
        <v>27</v>
      </c>
    </row>
    <row r="7850" spans="2:13" x14ac:dyDescent="0.2">
      <c r="C7850" t="s">
        <v>28</v>
      </c>
      <c r="D7850" t="s">
        <v>16</v>
      </c>
      <c r="E7850" t="s">
        <v>29</v>
      </c>
      <c r="F7850" t="s">
        <v>18</v>
      </c>
    </row>
    <row r="7851" spans="2:13" x14ac:dyDescent="0.2">
      <c r="C7851" t="b">
        <v>0</v>
      </c>
      <c r="D7851">
        <v>7952.7</v>
      </c>
      <c r="E7851" t="s">
        <v>30</v>
      </c>
    </row>
    <row r="7852" spans="2:13" x14ac:dyDescent="0.2">
      <c r="C7852" t="b">
        <v>0</v>
      </c>
      <c r="D7852">
        <v>8092.65</v>
      </c>
      <c r="E7852" t="s">
        <v>30</v>
      </c>
    </row>
    <row r="7853" spans="2:13" x14ac:dyDescent="0.2">
      <c r="C7853" t="b">
        <v>0</v>
      </c>
      <c r="D7853">
        <v>8082.57</v>
      </c>
      <c r="E7853" t="s">
        <v>30</v>
      </c>
    </row>
    <row r="7854" spans="2:13" x14ac:dyDescent="0.2">
      <c r="C7854" t="b">
        <v>0</v>
      </c>
      <c r="D7854">
        <v>8813.11</v>
      </c>
      <c r="E7854" t="s">
        <v>30</v>
      </c>
    </row>
    <row r="7855" spans="2:13" x14ac:dyDescent="0.2">
      <c r="C7855" t="b">
        <v>0</v>
      </c>
      <c r="D7855">
        <v>9333.42</v>
      </c>
      <c r="E7855" t="s">
        <v>30</v>
      </c>
    </row>
    <row r="7856" spans="2:13" x14ac:dyDescent="0.2">
      <c r="C7856" t="b">
        <v>0</v>
      </c>
      <c r="D7856">
        <v>9053.26</v>
      </c>
      <c r="E7856" t="s">
        <v>30</v>
      </c>
    </row>
    <row r="7857" spans="1:13" x14ac:dyDescent="0.2">
      <c r="C7857" t="b">
        <v>0</v>
      </c>
      <c r="D7857">
        <v>8072.67</v>
      </c>
      <c r="E7857" t="s">
        <v>30</v>
      </c>
    </row>
    <row r="7858" spans="1:13" x14ac:dyDescent="0.2">
      <c r="A7858" t="s">
        <v>0</v>
      </c>
    </row>
    <row r="7859" spans="1:13" x14ac:dyDescent="0.2">
      <c r="B7859" t="s">
        <v>1</v>
      </c>
      <c r="C7859" t="s">
        <v>2</v>
      </c>
      <c r="D7859" t="s">
        <v>3</v>
      </c>
      <c r="E7859" t="s">
        <v>4</v>
      </c>
      <c r="F7859" t="s">
        <v>5</v>
      </c>
      <c r="G7859" t="s">
        <v>6</v>
      </c>
    </row>
    <row r="7860" spans="1:13" x14ac:dyDescent="0.2">
      <c r="B7860" t="b">
        <v>0</v>
      </c>
      <c r="C7860" t="s">
        <v>508</v>
      </c>
      <c r="D7860" t="s">
        <v>509</v>
      </c>
      <c r="E7860" t="s">
        <v>9</v>
      </c>
      <c r="G7860" t="s">
        <v>212</v>
      </c>
    </row>
    <row r="7861" spans="1:13" x14ac:dyDescent="0.2">
      <c r="B7861" t="s">
        <v>11</v>
      </c>
    </row>
    <row r="7862" spans="1:13" x14ac:dyDescent="0.2">
      <c r="B7862" t="s">
        <v>12</v>
      </c>
      <c r="C7862" t="s">
        <v>13</v>
      </c>
      <c r="D7862" t="s">
        <v>14</v>
      </c>
      <c r="E7862" t="s">
        <v>15</v>
      </c>
      <c r="F7862" t="s">
        <v>16</v>
      </c>
      <c r="G7862" t="s">
        <v>17</v>
      </c>
      <c r="H7862" t="s">
        <v>18</v>
      </c>
      <c r="I7862" t="s">
        <v>19</v>
      </c>
      <c r="J7862" t="s">
        <v>20</v>
      </c>
      <c r="K7862" t="s">
        <v>21</v>
      </c>
      <c r="L7862" t="s">
        <v>22</v>
      </c>
      <c r="M7862" t="s">
        <v>23</v>
      </c>
    </row>
    <row r="7863" spans="1:13" x14ac:dyDescent="0.2">
      <c r="B7863" t="s">
        <v>24</v>
      </c>
      <c r="C7863">
        <v>59</v>
      </c>
      <c r="E7863" t="s">
        <v>25</v>
      </c>
      <c r="F7863">
        <v>230.01</v>
      </c>
      <c r="G7863">
        <v>29.9</v>
      </c>
      <c r="H7863">
        <v>0</v>
      </c>
      <c r="I7863" t="s">
        <v>26</v>
      </c>
      <c r="J7863">
        <v>35.9</v>
      </c>
      <c r="K7863">
        <v>0.1</v>
      </c>
      <c r="L7863">
        <v>7</v>
      </c>
    </row>
    <row r="7864" spans="1:13" x14ac:dyDescent="0.2">
      <c r="C7864" t="s">
        <v>27</v>
      </c>
    </row>
    <row r="7865" spans="1:13" x14ac:dyDescent="0.2">
      <c r="C7865" t="s">
        <v>28</v>
      </c>
      <c r="D7865" t="s">
        <v>16</v>
      </c>
      <c r="E7865" t="s">
        <v>29</v>
      </c>
      <c r="F7865" t="s">
        <v>18</v>
      </c>
    </row>
    <row r="7866" spans="1:13" x14ac:dyDescent="0.2">
      <c r="C7866" t="b">
        <v>0</v>
      </c>
      <c r="D7866">
        <v>200.01</v>
      </c>
      <c r="E7866" t="s">
        <v>30</v>
      </c>
      <c r="F7866">
        <v>0</v>
      </c>
    </row>
    <row r="7867" spans="1:13" x14ac:dyDescent="0.2">
      <c r="C7867" t="b">
        <v>0</v>
      </c>
      <c r="D7867">
        <v>170.01</v>
      </c>
      <c r="E7867" t="s">
        <v>30</v>
      </c>
      <c r="F7867">
        <v>0</v>
      </c>
    </row>
    <row r="7868" spans="1:13" x14ac:dyDescent="0.2">
      <c r="C7868" t="b">
        <v>0</v>
      </c>
      <c r="D7868">
        <v>360.02</v>
      </c>
      <c r="E7868" t="s">
        <v>30</v>
      </c>
      <c r="F7868">
        <v>0</v>
      </c>
    </row>
    <row r="7869" spans="1:13" x14ac:dyDescent="0.2">
      <c r="C7869" t="b">
        <v>0</v>
      </c>
      <c r="D7869">
        <v>240.01</v>
      </c>
      <c r="E7869" t="s">
        <v>30</v>
      </c>
      <c r="F7869">
        <v>0</v>
      </c>
    </row>
    <row r="7870" spans="1:13" x14ac:dyDescent="0.2">
      <c r="C7870" t="b">
        <v>0</v>
      </c>
      <c r="D7870">
        <v>150.01</v>
      </c>
      <c r="E7870" t="s">
        <v>30</v>
      </c>
      <c r="F7870">
        <v>0</v>
      </c>
    </row>
    <row r="7871" spans="1:13" x14ac:dyDescent="0.2">
      <c r="C7871" t="b">
        <v>0</v>
      </c>
      <c r="D7871">
        <v>240.01</v>
      </c>
      <c r="E7871" t="s">
        <v>30</v>
      </c>
      <c r="F7871">
        <v>0</v>
      </c>
    </row>
    <row r="7872" spans="1:13" x14ac:dyDescent="0.2">
      <c r="C7872" t="b">
        <v>0</v>
      </c>
      <c r="D7872">
        <v>250.01</v>
      </c>
      <c r="E7872" t="s">
        <v>30</v>
      </c>
      <c r="F7872">
        <v>0</v>
      </c>
    </row>
    <row r="7873" spans="2:13" x14ac:dyDescent="0.2">
      <c r="B7873" t="s">
        <v>11</v>
      </c>
    </row>
    <row r="7874" spans="2:13" x14ac:dyDescent="0.2">
      <c r="B7874" t="s">
        <v>12</v>
      </c>
      <c r="C7874" t="s">
        <v>13</v>
      </c>
      <c r="D7874" t="s">
        <v>14</v>
      </c>
      <c r="E7874" t="s">
        <v>15</v>
      </c>
      <c r="F7874" t="s">
        <v>16</v>
      </c>
      <c r="G7874" t="s">
        <v>17</v>
      </c>
      <c r="H7874" t="s">
        <v>18</v>
      </c>
      <c r="I7874" t="s">
        <v>19</v>
      </c>
      <c r="J7874" t="s">
        <v>20</v>
      </c>
      <c r="K7874" t="s">
        <v>21</v>
      </c>
      <c r="L7874" t="s">
        <v>22</v>
      </c>
      <c r="M7874" t="s">
        <v>23</v>
      </c>
    </row>
    <row r="7875" spans="2:13" x14ac:dyDescent="0.2">
      <c r="B7875" t="s">
        <v>31</v>
      </c>
      <c r="C7875">
        <v>45</v>
      </c>
      <c r="E7875" t="s">
        <v>25</v>
      </c>
      <c r="F7875">
        <v>1357.25</v>
      </c>
      <c r="G7875">
        <v>8.8000000000000007</v>
      </c>
      <c r="K7875">
        <v>0.1</v>
      </c>
      <c r="L7875">
        <v>7</v>
      </c>
      <c r="M7875">
        <v>104.6</v>
      </c>
    </row>
    <row r="7876" spans="2:13" x14ac:dyDescent="0.2">
      <c r="C7876" t="s">
        <v>27</v>
      </c>
    </row>
    <row r="7877" spans="2:13" x14ac:dyDescent="0.2">
      <c r="C7877" t="s">
        <v>28</v>
      </c>
      <c r="D7877" t="s">
        <v>16</v>
      </c>
      <c r="E7877" t="s">
        <v>29</v>
      </c>
      <c r="F7877" t="s">
        <v>18</v>
      </c>
    </row>
    <row r="7878" spans="2:13" x14ac:dyDescent="0.2">
      <c r="C7878" t="b">
        <v>0</v>
      </c>
      <c r="D7878">
        <v>1370.11</v>
      </c>
      <c r="E7878" t="s">
        <v>30</v>
      </c>
    </row>
    <row r="7879" spans="2:13" x14ac:dyDescent="0.2">
      <c r="C7879" t="b">
        <v>0</v>
      </c>
      <c r="D7879">
        <v>1420.11</v>
      </c>
      <c r="E7879" t="s">
        <v>30</v>
      </c>
    </row>
    <row r="7880" spans="2:13" x14ac:dyDescent="0.2">
      <c r="C7880" t="b">
        <v>0</v>
      </c>
      <c r="D7880">
        <v>1260.0999999999999</v>
      </c>
      <c r="E7880" t="s">
        <v>30</v>
      </c>
    </row>
    <row r="7881" spans="2:13" x14ac:dyDescent="0.2">
      <c r="C7881" t="b">
        <v>0</v>
      </c>
      <c r="D7881">
        <v>1280.0999999999999</v>
      </c>
      <c r="E7881" t="s">
        <v>30</v>
      </c>
    </row>
    <row r="7882" spans="2:13" x14ac:dyDescent="0.2">
      <c r="C7882" t="b">
        <v>0</v>
      </c>
      <c r="D7882">
        <v>1250.0899999999999</v>
      </c>
      <c r="E7882" t="s">
        <v>30</v>
      </c>
    </row>
    <row r="7883" spans="2:13" x14ac:dyDescent="0.2">
      <c r="C7883" t="b">
        <v>0</v>
      </c>
      <c r="D7883">
        <v>1590.15</v>
      </c>
      <c r="E7883" t="s">
        <v>30</v>
      </c>
    </row>
    <row r="7884" spans="2:13" x14ac:dyDescent="0.2">
      <c r="C7884" t="b">
        <v>0</v>
      </c>
      <c r="D7884">
        <v>1330.11</v>
      </c>
      <c r="E7884" t="s">
        <v>30</v>
      </c>
    </row>
    <row r="7885" spans="2:13" x14ac:dyDescent="0.2">
      <c r="B7885" t="s">
        <v>11</v>
      </c>
    </row>
    <row r="7886" spans="2:13" x14ac:dyDescent="0.2">
      <c r="B7886" t="s">
        <v>12</v>
      </c>
      <c r="C7886" t="s">
        <v>13</v>
      </c>
      <c r="D7886" t="s">
        <v>14</v>
      </c>
      <c r="E7886" t="s">
        <v>15</v>
      </c>
      <c r="F7886" t="s">
        <v>16</v>
      </c>
      <c r="G7886" t="s">
        <v>17</v>
      </c>
      <c r="H7886" t="s">
        <v>18</v>
      </c>
      <c r="I7886" t="s">
        <v>19</v>
      </c>
      <c r="J7886" t="s">
        <v>20</v>
      </c>
      <c r="K7886" t="s">
        <v>21</v>
      </c>
      <c r="L7886" t="s">
        <v>22</v>
      </c>
      <c r="M7886" t="s">
        <v>23</v>
      </c>
    </row>
    <row r="7887" spans="2:13" x14ac:dyDescent="0.2">
      <c r="B7887" t="s">
        <v>32</v>
      </c>
      <c r="C7887">
        <v>72</v>
      </c>
      <c r="E7887" t="s">
        <v>25</v>
      </c>
      <c r="F7887">
        <v>1421.55</v>
      </c>
      <c r="G7887">
        <v>7.5</v>
      </c>
      <c r="K7887">
        <v>0.1</v>
      </c>
      <c r="L7887">
        <v>7</v>
      </c>
      <c r="M7887">
        <v>103</v>
      </c>
    </row>
    <row r="7888" spans="2:13" x14ac:dyDescent="0.2">
      <c r="C7888" t="s">
        <v>27</v>
      </c>
    </row>
    <row r="7889" spans="2:13" x14ac:dyDescent="0.2">
      <c r="C7889" t="s">
        <v>28</v>
      </c>
      <c r="D7889" t="s">
        <v>16</v>
      </c>
      <c r="E7889" t="s">
        <v>29</v>
      </c>
      <c r="F7889" t="s">
        <v>18</v>
      </c>
    </row>
    <row r="7890" spans="2:13" x14ac:dyDescent="0.2">
      <c r="C7890" t="b">
        <v>0</v>
      </c>
      <c r="D7890">
        <v>1390.11</v>
      </c>
      <c r="E7890" t="s">
        <v>30</v>
      </c>
    </row>
    <row r="7891" spans="2:13" x14ac:dyDescent="0.2">
      <c r="C7891" t="b">
        <v>0</v>
      </c>
      <c r="D7891">
        <v>1530.13</v>
      </c>
      <c r="E7891" t="s">
        <v>30</v>
      </c>
    </row>
    <row r="7892" spans="2:13" x14ac:dyDescent="0.2">
      <c r="C7892" t="b">
        <v>0</v>
      </c>
      <c r="D7892">
        <v>1440.13</v>
      </c>
      <c r="E7892" t="s">
        <v>30</v>
      </c>
    </row>
    <row r="7893" spans="2:13" x14ac:dyDescent="0.2">
      <c r="C7893" t="b">
        <v>0</v>
      </c>
      <c r="D7893">
        <v>1370.12</v>
      </c>
      <c r="E7893" t="s">
        <v>30</v>
      </c>
    </row>
    <row r="7894" spans="2:13" x14ac:dyDescent="0.2">
      <c r="C7894" t="b">
        <v>0</v>
      </c>
      <c r="D7894">
        <v>1580.14</v>
      </c>
      <c r="E7894" t="s">
        <v>30</v>
      </c>
    </row>
    <row r="7895" spans="2:13" x14ac:dyDescent="0.2">
      <c r="C7895" t="b">
        <v>0</v>
      </c>
      <c r="D7895">
        <v>1260.0999999999999</v>
      </c>
      <c r="E7895" t="s">
        <v>30</v>
      </c>
    </row>
    <row r="7896" spans="2:13" x14ac:dyDescent="0.2">
      <c r="C7896" t="b">
        <v>0</v>
      </c>
      <c r="D7896">
        <v>1380.12</v>
      </c>
      <c r="E7896" t="s">
        <v>30</v>
      </c>
    </row>
    <row r="7897" spans="2:13" x14ac:dyDescent="0.2">
      <c r="B7897" t="s">
        <v>11</v>
      </c>
    </row>
    <row r="7898" spans="2:13" x14ac:dyDescent="0.2">
      <c r="B7898" t="s">
        <v>12</v>
      </c>
      <c r="C7898" t="s">
        <v>13</v>
      </c>
      <c r="D7898" t="s">
        <v>14</v>
      </c>
      <c r="E7898" t="s">
        <v>15</v>
      </c>
      <c r="F7898" t="s">
        <v>16</v>
      </c>
      <c r="G7898" t="s">
        <v>17</v>
      </c>
      <c r="H7898" t="s">
        <v>18</v>
      </c>
      <c r="I7898" t="s">
        <v>19</v>
      </c>
      <c r="J7898" t="s">
        <v>20</v>
      </c>
      <c r="K7898" t="s">
        <v>21</v>
      </c>
      <c r="L7898" t="s">
        <v>22</v>
      </c>
      <c r="M7898" t="s">
        <v>23</v>
      </c>
    </row>
    <row r="7899" spans="2:13" x14ac:dyDescent="0.2">
      <c r="B7899" t="s">
        <v>33</v>
      </c>
      <c r="C7899">
        <v>89</v>
      </c>
      <c r="E7899" t="s">
        <v>25</v>
      </c>
      <c r="F7899">
        <v>7718.13</v>
      </c>
      <c r="G7899">
        <v>7.3</v>
      </c>
      <c r="K7899">
        <v>0.1</v>
      </c>
      <c r="L7899">
        <v>7</v>
      </c>
      <c r="M7899">
        <v>102.5</v>
      </c>
    </row>
    <row r="7900" spans="2:13" x14ac:dyDescent="0.2">
      <c r="C7900" t="s">
        <v>27</v>
      </c>
    </row>
    <row r="7901" spans="2:13" x14ac:dyDescent="0.2">
      <c r="C7901" t="s">
        <v>28</v>
      </c>
      <c r="D7901" t="s">
        <v>16</v>
      </c>
      <c r="E7901" t="s">
        <v>29</v>
      </c>
      <c r="F7901" t="s">
        <v>18</v>
      </c>
    </row>
    <row r="7902" spans="2:13" x14ac:dyDescent="0.2">
      <c r="C7902" t="b">
        <v>0</v>
      </c>
      <c r="D7902">
        <v>7542.3</v>
      </c>
      <c r="E7902" t="s">
        <v>30</v>
      </c>
    </row>
    <row r="7903" spans="2:13" x14ac:dyDescent="0.2">
      <c r="C7903" t="b">
        <v>0</v>
      </c>
      <c r="D7903">
        <v>7472.25</v>
      </c>
      <c r="E7903" t="s">
        <v>30</v>
      </c>
    </row>
    <row r="7904" spans="2:13" x14ac:dyDescent="0.2">
      <c r="C7904" t="b">
        <v>0</v>
      </c>
      <c r="D7904">
        <v>7302.19</v>
      </c>
      <c r="E7904" t="s">
        <v>30</v>
      </c>
    </row>
    <row r="7905" spans="1:13" x14ac:dyDescent="0.2">
      <c r="C7905" t="b">
        <v>0</v>
      </c>
      <c r="D7905">
        <v>7132.05</v>
      </c>
      <c r="E7905" t="s">
        <v>30</v>
      </c>
    </row>
    <row r="7906" spans="1:13" x14ac:dyDescent="0.2">
      <c r="C7906" t="b">
        <v>0</v>
      </c>
      <c r="D7906">
        <v>7612.35</v>
      </c>
      <c r="E7906" t="s">
        <v>30</v>
      </c>
    </row>
    <row r="7907" spans="1:13" x14ac:dyDescent="0.2">
      <c r="C7907" t="b">
        <v>0</v>
      </c>
      <c r="D7907">
        <v>8222.77</v>
      </c>
      <c r="E7907" t="s">
        <v>30</v>
      </c>
    </row>
    <row r="7908" spans="1:13" x14ac:dyDescent="0.2">
      <c r="C7908" t="b">
        <v>0</v>
      </c>
      <c r="D7908">
        <v>8743.0300000000007</v>
      </c>
      <c r="E7908" t="s">
        <v>30</v>
      </c>
    </row>
    <row r="7909" spans="1:13" x14ac:dyDescent="0.2">
      <c r="A7909" t="s">
        <v>0</v>
      </c>
    </row>
    <row r="7910" spans="1:13" x14ac:dyDescent="0.2">
      <c r="B7910" t="s">
        <v>1</v>
      </c>
      <c r="C7910" t="s">
        <v>2</v>
      </c>
      <c r="D7910" t="s">
        <v>3</v>
      </c>
      <c r="E7910" t="s">
        <v>4</v>
      </c>
      <c r="F7910" t="s">
        <v>5</v>
      </c>
      <c r="G7910" t="s">
        <v>6</v>
      </c>
    </row>
    <row r="7911" spans="1:13" x14ac:dyDescent="0.2">
      <c r="B7911" t="b">
        <v>0</v>
      </c>
      <c r="C7911" t="s">
        <v>510</v>
      </c>
      <c r="D7911" t="s">
        <v>511</v>
      </c>
      <c r="E7911" t="s">
        <v>9</v>
      </c>
      <c r="G7911" t="s">
        <v>212</v>
      </c>
    </row>
    <row r="7912" spans="1:13" x14ac:dyDescent="0.2">
      <c r="B7912" t="s">
        <v>11</v>
      </c>
    </row>
    <row r="7913" spans="1:13" x14ac:dyDescent="0.2">
      <c r="B7913" t="s">
        <v>12</v>
      </c>
      <c r="C7913" t="s">
        <v>13</v>
      </c>
      <c r="D7913" t="s">
        <v>14</v>
      </c>
      <c r="E7913" t="s">
        <v>15</v>
      </c>
      <c r="F7913" t="s">
        <v>16</v>
      </c>
      <c r="G7913" t="s">
        <v>17</v>
      </c>
      <c r="H7913" t="s">
        <v>18</v>
      </c>
      <c r="I7913" t="s">
        <v>19</v>
      </c>
      <c r="J7913" t="s">
        <v>20</v>
      </c>
      <c r="K7913" t="s">
        <v>21</v>
      </c>
      <c r="L7913" t="s">
        <v>22</v>
      </c>
      <c r="M7913" t="s">
        <v>23</v>
      </c>
    </row>
    <row r="7914" spans="1:13" x14ac:dyDescent="0.2">
      <c r="B7914" t="s">
        <v>24</v>
      </c>
      <c r="C7914">
        <v>59</v>
      </c>
      <c r="E7914" t="s">
        <v>25</v>
      </c>
      <c r="F7914">
        <v>194.3</v>
      </c>
      <c r="G7914">
        <v>24.3</v>
      </c>
      <c r="H7914">
        <v>0</v>
      </c>
      <c r="I7914" t="s">
        <v>26</v>
      </c>
      <c r="J7914">
        <v>30.3</v>
      </c>
      <c r="K7914">
        <v>0.1</v>
      </c>
      <c r="L7914">
        <v>7</v>
      </c>
    </row>
    <row r="7915" spans="1:13" x14ac:dyDescent="0.2">
      <c r="C7915" t="s">
        <v>27</v>
      </c>
    </row>
    <row r="7916" spans="1:13" x14ac:dyDescent="0.2">
      <c r="C7916" t="s">
        <v>28</v>
      </c>
      <c r="D7916" t="s">
        <v>16</v>
      </c>
      <c r="E7916" t="s">
        <v>29</v>
      </c>
      <c r="F7916" t="s">
        <v>18</v>
      </c>
    </row>
    <row r="7917" spans="1:13" x14ac:dyDescent="0.2">
      <c r="C7917" t="b">
        <v>0</v>
      </c>
      <c r="D7917">
        <v>270.02</v>
      </c>
      <c r="E7917" t="s">
        <v>30</v>
      </c>
      <c r="F7917">
        <v>0</v>
      </c>
    </row>
    <row r="7918" spans="1:13" x14ac:dyDescent="0.2">
      <c r="C7918" t="b">
        <v>0</v>
      </c>
      <c r="D7918">
        <v>220.01</v>
      </c>
      <c r="E7918" t="s">
        <v>30</v>
      </c>
      <c r="F7918">
        <v>0</v>
      </c>
    </row>
    <row r="7919" spans="1:13" x14ac:dyDescent="0.2">
      <c r="C7919" t="b">
        <v>0</v>
      </c>
      <c r="D7919">
        <v>170.01</v>
      </c>
      <c r="E7919" t="s">
        <v>30</v>
      </c>
      <c r="F7919">
        <v>0</v>
      </c>
    </row>
    <row r="7920" spans="1:13" x14ac:dyDescent="0.2">
      <c r="C7920" t="b">
        <v>0</v>
      </c>
      <c r="D7920">
        <v>230.01</v>
      </c>
      <c r="E7920" t="s">
        <v>30</v>
      </c>
      <c r="F7920">
        <v>0</v>
      </c>
    </row>
    <row r="7921" spans="2:13" x14ac:dyDescent="0.2">
      <c r="C7921" t="b">
        <v>0</v>
      </c>
      <c r="D7921">
        <v>180.01</v>
      </c>
      <c r="E7921" t="s">
        <v>30</v>
      </c>
      <c r="F7921">
        <v>0</v>
      </c>
    </row>
    <row r="7922" spans="2:13" x14ac:dyDescent="0.2">
      <c r="C7922" t="b">
        <v>0</v>
      </c>
      <c r="D7922">
        <v>140.01</v>
      </c>
      <c r="E7922" t="s">
        <v>30</v>
      </c>
      <c r="F7922">
        <v>0</v>
      </c>
    </row>
    <row r="7923" spans="2:13" x14ac:dyDescent="0.2">
      <c r="C7923" t="b">
        <v>0</v>
      </c>
      <c r="D7923">
        <v>150.01</v>
      </c>
      <c r="E7923" t="s">
        <v>30</v>
      </c>
      <c r="F7923">
        <v>0</v>
      </c>
    </row>
    <row r="7924" spans="2:13" x14ac:dyDescent="0.2">
      <c r="B7924" t="s">
        <v>11</v>
      </c>
    </row>
    <row r="7925" spans="2:13" x14ac:dyDescent="0.2">
      <c r="B7925" t="s">
        <v>12</v>
      </c>
      <c r="C7925" t="s">
        <v>13</v>
      </c>
      <c r="D7925" t="s">
        <v>14</v>
      </c>
      <c r="E7925" t="s">
        <v>15</v>
      </c>
      <c r="F7925" t="s">
        <v>16</v>
      </c>
      <c r="G7925" t="s">
        <v>17</v>
      </c>
      <c r="H7925" t="s">
        <v>18</v>
      </c>
      <c r="I7925" t="s">
        <v>19</v>
      </c>
      <c r="J7925" t="s">
        <v>20</v>
      </c>
      <c r="K7925" t="s">
        <v>21</v>
      </c>
      <c r="L7925" t="s">
        <v>22</v>
      </c>
      <c r="M7925" t="s">
        <v>23</v>
      </c>
    </row>
    <row r="7926" spans="2:13" x14ac:dyDescent="0.2">
      <c r="B7926" t="s">
        <v>31</v>
      </c>
      <c r="C7926">
        <v>45</v>
      </c>
      <c r="E7926" t="s">
        <v>25</v>
      </c>
      <c r="F7926">
        <v>1367.26</v>
      </c>
      <c r="G7926">
        <v>6.1</v>
      </c>
      <c r="K7926">
        <v>0.1</v>
      </c>
      <c r="L7926">
        <v>7</v>
      </c>
      <c r="M7926">
        <v>105.4</v>
      </c>
    </row>
    <row r="7927" spans="2:13" x14ac:dyDescent="0.2">
      <c r="C7927" t="s">
        <v>27</v>
      </c>
    </row>
    <row r="7928" spans="2:13" x14ac:dyDescent="0.2">
      <c r="C7928" t="s">
        <v>28</v>
      </c>
      <c r="D7928" t="s">
        <v>16</v>
      </c>
      <c r="E7928" t="s">
        <v>29</v>
      </c>
      <c r="F7928" t="s">
        <v>18</v>
      </c>
    </row>
    <row r="7929" spans="2:13" x14ac:dyDescent="0.2">
      <c r="C7929" t="b">
        <v>0</v>
      </c>
      <c r="D7929">
        <v>1280.1099999999999</v>
      </c>
      <c r="E7929" t="s">
        <v>30</v>
      </c>
    </row>
    <row r="7930" spans="2:13" x14ac:dyDescent="0.2">
      <c r="C7930" t="b">
        <v>0</v>
      </c>
      <c r="D7930">
        <v>1330.11</v>
      </c>
      <c r="E7930" t="s">
        <v>30</v>
      </c>
    </row>
    <row r="7931" spans="2:13" x14ac:dyDescent="0.2">
      <c r="C7931" t="b">
        <v>0</v>
      </c>
      <c r="D7931">
        <v>1300.0999999999999</v>
      </c>
      <c r="E7931" t="s">
        <v>30</v>
      </c>
    </row>
    <row r="7932" spans="2:13" x14ac:dyDescent="0.2">
      <c r="C7932" t="b">
        <v>0</v>
      </c>
      <c r="D7932">
        <v>1350.11</v>
      </c>
      <c r="E7932" t="s">
        <v>30</v>
      </c>
    </row>
    <row r="7933" spans="2:13" x14ac:dyDescent="0.2">
      <c r="C7933" t="b">
        <v>0</v>
      </c>
      <c r="D7933">
        <v>1340.12</v>
      </c>
      <c r="E7933" t="s">
        <v>30</v>
      </c>
    </row>
    <row r="7934" spans="2:13" x14ac:dyDescent="0.2">
      <c r="C7934" t="b">
        <v>0</v>
      </c>
      <c r="D7934">
        <v>1490.13</v>
      </c>
      <c r="E7934" t="s">
        <v>30</v>
      </c>
    </row>
    <row r="7935" spans="2:13" x14ac:dyDescent="0.2">
      <c r="C7935" t="b">
        <v>0</v>
      </c>
      <c r="D7935">
        <v>1480.13</v>
      </c>
      <c r="E7935" t="s">
        <v>30</v>
      </c>
    </row>
    <row r="7936" spans="2:13" x14ac:dyDescent="0.2">
      <c r="B7936" t="s">
        <v>11</v>
      </c>
    </row>
    <row r="7937" spans="2:13" x14ac:dyDescent="0.2">
      <c r="B7937" t="s">
        <v>12</v>
      </c>
      <c r="C7937" t="s">
        <v>13</v>
      </c>
      <c r="D7937" t="s">
        <v>14</v>
      </c>
      <c r="E7937" t="s">
        <v>15</v>
      </c>
      <c r="F7937" t="s">
        <v>16</v>
      </c>
      <c r="G7937" t="s">
        <v>17</v>
      </c>
      <c r="H7937" t="s">
        <v>18</v>
      </c>
      <c r="I7937" t="s">
        <v>19</v>
      </c>
      <c r="J7937" t="s">
        <v>20</v>
      </c>
      <c r="K7937" t="s">
        <v>21</v>
      </c>
      <c r="L7937" t="s">
        <v>22</v>
      </c>
      <c r="M7937" t="s">
        <v>23</v>
      </c>
    </row>
    <row r="7938" spans="2:13" x14ac:dyDescent="0.2">
      <c r="B7938" t="s">
        <v>32</v>
      </c>
      <c r="C7938">
        <v>72</v>
      </c>
      <c r="E7938" t="s">
        <v>25</v>
      </c>
      <c r="F7938">
        <v>1258.68</v>
      </c>
      <c r="G7938">
        <v>10.6</v>
      </c>
      <c r="K7938">
        <v>0.1</v>
      </c>
      <c r="L7938">
        <v>7</v>
      </c>
      <c r="M7938">
        <v>91.2</v>
      </c>
    </row>
    <row r="7939" spans="2:13" x14ac:dyDescent="0.2">
      <c r="C7939" t="s">
        <v>27</v>
      </c>
    </row>
    <row r="7940" spans="2:13" x14ac:dyDescent="0.2">
      <c r="C7940" t="s">
        <v>28</v>
      </c>
      <c r="D7940" t="s">
        <v>16</v>
      </c>
      <c r="E7940" t="s">
        <v>29</v>
      </c>
      <c r="F7940" t="s">
        <v>18</v>
      </c>
    </row>
    <row r="7941" spans="2:13" x14ac:dyDescent="0.2">
      <c r="C7941" t="b">
        <v>0</v>
      </c>
      <c r="D7941">
        <v>1390.12</v>
      </c>
      <c r="E7941" t="s">
        <v>30</v>
      </c>
    </row>
    <row r="7942" spans="2:13" x14ac:dyDescent="0.2">
      <c r="C7942" t="b">
        <v>0</v>
      </c>
      <c r="D7942">
        <v>1100.0899999999999</v>
      </c>
      <c r="E7942" t="s">
        <v>30</v>
      </c>
    </row>
    <row r="7943" spans="2:13" x14ac:dyDescent="0.2">
      <c r="C7943" t="b">
        <v>0</v>
      </c>
      <c r="D7943">
        <v>1320.11</v>
      </c>
      <c r="E7943" t="s">
        <v>30</v>
      </c>
    </row>
    <row r="7944" spans="2:13" x14ac:dyDescent="0.2">
      <c r="C7944" t="b">
        <v>0</v>
      </c>
      <c r="D7944">
        <v>1130.0899999999999</v>
      </c>
      <c r="E7944" t="s">
        <v>30</v>
      </c>
    </row>
    <row r="7945" spans="2:13" x14ac:dyDescent="0.2">
      <c r="C7945" t="b">
        <v>0</v>
      </c>
      <c r="D7945">
        <v>1130.0899999999999</v>
      </c>
      <c r="E7945" t="s">
        <v>30</v>
      </c>
    </row>
    <row r="7946" spans="2:13" x14ac:dyDescent="0.2">
      <c r="C7946" t="b">
        <v>0</v>
      </c>
      <c r="D7946">
        <v>1400.13</v>
      </c>
      <c r="E7946" t="s">
        <v>30</v>
      </c>
    </row>
    <row r="7947" spans="2:13" x14ac:dyDescent="0.2">
      <c r="C7947" t="b">
        <v>0</v>
      </c>
      <c r="D7947">
        <v>1340.1</v>
      </c>
      <c r="E7947" t="s">
        <v>30</v>
      </c>
    </row>
    <row r="7948" spans="2:13" x14ac:dyDescent="0.2">
      <c r="B7948" t="s">
        <v>11</v>
      </c>
    </row>
    <row r="7949" spans="2:13" x14ac:dyDescent="0.2">
      <c r="B7949" t="s">
        <v>12</v>
      </c>
      <c r="C7949" t="s">
        <v>13</v>
      </c>
      <c r="D7949" t="s">
        <v>14</v>
      </c>
      <c r="E7949" t="s">
        <v>15</v>
      </c>
      <c r="F7949" t="s">
        <v>16</v>
      </c>
      <c r="G7949" t="s">
        <v>17</v>
      </c>
      <c r="H7949" t="s">
        <v>18</v>
      </c>
      <c r="I7949" t="s">
        <v>19</v>
      </c>
      <c r="J7949" t="s">
        <v>20</v>
      </c>
      <c r="K7949" t="s">
        <v>21</v>
      </c>
      <c r="L7949" t="s">
        <v>22</v>
      </c>
      <c r="M7949" t="s">
        <v>23</v>
      </c>
    </row>
    <row r="7950" spans="2:13" x14ac:dyDescent="0.2">
      <c r="B7950" t="s">
        <v>33</v>
      </c>
      <c r="C7950">
        <v>89</v>
      </c>
      <c r="E7950" t="s">
        <v>25</v>
      </c>
      <c r="F7950">
        <v>7244.98</v>
      </c>
      <c r="G7950">
        <v>5.0999999999999996</v>
      </c>
      <c r="K7950">
        <v>0.1</v>
      </c>
      <c r="L7950">
        <v>7</v>
      </c>
      <c r="M7950">
        <v>96.2</v>
      </c>
    </row>
    <row r="7951" spans="2:13" x14ac:dyDescent="0.2">
      <c r="C7951" t="s">
        <v>27</v>
      </c>
    </row>
    <row r="7952" spans="2:13" x14ac:dyDescent="0.2">
      <c r="C7952" t="s">
        <v>28</v>
      </c>
      <c r="D7952" t="s">
        <v>16</v>
      </c>
      <c r="E7952" t="s">
        <v>29</v>
      </c>
      <c r="F7952" t="s">
        <v>18</v>
      </c>
    </row>
    <row r="7953" spans="3:5" x14ac:dyDescent="0.2">
      <c r="C7953" t="b">
        <v>0</v>
      </c>
      <c r="D7953">
        <v>7192.08</v>
      </c>
      <c r="E7953" t="s">
        <v>30</v>
      </c>
    </row>
    <row r="7954" spans="3:5" x14ac:dyDescent="0.2">
      <c r="C7954" t="b">
        <v>0</v>
      </c>
      <c r="D7954">
        <v>6861.89</v>
      </c>
      <c r="E7954" t="s">
        <v>30</v>
      </c>
    </row>
    <row r="7955" spans="3:5" x14ac:dyDescent="0.2">
      <c r="C7955" t="b">
        <v>0</v>
      </c>
      <c r="D7955">
        <v>6891.96</v>
      </c>
      <c r="E7955" t="s">
        <v>30</v>
      </c>
    </row>
    <row r="7956" spans="3:5" x14ac:dyDescent="0.2">
      <c r="C7956" t="b">
        <v>0</v>
      </c>
      <c r="D7956">
        <v>7062.08</v>
      </c>
      <c r="E7956" t="s">
        <v>30</v>
      </c>
    </row>
    <row r="7957" spans="3:5" x14ac:dyDescent="0.2">
      <c r="C7957" t="b">
        <v>0</v>
      </c>
      <c r="D7957">
        <v>7302.11</v>
      </c>
      <c r="E7957" t="s">
        <v>30</v>
      </c>
    </row>
    <row r="7958" spans="3:5" x14ac:dyDescent="0.2">
      <c r="C7958" t="b">
        <v>0</v>
      </c>
      <c r="D7958">
        <v>7502.3</v>
      </c>
      <c r="E7958" t="s">
        <v>30</v>
      </c>
    </row>
    <row r="7959" spans="3:5" x14ac:dyDescent="0.2">
      <c r="C7959" t="b">
        <v>0</v>
      </c>
      <c r="D7959">
        <v>7902.44</v>
      </c>
      <c r="E7959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7D1D-1839-BE45-9191-B24E791DFBBE}">
  <sheetPr codeName="Sheet2"/>
  <dimension ref="A1:O758"/>
  <sheetViews>
    <sheetView workbookViewId="0">
      <selection activeCell="F143" sqref="F143"/>
    </sheetView>
  </sheetViews>
  <sheetFormatPr baseColWidth="10" defaultRowHeight="16" x14ac:dyDescent="0.2"/>
  <cols>
    <col min="1" max="2" width="14.1640625" customWidth="1"/>
    <col min="3" max="3" width="20.6640625" bestFit="1" customWidth="1"/>
    <col min="4" max="4" width="10.1640625" customWidth="1"/>
    <col min="5" max="5" width="9" customWidth="1"/>
    <col min="6" max="6" width="17.83203125" bestFit="1" customWidth="1"/>
    <col min="7" max="7" width="47" bestFit="1" customWidth="1"/>
    <col min="8" max="8" width="12.1640625" bestFit="1" customWidth="1"/>
    <col min="9" max="9" width="11.1640625" bestFit="1" customWidth="1"/>
    <col min="10" max="10" width="7.5" bestFit="1" customWidth="1"/>
    <col min="11" max="11" width="12.1640625" bestFit="1" customWidth="1"/>
    <col min="12" max="12" width="11.1640625" bestFit="1" customWidth="1"/>
    <col min="13" max="13" width="19.1640625" style="6" bestFit="1" customWidth="1"/>
    <col min="14" max="15" width="19.33203125" style="6" bestFit="1" customWidth="1"/>
  </cols>
  <sheetData>
    <row r="1" spans="1:15" x14ac:dyDescent="0.2">
      <c r="A1" s="1"/>
      <c r="B1" s="2"/>
      <c r="C1" s="2"/>
      <c r="D1" s="2"/>
      <c r="E1" s="2"/>
      <c r="F1" s="2"/>
      <c r="G1" s="2"/>
      <c r="H1" s="47" t="s">
        <v>222</v>
      </c>
      <c r="I1" s="48"/>
      <c r="J1" s="3"/>
      <c r="K1" s="47" t="s">
        <v>222</v>
      </c>
      <c r="L1" s="48"/>
      <c r="M1" s="4" t="s">
        <v>223</v>
      </c>
      <c r="N1" s="4" t="s">
        <v>224</v>
      </c>
      <c r="O1" s="4" t="s">
        <v>225</v>
      </c>
    </row>
    <row r="2" spans="1:15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226</v>
      </c>
      <c r="H2" s="4" t="s">
        <v>227</v>
      </c>
      <c r="I2" s="4" t="s">
        <v>16</v>
      </c>
      <c r="J2" s="4" t="s">
        <v>228</v>
      </c>
      <c r="K2" s="4" t="s">
        <v>229</v>
      </c>
      <c r="L2" s="1" t="s">
        <v>16</v>
      </c>
      <c r="M2" s="4" t="s">
        <v>23</v>
      </c>
      <c r="N2" s="4" t="s">
        <v>23</v>
      </c>
      <c r="O2" s="4" t="s">
        <v>23</v>
      </c>
    </row>
    <row r="3" spans="1:15" x14ac:dyDescent="0.2">
      <c r="A3" s="5" t="b">
        <v>0</v>
      </c>
      <c r="B3" s="6" t="s">
        <v>7</v>
      </c>
      <c r="C3" s="6" t="s">
        <v>8</v>
      </c>
      <c r="D3" s="6" t="s">
        <v>9</v>
      </c>
      <c r="E3" s="7"/>
      <c r="F3" s="6" t="s">
        <v>10</v>
      </c>
      <c r="G3" s="6" t="s">
        <v>230</v>
      </c>
      <c r="H3" s="5"/>
      <c r="I3" s="6">
        <v>222.87</v>
      </c>
      <c r="J3" s="6">
        <v>1</v>
      </c>
      <c r="K3" s="6"/>
      <c r="L3" s="5">
        <f>I3*J3*1000</f>
        <v>222870</v>
      </c>
    </row>
    <row r="4" spans="1:15" x14ac:dyDescent="0.2">
      <c r="A4" s="5" t="b">
        <v>0</v>
      </c>
      <c r="B4" s="6" t="s">
        <v>34</v>
      </c>
      <c r="C4" s="6" t="s">
        <v>35</v>
      </c>
      <c r="D4" s="6" t="s">
        <v>9</v>
      </c>
      <c r="E4" s="7"/>
      <c r="F4" s="6" t="s">
        <v>10</v>
      </c>
      <c r="G4" s="6" t="s">
        <v>230</v>
      </c>
      <c r="H4" s="5"/>
      <c r="I4" s="6">
        <v>84.29</v>
      </c>
      <c r="J4" s="6">
        <v>1</v>
      </c>
      <c r="K4" s="6"/>
      <c r="L4" s="5">
        <f t="shared" ref="L4:L18" si="0">I4*J4*1000</f>
        <v>84290</v>
      </c>
    </row>
    <row r="5" spans="1:15" x14ac:dyDescent="0.2">
      <c r="A5" s="5" t="b">
        <v>0</v>
      </c>
      <c r="B5" s="6" t="s">
        <v>36</v>
      </c>
      <c r="C5" s="6" t="s">
        <v>37</v>
      </c>
      <c r="D5" s="6" t="s">
        <v>9</v>
      </c>
      <c r="E5" s="7"/>
      <c r="F5" s="6" t="s">
        <v>10</v>
      </c>
      <c r="G5" s="6" t="s">
        <v>230</v>
      </c>
      <c r="H5" s="5"/>
      <c r="I5" s="6">
        <v>87.14</v>
      </c>
      <c r="J5" s="6">
        <v>1</v>
      </c>
      <c r="K5" s="6"/>
      <c r="L5" s="5">
        <f t="shared" si="0"/>
        <v>87140</v>
      </c>
    </row>
    <row r="6" spans="1:15" x14ac:dyDescent="0.2">
      <c r="A6" s="5" t="b">
        <v>0</v>
      </c>
      <c r="B6" s="6" t="s">
        <v>38</v>
      </c>
      <c r="C6" s="6" t="s">
        <v>39</v>
      </c>
      <c r="D6" s="6" t="s">
        <v>9</v>
      </c>
      <c r="E6" s="7"/>
      <c r="F6" s="6" t="s">
        <v>10</v>
      </c>
      <c r="G6" s="6" t="s">
        <v>230</v>
      </c>
      <c r="H6" s="5"/>
      <c r="I6" s="6">
        <v>64.290000000000006</v>
      </c>
      <c r="J6" s="6">
        <v>1</v>
      </c>
      <c r="K6" s="6"/>
      <c r="L6" s="5">
        <f t="shared" si="0"/>
        <v>64290.000000000007</v>
      </c>
    </row>
    <row r="7" spans="1:15" x14ac:dyDescent="0.2">
      <c r="A7" s="5" t="b">
        <v>0</v>
      </c>
      <c r="B7" s="6" t="s">
        <v>40</v>
      </c>
      <c r="C7" s="6" t="s">
        <v>41</v>
      </c>
      <c r="D7" s="6" t="s">
        <v>9</v>
      </c>
      <c r="E7" s="7"/>
      <c r="F7" s="6" t="s">
        <v>10</v>
      </c>
      <c r="G7" s="6" t="s">
        <v>230</v>
      </c>
      <c r="H7" s="5"/>
      <c r="I7" s="6">
        <v>68.569999999999993</v>
      </c>
      <c r="J7" s="6">
        <v>1</v>
      </c>
      <c r="K7" s="6">
        <f>H7*J7*1000</f>
        <v>0</v>
      </c>
      <c r="L7" s="5">
        <f t="shared" si="0"/>
        <v>68570</v>
      </c>
    </row>
    <row r="8" spans="1:15" x14ac:dyDescent="0.2">
      <c r="A8" s="5" t="b">
        <v>0</v>
      </c>
      <c r="B8" s="6" t="s">
        <v>42</v>
      </c>
      <c r="C8" s="6" t="s">
        <v>43</v>
      </c>
      <c r="D8" s="6" t="s">
        <v>44</v>
      </c>
      <c r="E8" s="7">
        <v>1</v>
      </c>
      <c r="F8" s="6" t="s">
        <v>231</v>
      </c>
      <c r="G8" s="6" t="s">
        <v>232</v>
      </c>
      <c r="H8" s="6">
        <v>0</v>
      </c>
      <c r="I8" s="6">
        <v>55.71</v>
      </c>
      <c r="J8" s="6">
        <v>1</v>
      </c>
      <c r="K8" s="6">
        <f>H8*J8*1000</f>
        <v>0</v>
      </c>
      <c r="L8" s="5">
        <f t="shared" si="0"/>
        <v>55710</v>
      </c>
      <c r="M8" s="6">
        <v>100</v>
      </c>
      <c r="N8" s="6">
        <v>100</v>
      </c>
      <c r="O8" s="6">
        <v>100</v>
      </c>
    </row>
    <row r="9" spans="1:15" x14ac:dyDescent="0.2">
      <c r="A9" s="5" t="b">
        <v>0</v>
      </c>
      <c r="B9" s="6" t="s">
        <v>47</v>
      </c>
      <c r="C9" s="6" t="s">
        <v>48</v>
      </c>
      <c r="D9" s="6" t="s">
        <v>49</v>
      </c>
      <c r="E9" s="7">
        <v>2</v>
      </c>
      <c r="F9" s="6" t="s">
        <v>233</v>
      </c>
      <c r="G9" s="6" t="s">
        <v>234</v>
      </c>
      <c r="H9" s="6">
        <v>1E-3</v>
      </c>
      <c r="I9" s="6">
        <v>2005.93</v>
      </c>
      <c r="J9" s="6">
        <v>1</v>
      </c>
      <c r="K9" s="6">
        <f>H9*J9*1000</f>
        <v>1</v>
      </c>
      <c r="L9" s="5">
        <f t="shared" si="0"/>
        <v>2005930</v>
      </c>
      <c r="M9" s="6">
        <v>92.9</v>
      </c>
      <c r="N9" s="6">
        <v>95.8</v>
      </c>
      <c r="O9" s="6">
        <v>96.8</v>
      </c>
    </row>
    <row r="10" spans="1:15" x14ac:dyDescent="0.2">
      <c r="A10" s="5" t="b">
        <v>0</v>
      </c>
      <c r="B10" s="6" t="s">
        <v>51</v>
      </c>
      <c r="C10" s="6" t="s">
        <v>52</v>
      </c>
      <c r="D10" s="6" t="s">
        <v>49</v>
      </c>
      <c r="E10" s="7">
        <v>3</v>
      </c>
      <c r="F10" s="6" t="s">
        <v>235</v>
      </c>
      <c r="G10" s="6" t="s">
        <v>236</v>
      </c>
      <c r="H10" s="6">
        <v>8.9999999999999993E-3</v>
      </c>
      <c r="I10" s="6">
        <v>20668.57</v>
      </c>
      <c r="J10" s="6">
        <v>1</v>
      </c>
      <c r="K10" s="6">
        <f t="shared" ref="K10:K17" si="1">H10*J10*1000</f>
        <v>9</v>
      </c>
      <c r="L10" s="5">
        <f t="shared" si="0"/>
        <v>20668570</v>
      </c>
      <c r="M10" s="6">
        <v>92</v>
      </c>
      <c r="N10" s="6">
        <v>99.2</v>
      </c>
      <c r="O10" s="6">
        <v>94.7</v>
      </c>
    </row>
    <row r="11" spans="1:15" x14ac:dyDescent="0.2">
      <c r="A11" s="5" t="b">
        <v>0</v>
      </c>
      <c r="B11" s="6" t="s">
        <v>54</v>
      </c>
      <c r="C11" s="6" t="s">
        <v>55</v>
      </c>
      <c r="D11" s="6" t="s">
        <v>49</v>
      </c>
      <c r="E11" s="7">
        <v>4</v>
      </c>
      <c r="F11" s="6" t="s">
        <v>237</v>
      </c>
      <c r="G11" s="6" t="s">
        <v>238</v>
      </c>
      <c r="H11" s="6">
        <v>4.8000000000000001E-2</v>
      </c>
      <c r="I11" s="6">
        <v>108732.01</v>
      </c>
      <c r="J11" s="6">
        <v>1</v>
      </c>
      <c r="K11" s="6">
        <f>H11*J11*1000</f>
        <v>48</v>
      </c>
      <c r="L11" s="5">
        <f t="shared" si="0"/>
        <v>108732010</v>
      </c>
      <c r="M11" s="6">
        <v>110.8</v>
      </c>
      <c r="N11" s="6">
        <v>106.7</v>
      </c>
      <c r="O11" s="6">
        <v>112.1</v>
      </c>
    </row>
    <row r="12" spans="1:15" x14ac:dyDescent="0.2">
      <c r="A12" s="5" t="b">
        <v>0</v>
      </c>
      <c r="B12" s="6" t="s">
        <v>57</v>
      </c>
      <c r="C12" s="6" t="s">
        <v>58</v>
      </c>
      <c r="D12" s="6" t="s">
        <v>49</v>
      </c>
      <c r="E12" s="7">
        <v>5</v>
      </c>
      <c r="F12" s="6" t="s">
        <v>239</v>
      </c>
      <c r="G12" s="6" t="s">
        <v>240</v>
      </c>
      <c r="H12" s="6">
        <v>9.1999999999999998E-2</v>
      </c>
      <c r="I12" s="6">
        <v>205859.08</v>
      </c>
      <c r="J12" s="6">
        <v>1</v>
      </c>
      <c r="K12" s="6">
        <f t="shared" si="1"/>
        <v>92</v>
      </c>
      <c r="L12" s="5">
        <f t="shared" si="0"/>
        <v>205859080</v>
      </c>
      <c r="M12" s="6">
        <v>106.2</v>
      </c>
      <c r="N12" s="6">
        <v>110</v>
      </c>
      <c r="O12" s="6">
        <v>112.2</v>
      </c>
    </row>
    <row r="13" spans="1:15" x14ac:dyDescent="0.2">
      <c r="A13" s="5" t="b">
        <v>0</v>
      </c>
      <c r="B13" s="6" t="s">
        <v>61</v>
      </c>
      <c r="C13" s="6" t="s">
        <v>62</v>
      </c>
      <c r="D13" s="6" t="s">
        <v>49</v>
      </c>
      <c r="E13" s="7">
        <v>6</v>
      </c>
      <c r="F13" s="6" t="s">
        <v>241</v>
      </c>
      <c r="G13" s="6" t="s">
        <v>242</v>
      </c>
      <c r="H13" s="6">
        <v>0.496</v>
      </c>
      <c r="I13" s="6">
        <v>1114340.04</v>
      </c>
      <c r="J13" s="6">
        <v>1</v>
      </c>
      <c r="K13" s="6">
        <f t="shared" si="1"/>
        <v>496</v>
      </c>
      <c r="L13" s="5">
        <f t="shared" si="0"/>
        <v>1114340040</v>
      </c>
      <c r="M13" s="6">
        <v>109.8</v>
      </c>
      <c r="N13" s="6">
        <v>110</v>
      </c>
      <c r="O13" s="6">
        <v>122</v>
      </c>
    </row>
    <row r="14" spans="1:15" x14ac:dyDescent="0.2">
      <c r="A14" s="5" t="b">
        <v>0</v>
      </c>
      <c r="B14" s="6" t="s">
        <v>64</v>
      </c>
      <c r="C14" s="6" t="s">
        <v>65</v>
      </c>
      <c r="D14" s="6" t="s">
        <v>49</v>
      </c>
      <c r="E14" s="7">
        <v>7</v>
      </c>
      <c r="F14" s="6" t="s">
        <v>243</v>
      </c>
      <c r="G14" s="6" t="s">
        <v>244</v>
      </c>
      <c r="H14" s="6">
        <v>1.077</v>
      </c>
      <c r="I14" s="6">
        <v>2421724.7599999998</v>
      </c>
      <c r="J14" s="6">
        <v>1</v>
      </c>
      <c r="K14" s="6">
        <f t="shared" si="1"/>
        <v>1077</v>
      </c>
      <c r="L14" s="5">
        <f t="shared" si="0"/>
        <v>2421724760</v>
      </c>
      <c r="M14" s="6">
        <v>111.3</v>
      </c>
      <c r="N14" s="6">
        <v>118.2</v>
      </c>
      <c r="O14" s="6">
        <v>110.5</v>
      </c>
    </row>
    <row r="15" spans="1:15" x14ac:dyDescent="0.2">
      <c r="A15" s="5" t="b">
        <v>0</v>
      </c>
      <c r="B15" s="6" t="s">
        <v>68</v>
      </c>
      <c r="C15" s="6" t="s">
        <v>69</v>
      </c>
      <c r="D15" s="6" t="s">
        <v>49</v>
      </c>
      <c r="E15" s="7">
        <v>8</v>
      </c>
      <c r="F15" s="6" t="s">
        <v>245</v>
      </c>
      <c r="G15" s="6" t="s">
        <v>246</v>
      </c>
      <c r="H15" s="6">
        <v>9.7129999999999992</v>
      </c>
      <c r="I15" s="6">
        <v>21837173.600000001</v>
      </c>
      <c r="J15" s="6">
        <v>1</v>
      </c>
      <c r="K15" s="6">
        <f t="shared" si="1"/>
        <v>9713</v>
      </c>
      <c r="L15" s="5">
        <f t="shared" si="0"/>
        <v>21837173600</v>
      </c>
      <c r="M15" s="6">
        <v>103.9</v>
      </c>
      <c r="N15" s="6">
        <v>105.7</v>
      </c>
      <c r="O15" s="6">
        <v>108.3</v>
      </c>
    </row>
    <row r="16" spans="1:15" x14ac:dyDescent="0.2">
      <c r="A16" s="5" t="b">
        <v>0</v>
      </c>
      <c r="B16" s="6" t="s">
        <v>71</v>
      </c>
      <c r="C16" s="6" t="s">
        <v>72</v>
      </c>
      <c r="D16" s="6" t="s">
        <v>49</v>
      </c>
      <c r="E16" s="7">
        <v>9</v>
      </c>
      <c r="F16" s="6" t="s">
        <v>247</v>
      </c>
      <c r="G16" s="6" t="s">
        <v>248</v>
      </c>
      <c r="H16" s="6">
        <v>50.055999999999997</v>
      </c>
      <c r="I16" s="6">
        <v>112533001.18000001</v>
      </c>
      <c r="J16" s="6">
        <v>1</v>
      </c>
      <c r="K16" s="6">
        <f>H16*J16*1000</f>
        <v>50056</v>
      </c>
      <c r="L16" s="5">
        <f t="shared" si="0"/>
        <v>112533001180</v>
      </c>
      <c r="M16" s="6">
        <v>93.8</v>
      </c>
      <c r="N16" s="6">
        <v>108.6</v>
      </c>
      <c r="O16" s="6">
        <v>103.5</v>
      </c>
    </row>
    <row r="17" spans="1:15" x14ac:dyDescent="0.2">
      <c r="A17" s="5" t="b">
        <v>0</v>
      </c>
      <c r="B17" s="6" t="s">
        <v>74</v>
      </c>
      <c r="C17" s="6" t="s">
        <v>75</v>
      </c>
      <c r="D17" s="6" t="s">
        <v>9</v>
      </c>
      <c r="E17" s="7"/>
      <c r="F17" s="6" t="s">
        <v>10</v>
      </c>
      <c r="G17" s="6" t="s">
        <v>230</v>
      </c>
      <c r="H17" s="6">
        <v>0</v>
      </c>
      <c r="I17" s="6">
        <v>312.87</v>
      </c>
      <c r="J17" s="6">
        <v>1</v>
      </c>
      <c r="K17" s="6">
        <f t="shared" si="1"/>
        <v>0</v>
      </c>
      <c r="L17" s="5">
        <f t="shared" si="0"/>
        <v>312870</v>
      </c>
      <c r="M17" s="6">
        <v>98.2</v>
      </c>
      <c r="N17" s="6">
        <v>88.5</v>
      </c>
      <c r="O17" s="6">
        <v>101.3</v>
      </c>
    </row>
    <row r="18" spans="1:15" x14ac:dyDescent="0.2">
      <c r="A18" s="5" t="b">
        <v>0</v>
      </c>
      <c r="B18" s="6" t="s">
        <v>77</v>
      </c>
      <c r="C18" s="6" t="s">
        <v>78</v>
      </c>
      <c r="D18" s="6" t="s">
        <v>9</v>
      </c>
      <c r="E18" s="7"/>
      <c r="F18" s="6" t="s">
        <v>10</v>
      </c>
      <c r="G18" s="6" t="s">
        <v>230</v>
      </c>
      <c r="H18" s="6">
        <v>0</v>
      </c>
      <c r="I18" s="6">
        <v>135.72</v>
      </c>
      <c r="J18" s="6">
        <v>1</v>
      </c>
      <c r="K18" s="6">
        <f>H18*J18*1000</f>
        <v>0</v>
      </c>
      <c r="L18" s="5">
        <f t="shared" si="0"/>
        <v>135720</v>
      </c>
      <c r="M18" s="6">
        <v>88.2</v>
      </c>
      <c r="N18" s="6">
        <v>99.6</v>
      </c>
      <c r="O18" s="6">
        <v>101.2</v>
      </c>
    </row>
    <row r="19" spans="1:15" x14ac:dyDescent="0.2">
      <c r="A19" s="5" t="b">
        <v>0</v>
      </c>
      <c r="B19" s="6" t="s">
        <v>79</v>
      </c>
      <c r="C19" s="6" t="s">
        <v>80</v>
      </c>
      <c r="D19" s="6" t="s">
        <v>0</v>
      </c>
      <c r="E19" s="7"/>
      <c r="F19" s="6" t="s">
        <v>81</v>
      </c>
      <c r="G19" s="6" t="s">
        <v>252</v>
      </c>
      <c r="H19" s="6">
        <v>8.9999999999999993E-3</v>
      </c>
      <c r="I19" s="6">
        <v>20127.810000000001</v>
      </c>
      <c r="J19" s="6">
        <v>10</v>
      </c>
      <c r="K19" s="6">
        <f t="shared" ref="K19:K64" si="2">H19*J19*1000</f>
        <v>90</v>
      </c>
      <c r="L19" s="5">
        <f t="shared" ref="L19:L64" si="3">I19*J19</f>
        <v>201278.1</v>
      </c>
      <c r="M19" s="6">
        <v>88.4</v>
      </c>
      <c r="N19" s="6">
        <v>94.4</v>
      </c>
      <c r="O19" s="6">
        <v>91.1</v>
      </c>
    </row>
    <row r="20" spans="1:15" x14ac:dyDescent="0.2">
      <c r="A20" s="5" t="b">
        <v>0</v>
      </c>
      <c r="B20" s="6" t="s">
        <v>82</v>
      </c>
      <c r="C20" s="6" t="s">
        <v>83</v>
      </c>
      <c r="D20" s="6" t="s">
        <v>0</v>
      </c>
      <c r="E20" s="7"/>
      <c r="F20" s="6" t="s">
        <v>84</v>
      </c>
      <c r="G20" s="6" t="s">
        <v>253</v>
      </c>
      <c r="H20" s="6">
        <v>8.0000000000000002E-3</v>
      </c>
      <c r="I20" s="6">
        <v>18598.54</v>
      </c>
      <c r="J20" s="6">
        <v>10</v>
      </c>
      <c r="K20" s="6">
        <f t="shared" si="2"/>
        <v>80</v>
      </c>
      <c r="L20" s="5">
        <f t="shared" si="3"/>
        <v>185985.40000000002</v>
      </c>
      <c r="M20" s="6">
        <v>101.7</v>
      </c>
      <c r="N20" s="6">
        <v>108.2</v>
      </c>
      <c r="O20" s="6">
        <v>103.9</v>
      </c>
    </row>
    <row r="21" spans="1:15" x14ac:dyDescent="0.2">
      <c r="A21" s="5" t="b">
        <v>0</v>
      </c>
      <c r="B21" s="6" t="s">
        <v>85</v>
      </c>
      <c r="C21" s="6" t="s">
        <v>86</v>
      </c>
      <c r="D21" s="6" t="s">
        <v>0</v>
      </c>
      <c r="E21" s="7"/>
      <c r="F21" s="6" t="s">
        <v>87</v>
      </c>
      <c r="G21" s="6" t="s">
        <v>278</v>
      </c>
      <c r="H21" s="6">
        <v>8.9999999999999993E-3</v>
      </c>
      <c r="I21" s="6">
        <v>19913.25</v>
      </c>
      <c r="J21" s="6">
        <v>10</v>
      </c>
      <c r="K21" s="6">
        <f t="shared" si="2"/>
        <v>90</v>
      </c>
      <c r="L21" s="5">
        <f t="shared" si="3"/>
        <v>199132.5</v>
      </c>
      <c r="M21" s="6">
        <v>92.1</v>
      </c>
      <c r="N21" s="6">
        <v>110.5</v>
      </c>
      <c r="O21" s="6">
        <v>107.9</v>
      </c>
    </row>
    <row r="22" spans="1:15" x14ac:dyDescent="0.2">
      <c r="A22" s="5" t="b">
        <v>0</v>
      </c>
      <c r="B22" s="6" t="s">
        <v>88</v>
      </c>
      <c r="C22" s="6" t="s">
        <v>89</v>
      </c>
      <c r="D22" s="6" t="s">
        <v>0</v>
      </c>
      <c r="E22" s="7"/>
      <c r="F22" s="6" t="s">
        <v>90</v>
      </c>
      <c r="G22" s="6" t="s">
        <v>279</v>
      </c>
      <c r="H22" s="6">
        <v>8.0000000000000002E-3</v>
      </c>
      <c r="I22" s="6">
        <v>18575.59</v>
      </c>
      <c r="J22" s="6">
        <v>10</v>
      </c>
      <c r="K22" s="6">
        <f>H22*J22*1000</f>
        <v>80</v>
      </c>
      <c r="L22" s="5">
        <f t="shared" si="3"/>
        <v>185755.9</v>
      </c>
      <c r="M22" s="6">
        <v>85.8</v>
      </c>
      <c r="N22" s="6">
        <v>96.7</v>
      </c>
      <c r="O22" s="6">
        <v>92.8</v>
      </c>
    </row>
    <row r="23" spans="1:15" x14ac:dyDescent="0.2">
      <c r="A23" s="5" t="b">
        <v>0</v>
      </c>
      <c r="B23" s="6" t="s">
        <v>91</v>
      </c>
      <c r="C23" s="6" t="s">
        <v>92</v>
      </c>
      <c r="D23" s="6" t="s">
        <v>0</v>
      </c>
      <c r="E23" s="7"/>
      <c r="F23" s="6" t="s">
        <v>93</v>
      </c>
      <c r="G23" s="6" t="s">
        <v>280</v>
      </c>
      <c r="H23" s="6">
        <v>8.0000000000000002E-3</v>
      </c>
      <c r="I23" s="6">
        <v>18087.84</v>
      </c>
      <c r="J23" s="6">
        <v>10</v>
      </c>
      <c r="K23" s="6">
        <f>H23*J23*1000</f>
        <v>80</v>
      </c>
      <c r="L23" s="5">
        <f t="shared" si="3"/>
        <v>180878.4</v>
      </c>
      <c r="M23" s="6">
        <v>95.6</v>
      </c>
      <c r="N23" s="6">
        <v>103.6</v>
      </c>
      <c r="O23" s="6">
        <v>104.8</v>
      </c>
    </row>
    <row r="24" spans="1:15" x14ac:dyDescent="0.2">
      <c r="A24" s="5" t="b">
        <v>0</v>
      </c>
      <c r="B24" s="6" t="s">
        <v>94</v>
      </c>
      <c r="C24" s="6" t="s">
        <v>95</v>
      </c>
      <c r="D24" s="6" t="s">
        <v>0</v>
      </c>
      <c r="E24" s="7"/>
      <c r="F24" s="6" t="s">
        <v>96</v>
      </c>
      <c r="G24" s="6" t="s">
        <v>281</v>
      </c>
      <c r="H24" s="6">
        <v>8.0000000000000002E-3</v>
      </c>
      <c r="I24" s="6">
        <v>18519.830000000002</v>
      </c>
      <c r="J24" s="6">
        <v>10</v>
      </c>
      <c r="K24" s="6">
        <f t="shared" si="2"/>
        <v>80</v>
      </c>
      <c r="L24" s="5">
        <f t="shared" si="3"/>
        <v>185198.30000000002</v>
      </c>
      <c r="M24" s="6">
        <v>100.1</v>
      </c>
      <c r="N24" s="6">
        <v>105</v>
      </c>
      <c r="O24" s="6">
        <v>99.1</v>
      </c>
    </row>
    <row r="25" spans="1:15" x14ac:dyDescent="0.2">
      <c r="A25" s="5" t="b">
        <v>0</v>
      </c>
      <c r="B25" s="6" t="s">
        <v>97</v>
      </c>
      <c r="C25" s="6" t="s">
        <v>98</v>
      </c>
      <c r="D25" s="6" t="s">
        <v>0</v>
      </c>
      <c r="E25" s="7"/>
      <c r="F25" s="6" t="s">
        <v>99</v>
      </c>
      <c r="G25" s="6" t="s">
        <v>282</v>
      </c>
      <c r="H25" s="6">
        <v>8.0000000000000002E-3</v>
      </c>
      <c r="I25" s="6">
        <v>18538.43</v>
      </c>
      <c r="J25" s="6">
        <v>10</v>
      </c>
      <c r="K25" s="6">
        <f t="shared" si="2"/>
        <v>80</v>
      </c>
      <c r="L25" s="5">
        <f t="shared" si="3"/>
        <v>185384.3</v>
      </c>
      <c r="M25" s="6">
        <v>95.7</v>
      </c>
      <c r="N25" s="6">
        <v>93.9</v>
      </c>
      <c r="O25" s="6">
        <v>96.5</v>
      </c>
    </row>
    <row r="26" spans="1:15" x14ac:dyDescent="0.2">
      <c r="A26" s="5" t="b">
        <v>0</v>
      </c>
      <c r="B26" s="6" t="s">
        <v>100</v>
      </c>
      <c r="C26" s="6" t="s">
        <v>101</v>
      </c>
      <c r="D26" s="6" t="s">
        <v>0</v>
      </c>
      <c r="E26" s="7"/>
      <c r="F26" s="6" t="s">
        <v>102</v>
      </c>
      <c r="G26" s="6" t="s">
        <v>283</v>
      </c>
      <c r="H26" s="6">
        <v>8.0000000000000002E-3</v>
      </c>
      <c r="I26" s="6">
        <v>18492.66</v>
      </c>
      <c r="J26" s="6">
        <v>10</v>
      </c>
      <c r="K26" s="6">
        <f t="shared" si="2"/>
        <v>80</v>
      </c>
      <c r="L26" s="5">
        <f t="shared" si="3"/>
        <v>184926.6</v>
      </c>
      <c r="M26" s="6">
        <v>118.3</v>
      </c>
      <c r="N26" s="6">
        <v>117.1</v>
      </c>
      <c r="O26" s="6">
        <v>116.9</v>
      </c>
    </row>
    <row r="27" spans="1:15" x14ac:dyDescent="0.2">
      <c r="A27" s="5" t="b">
        <v>0</v>
      </c>
      <c r="B27" s="6" t="s">
        <v>103</v>
      </c>
      <c r="C27" s="6" t="s">
        <v>104</v>
      </c>
      <c r="D27" s="6" t="s">
        <v>0</v>
      </c>
      <c r="E27" s="7"/>
      <c r="F27" s="6" t="s">
        <v>105</v>
      </c>
      <c r="G27" s="6" t="s">
        <v>255</v>
      </c>
      <c r="H27" s="6">
        <v>1.7000000000000001E-2</v>
      </c>
      <c r="I27" s="6">
        <v>38642.49</v>
      </c>
      <c r="J27" s="6">
        <v>10</v>
      </c>
      <c r="K27" s="6">
        <f t="shared" si="2"/>
        <v>170</v>
      </c>
      <c r="L27" s="5">
        <f t="shared" si="3"/>
        <v>386424.89999999997</v>
      </c>
      <c r="M27" s="6">
        <v>105.7</v>
      </c>
      <c r="N27" s="6">
        <v>91.2</v>
      </c>
      <c r="O27" s="6">
        <v>87.1</v>
      </c>
    </row>
    <row r="28" spans="1:15" x14ac:dyDescent="0.2">
      <c r="A28" s="5" t="b">
        <v>0</v>
      </c>
      <c r="B28" s="6" t="s">
        <v>107</v>
      </c>
      <c r="C28" s="6" t="s">
        <v>108</v>
      </c>
      <c r="D28" s="6" t="s">
        <v>0</v>
      </c>
      <c r="E28" s="7"/>
      <c r="F28" s="6" t="s">
        <v>109</v>
      </c>
      <c r="G28" s="6" t="s">
        <v>256</v>
      </c>
      <c r="H28" s="6">
        <v>1.7000000000000001E-2</v>
      </c>
      <c r="I28" s="6">
        <v>37745.620000000003</v>
      </c>
      <c r="J28" s="6">
        <v>10</v>
      </c>
      <c r="K28" s="6">
        <f t="shared" si="2"/>
        <v>170</v>
      </c>
      <c r="L28" s="5">
        <f t="shared" si="3"/>
        <v>377456.2</v>
      </c>
      <c r="M28" s="6">
        <v>128.1</v>
      </c>
      <c r="N28" s="6">
        <v>115.5</v>
      </c>
      <c r="O28" s="6">
        <v>112.5</v>
      </c>
    </row>
    <row r="29" spans="1:15" x14ac:dyDescent="0.2">
      <c r="A29" s="5" t="b">
        <v>0</v>
      </c>
      <c r="B29" s="6" t="s">
        <v>110</v>
      </c>
      <c r="C29" s="6" t="s">
        <v>111</v>
      </c>
      <c r="D29" s="6" t="s">
        <v>0</v>
      </c>
      <c r="E29" s="7"/>
      <c r="F29" s="6" t="s">
        <v>112</v>
      </c>
      <c r="G29" s="6" t="s">
        <v>254</v>
      </c>
      <c r="H29" s="6">
        <v>1.7000000000000001E-2</v>
      </c>
      <c r="I29" s="6">
        <v>38662.410000000003</v>
      </c>
      <c r="J29" s="6">
        <v>10</v>
      </c>
      <c r="K29" s="6">
        <f t="shared" si="2"/>
        <v>170</v>
      </c>
      <c r="L29" s="5">
        <f t="shared" si="3"/>
        <v>386624.10000000003</v>
      </c>
      <c r="M29" s="6">
        <v>99</v>
      </c>
      <c r="N29" s="6">
        <v>104.4</v>
      </c>
      <c r="O29" s="6">
        <v>106.1</v>
      </c>
    </row>
    <row r="30" spans="1:15" x14ac:dyDescent="0.2">
      <c r="A30" s="5" t="b">
        <v>0</v>
      </c>
      <c r="B30" s="6" t="s">
        <v>113</v>
      </c>
      <c r="C30" s="6" t="s">
        <v>114</v>
      </c>
      <c r="D30" s="6" t="s">
        <v>0</v>
      </c>
      <c r="E30" s="7"/>
      <c r="F30" s="6" t="s">
        <v>115</v>
      </c>
      <c r="G30" s="6" t="s">
        <v>257</v>
      </c>
      <c r="H30" s="6">
        <v>1.7000000000000001E-2</v>
      </c>
      <c r="I30" s="6">
        <v>37495.01</v>
      </c>
      <c r="J30" s="6">
        <v>10</v>
      </c>
      <c r="K30" s="6">
        <f t="shared" si="2"/>
        <v>170</v>
      </c>
      <c r="L30" s="5">
        <f t="shared" si="3"/>
        <v>374950.10000000003</v>
      </c>
      <c r="M30" s="6">
        <v>95.7</v>
      </c>
      <c r="N30" s="6">
        <v>109</v>
      </c>
      <c r="O30" s="6">
        <v>97.3</v>
      </c>
    </row>
    <row r="31" spans="1:15" x14ac:dyDescent="0.2">
      <c r="A31" s="5" t="b">
        <v>0</v>
      </c>
      <c r="B31" s="6" t="s">
        <v>116</v>
      </c>
      <c r="C31" s="6" t="s">
        <v>117</v>
      </c>
      <c r="D31" s="6" t="s">
        <v>0</v>
      </c>
      <c r="E31" s="7"/>
      <c r="F31" s="6" t="s">
        <v>118</v>
      </c>
      <c r="G31" s="6" t="s">
        <v>258</v>
      </c>
      <c r="H31" s="6">
        <v>1.7000000000000001E-2</v>
      </c>
      <c r="I31" s="6">
        <v>38092.230000000003</v>
      </c>
      <c r="J31" s="6">
        <v>10</v>
      </c>
      <c r="K31" s="6">
        <f t="shared" si="2"/>
        <v>170</v>
      </c>
      <c r="L31" s="5">
        <f t="shared" si="3"/>
        <v>380922.30000000005</v>
      </c>
      <c r="M31" s="6">
        <v>107.9</v>
      </c>
      <c r="N31" s="6">
        <v>104.2</v>
      </c>
      <c r="O31" s="6">
        <v>101.3</v>
      </c>
    </row>
    <row r="32" spans="1:15" x14ac:dyDescent="0.2">
      <c r="A32" s="5" t="b">
        <v>0</v>
      </c>
      <c r="B32" s="6" t="s">
        <v>120</v>
      </c>
      <c r="C32" s="6" t="s">
        <v>121</v>
      </c>
      <c r="D32" s="6" t="s">
        <v>0</v>
      </c>
      <c r="E32" s="7"/>
      <c r="F32" s="6" t="s">
        <v>122</v>
      </c>
      <c r="G32" s="6" t="s">
        <v>259</v>
      </c>
      <c r="H32" s="6">
        <v>1.7000000000000001E-2</v>
      </c>
      <c r="I32" s="6">
        <v>37459.050000000003</v>
      </c>
      <c r="J32" s="6">
        <v>10</v>
      </c>
      <c r="K32" s="6">
        <f t="shared" si="2"/>
        <v>170</v>
      </c>
      <c r="L32" s="5">
        <f t="shared" si="3"/>
        <v>374590.5</v>
      </c>
      <c r="M32" s="6">
        <v>121.3</v>
      </c>
      <c r="N32" s="6">
        <v>90.8</v>
      </c>
      <c r="O32" s="6">
        <v>96</v>
      </c>
    </row>
    <row r="33" spans="1:15" x14ac:dyDescent="0.2">
      <c r="A33" s="5" t="b">
        <v>0</v>
      </c>
      <c r="B33" s="6" t="s">
        <v>123</v>
      </c>
      <c r="C33" s="6" t="s">
        <v>124</v>
      </c>
      <c r="D33" s="6" t="s">
        <v>0</v>
      </c>
      <c r="E33" s="7"/>
      <c r="F33" s="6" t="s">
        <v>125</v>
      </c>
      <c r="G33" s="6" t="s">
        <v>260</v>
      </c>
      <c r="H33" s="6">
        <v>8.8999999999999996E-2</v>
      </c>
      <c r="I33" s="6">
        <v>199946.6</v>
      </c>
      <c r="J33" s="6">
        <v>10</v>
      </c>
      <c r="K33" s="6">
        <f t="shared" si="2"/>
        <v>889.99999999999989</v>
      </c>
      <c r="L33" s="5">
        <f t="shared" si="3"/>
        <v>1999466</v>
      </c>
      <c r="M33" s="6">
        <v>112.4</v>
      </c>
      <c r="N33" s="6">
        <v>102.9</v>
      </c>
      <c r="O33" s="6">
        <v>94.2</v>
      </c>
    </row>
    <row r="34" spans="1:15" x14ac:dyDescent="0.2">
      <c r="A34" s="5" t="b">
        <v>0</v>
      </c>
      <c r="B34" s="6" t="s">
        <v>127</v>
      </c>
      <c r="C34" s="6" t="s">
        <v>128</v>
      </c>
      <c r="D34" s="6" t="s">
        <v>0</v>
      </c>
      <c r="E34" s="7"/>
      <c r="F34" s="6" t="s">
        <v>129</v>
      </c>
      <c r="G34" s="6" t="s">
        <v>261</v>
      </c>
      <c r="H34" s="6">
        <v>9.2999999999999999E-2</v>
      </c>
      <c r="I34" s="6">
        <v>208780.63</v>
      </c>
      <c r="J34" s="6">
        <v>10</v>
      </c>
      <c r="K34" s="6">
        <f t="shared" si="2"/>
        <v>929.99999999999989</v>
      </c>
      <c r="L34" s="5">
        <f t="shared" si="3"/>
        <v>2087806.3</v>
      </c>
      <c r="M34" s="6">
        <v>126</v>
      </c>
      <c r="N34" s="6">
        <v>92.7</v>
      </c>
      <c r="O34" s="6">
        <v>91.1</v>
      </c>
    </row>
    <row r="35" spans="1:15" x14ac:dyDescent="0.2">
      <c r="A35" s="5" t="b">
        <v>0</v>
      </c>
      <c r="B35" s="6" t="s">
        <v>130</v>
      </c>
      <c r="C35" s="6" t="s">
        <v>131</v>
      </c>
      <c r="D35" s="6" t="s">
        <v>0</v>
      </c>
      <c r="E35" s="7"/>
      <c r="F35" s="6" t="s">
        <v>132</v>
      </c>
      <c r="G35" s="6" t="s">
        <v>262</v>
      </c>
      <c r="H35" s="6">
        <v>9.0999999999999998E-2</v>
      </c>
      <c r="I35" s="6">
        <v>204463.66</v>
      </c>
      <c r="J35" s="6">
        <v>10</v>
      </c>
      <c r="K35" s="6">
        <f t="shared" si="2"/>
        <v>909.99999999999989</v>
      </c>
      <c r="L35" s="5">
        <f t="shared" si="3"/>
        <v>2044636.6</v>
      </c>
      <c r="M35" s="6">
        <v>109</v>
      </c>
      <c r="N35" s="6">
        <v>105.9</v>
      </c>
      <c r="O35" s="6">
        <v>101.7</v>
      </c>
    </row>
    <row r="36" spans="1:15" x14ac:dyDescent="0.2">
      <c r="A36" s="5" t="b">
        <v>0</v>
      </c>
      <c r="B36" s="6" t="s">
        <v>134</v>
      </c>
      <c r="C36" s="6" t="s">
        <v>135</v>
      </c>
      <c r="D36" s="6" t="s">
        <v>0</v>
      </c>
      <c r="E36" s="7"/>
      <c r="F36" s="6" t="s">
        <v>136</v>
      </c>
      <c r="G36" s="6" t="s">
        <v>263</v>
      </c>
      <c r="H36" s="6">
        <v>9.6000000000000002E-2</v>
      </c>
      <c r="I36" s="6">
        <v>216922.52</v>
      </c>
      <c r="J36" s="6">
        <v>10</v>
      </c>
      <c r="K36" s="6">
        <f t="shared" si="2"/>
        <v>960</v>
      </c>
      <c r="L36" s="5">
        <f t="shared" si="3"/>
        <v>2169225.1999999997</v>
      </c>
      <c r="M36" s="6">
        <v>122</v>
      </c>
      <c r="N36" s="6">
        <v>110.3</v>
      </c>
      <c r="O36" s="6">
        <v>108.3</v>
      </c>
    </row>
    <row r="37" spans="1:15" x14ac:dyDescent="0.2">
      <c r="A37" s="5" t="b">
        <v>0</v>
      </c>
      <c r="B37" s="6" t="s">
        <v>137</v>
      </c>
      <c r="C37" s="6" t="s">
        <v>138</v>
      </c>
      <c r="D37" s="6" t="s">
        <v>0</v>
      </c>
      <c r="E37" s="7"/>
      <c r="F37" s="6" t="s">
        <v>139</v>
      </c>
      <c r="G37" s="6" t="s">
        <v>264</v>
      </c>
      <c r="H37" s="6">
        <v>8.5000000000000006E-2</v>
      </c>
      <c r="I37" s="6">
        <v>191915.32</v>
      </c>
      <c r="J37" s="6">
        <v>10</v>
      </c>
      <c r="K37" s="6">
        <f t="shared" si="2"/>
        <v>850.00000000000011</v>
      </c>
      <c r="L37" s="5">
        <f t="shared" si="3"/>
        <v>1919153.2000000002</v>
      </c>
      <c r="M37" s="6">
        <v>102.5</v>
      </c>
      <c r="N37" s="6">
        <v>101.5</v>
      </c>
      <c r="O37" s="6">
        <v>98.5</v>
      </c>
    </row>
    <row r="38" spans="1:15" x14ac:dyDescent="0.2">
      <c r="A38" s="5" t="b">
        <v>0</v>
      </c>
      <c r="B38" s="6" t="s">
        <v>141</v>
      </c>
      <c r="C38" s="6" t="s">
        <v>142</v>
      </c>
      <c r="D38" s="6" t="s">
        <v>0</v>
      </c>
      <c r="E38" s="7"/>
      <c r="F38" s="6" t="s">
        <v>143</v>
      </c>
      <c r="G38" s="6" t="s">
        <v>265</v>
      </c>
      <c r="H38" s="6">
        <v>9.5000000000000001E-2</v>
      </c>
      <c r="I38" s="6">
        <v>212674.87</v>
      </c>
      <c r="J38" s="6">
        <v>10</v>
      </c>
      <c r="K38" s="6">
        <f t="shared" si="2"/>
        <v>950</v>
      </c>
      <c r="L38" s="5">
        <f t="shared" si="3"/>
        <v>2126748.7000000002</v>
      </c>
      <c r="M38" s="6">
        <v>130.6</v>
      </c>
      <c r="N38" s="6">
        <v>104.6</v>
      </c>
      <c r="O38" s="6">
        <v>94.1</v>
      </c>
    </row>
    <row r="39" spans="1:15" x14ac:dyDescent="0.2">
      <c r="A39" s="5" t="b">
        <v>0</v>
      </c>
      <c r="B39" s="6" t="s">
        <v>144</v>
      </c>
      <c r="C39" s="6" t="s">
        <v>145</v>
      </c>
      <c r="D39" s="6" t="s">
        <v>9</v>
      </c>
      <c r="E39" s="7"/>
      <c r="F39" s="6" t="s">
        <v>10</v>
      </c>
      <c r="G39" s="6" t="s">
        <v>230</v>
      </c>
      <c r="H39" s="6">
        <v>0</v>
      </c>
      <c r="I39" s="6">
        <v>197.15</v>
      </c>
      <c r="J39" s="6">
        <v>1</v>
      </c>
      <c r="K39" s="6">
        <f t="shared" si="2"/>
        <v>0</v>
      </c>
      <c r="L39" s="5">
        <f t="shared" si="3"/>
        <v>197.15</v>
      </c>
      <c r="M39" s="6">
        <v>84.9</v>
      </c>
      <c r="N39" s="6">
        <v>119.7</v>
      </c>
      <c r="O39" s="6">
        <v>107.3</v>
      </c>
    </row>
    <row r="40" spans="1:15" x14ac:dyDescent="0.2">
      <c r="A40" s="5" t="b">
        <v>0</v>
      </c>
      <c r="B40" s="6" t="s">
        <v>148</v>
      </c>
      <c r="C40" s="6" t="s">
        <v>149</v>
      </c>
      <c r="D40" s="6" t="s">
        <v>150</v>
      </c>
      <c r="E40" s="7"/>
      <c r="F40" s="6" t="s">
        <v>150</v>
      </c>
      <c r="G40" s="6" t="s">
        <v>240</v>
      </c>
      <c r="H40" s="6">
        <v>9.5000000000000001E-2</v>
      </c>
      <c r="I40" s="6">
        <v>214448.18</v>
      </c>
      <c r="J40" s="6">
        <v>1</v>
      </c>
      <c r="K40" s="6">
        <f t="shared" si="2"/>
        <v>95</v>
      </c>
      <c r="L40" s="5">
        <f t="shared" si="3"/>
        <v>214448.18</v>
      </c>
      <c r="M40" s="6">
        <v>114.4</v>
      </c>
      <c r="N40" s="6">
        <v>140</v>
      </c>
      <c r="O40" s="6">
        <v>145.4</v>
      </c>
    </row>
    <row r="41" spans="1:15" x14ac:dyDescent="0.2">
      <c r="A41" s="5" t="b">
        <v>0</v>
      </c>
      <c r="B41" s="6" t="s">
        <v>152</v>
      </c>
      <c r="C41" s="6" t="s">
        <v>153</v>
      </c>
      <c r="D41" s="6" t="s">
        <v>9</v>
      </c>
      <c r="E41" s="7"/>
      <c r="F41" s="6" t="s">
        <v>10</v>
      </c>
      <c r="G41" s="6" t="s">
        <v>230</v>
      </c>
      <c r="H41" s="6">
        <v>0</v>
      </c>
      <c r="I41" s="6">
        <v>132.86000000000001</v>
      </c>
      <c r="J41" s="6">
        <v>1</v>
      </c>
      <c r="K41" s="6">
        <f t="shared" si="2"/>
        <v>0</v>
      </c>
      <c r="L41" s="5">
        <f t="shared" si="3"/>
        <v>132.86000000000001</v>
      </c>
      <c r="M41" s="6">
        <v>86.9</v>
      </c>
      <c r="N41" s="6">
        <v>94.6</v>
      </c>
      <c r="O41" s="6">
        <v>96.1</v>
      </c>
    </row>
    <row r="42" spans="1:15" x14ac:dyDescent="0.2">
      <c r="A42" s="5" t="b">
        <v>0</v>
      </c>
      <c r="B42" s="6" t="s">
        <v>154</v>
      </c>
      <c r="C42" s="6" t="s">
        <v>155</v>
      </c>
      <c r="D42" s="6" t="s">
        <v>0</v>
      </c>
      <c r="E42" s="7"/>
      <c r="F42" s="6" t="s">
        <v>156</v>
      </c>
      <c r="G42" s="6" t="s">
        <v>266</v>
      </c>
      <c r="H42" s="6">
        <v>0.44600000000000001</v>
      </c>
      <c r="I42" s="6">
        <v>1003312.89</v>
      </c>
      <c r="J42" s="6">
        <v>20</v>
      </c>
      <c r="K42" s="6">
        <f t="shared" si="2"/>
        <v>8920</v>
      </c>
      <c r="L42" s="5">
        <f t="shared" si="3"/>
        <v>20066257.800000001</v>
      </c>
      <c r="M42" s="6">
        <v>102.6</v>
      </c>
      <c r="N42" s="6">
        <v>112.5</v>
      </c>
      <c r="O42" s="6">
        <v>105.9</v>
      </c>
    </row>
    <row r="43" spans="1:15" x14ac:dyDescent="0.2">
      <c r="A43" s="5" t="b">
        <v>0</v>
      </c>
      <c r="B43" s="6" t="s">
        <v>158</v>
      </c>
      <c r="C43" s="6" t="s">
        <v>159</v>
      </c>
      <c r="D43" s="6" t="s">
        <v>0</v>
      </c>
      <c r="E43" s="7"/>
      <c r="F43" s="6" t="s">
        <v>160</v>
      </c>
      <c r="G43" s="6" t="s">
        <v>267</v>
      </c>
      <c r="H43" s="6">
        <v>0.503</v>
      </c>
      <c r="I43" s="6">
        <v>1131268.1299999999</v>
      </c>
      <c r="J43" s="6">
        <v>20</v>
      </c>
      <c r="K43" s="6">
        <f t="shared" si="2"/>
        <v>10060</v>
      </c>
      <c r="L43" s="5">
        <f t="shared" si="3"/>
        <v>22625362.599999998</v>
      </c>
      <c r="M43" s="6">
        <v>124.6</v>
      </c>
      <c r="N43" s="6">
        <v>111.1</v>
      </c>
      <c r="O43" s="6">
        <v>115</v>
      </c>
    </row>
    <row r="44" spans="1:15" x14ac:dyDescent="0.2">
      <c r="A44" s="5" t="b">
        <v>0</v>
      </c>
      <c r="B44" s="6" t="s">
        <v>161</v>
      </c>
      <c r="C44" s="6" t="s">
        <v>162</v>
      </c>
      <c r="D44" s="6" t="s">
        <v>0</v>
      </c>
      <c r="E44" s="7"/>
      <c r="F44" s="6" t="s">
        <v>163</v>
      </c>
      <c r="G44" s="6" t="s">
        <v>268</v>
      </c>
      <c r="H44" s="6">
        <v>0.46800000000000003</v>
      </c>
      <c r="I44" s="6">
        <v>1053217.02</v>
      </c>
      <c r="J44" s="6">
        <v>20</v>
      </c>
      <c r="K44" s="6">
        <f t="shared" si="2"/>
        <v>9360.0000000000018</v>
      </c>
      <c r="L44" s="5">
        <f t="shared" si="3"/>
        <v>21064340.399999999</v>
      </c>
      <c r="M44" s="6">
        <v>84.5</v>
      </c>
      <c r="N44" s="6">
        <v>101.9</v>
      </c>
      <c r="O44" s="6">
        <v>87.2</v>
      </c>
    </row>
    <row r="45" spans="1:15" x14ac:dyDescent="0.2">
      <c r="A45" s="5" t="b">
        <v>0</v>
      </c>
      <c r="B45" s="6" t="s">
        <v>165</v>
      </c>
      <c r="C45" s="6" t="s">
        <v>166</v>
      </c>
      <c r="D45" s="6" t="s">
        <v>0</v>
      </c>
      <c r="E45" s="7"/>
      <c r="F45" s="6" t="s">
        <v>167</v>
      </c>
      <c r="G45" s="6" t="s">
        <v>269</v>
      </c>
      <c r="H45" s="6">
        <v>0.48</v>
      </c>
      <c r="I45" s="6">
        <v>1078157.02</v>
      </c>
      <c r="J45" s="6">
        <v>20</v>
      </c>
      <c r="K45" s="6">
        <f t="shared" si="2"/>
        <v>9600</v>
      </c>
      <c r="L45" s="5">
        <f t="shared" si="3"/>
        <v>21563140.399999999</v>
      </c>
      <c r="M45" s="6">
        <v>129.9</v>
      </c>
      <c r="N45" s="6">
        <v>110.3</v>
      </c>
      <c r="O45" s="6">
        <v>109.1</v>
      </c>
    </row>
    <row r="46" spans="1:15" x14ac:dyDescent="0.2">
      <c r="A46" s="5" t="b">
        <v>0</v>
      </c>
      <c r="B46" s="6" t="s">
        <v>168</v>
      </c>
      <c r="C46" s="6" t="s">
        <v>169</v>
      </c>
      <c r="D46" s="6" t="s">
        <v>0</v>
      </c>
      <c r="E46" s="7"/>
      <c r="F46" s="6" t="s">
        <v>170</v>
      </c>
      <c r="G46" s="6" t="s">
        <v>270</v>
      </c>
      <c r="H46" s="6">
        <v>0.46200000000000002</v>
      </c>
      <c r="I46" s="6">
        <v>1037757.96</v>
      </c>
      <c r="J46" s="6">
        <v>20</v>
      </c>
      <c r="K46" s="6">
        <f t="shared" si="2"/>
        <v>9240</v>
      </c>
      <c r="L46" s="5">
        <f t="shared" si="3"/>
        <v>20755159.199999999</v>
      </c>
      <c r="M46" s="6">
        <v>91.6</v>
      </c>
      <c r="N46" s="6">
        <v>102.1</v>
      </c>
      <c r="O46" s="6">
        <v>103</v>
      </c>
    </row>
    <row r="47" spans="1:15" x14ac:dyDescent="0.2">
      <c r="A47" s="5" t="b">
        <v>0</v>
      </c>
      <c r="B47" s="6" t="s">
        <v>171</v>
      </c>
      <c r="C47" s="6" t="s">
        <v>172</v>
      </c>
      <c r="D47" s="6" t="s">
        <v>0</v>
      </c>
      <c r="E47" s="7"/>
      <c r="F47" s="6" t="s">
        <v>173</v>
      </c>
      <c r="G47" s="6" t="s">
        <v>271</v>
      </c>
      <c r="H47" s="6">
        <v>0.46899999999999997</v>
      </c>
      <c r="I47" s="6">
        <v>1054590.45</v>
      </c>
      <c r="J47" s="6">
        <v>20</v>
      </c>
      <c r="K47" s="6">
        <f t="shared" si="2"/>
        <v>9379.9999999999982</v>
      </c>
      <c r="L47" s="5">
        <f t="shared" si="3"/>
        <v>21091809</v>
      </c>
      <c r="M47" s="6">
        <v>114.7</v>
      </c>
      <c r="N47" s="6">
        <v>94.1</v>
      </c>
      <c r="O47" s="6">
        <v>96.9</v>
      </c>
    </row>
    <row r="48" spans="1:15" x14ac:dyDescent="0.2">
      <c r="A48" s="5" t="b">
        <v>0</v>
      </c>
      <c r="B48" s="6" t="s">
        <v>174</v>
      </c>
      <c r="C48" s="6" t="s">
        <v>175</v>
      </c>
      <c r="D48" s="6" t="s">
        <v>0</v>
      </c>
      <c r="E48" s="7"/>
      <c r="F48" s="6" t="s">
        <v>176</v>
      </c>
      <c r="G48" s="6" t="s">
        <v>272</v>
      </c>
      <c r="H48" s="6">
        <v>3.7450000000000001</v>
      </c>
      <c r="I48" s="6">
        <v>8419250.5899999999</v>
      </c>
      <c r="J48" s="6">
        <v>20</v>
      </c>
      <c r="K48" s="6">
        <f t="shared" si="2"/>
        <v>74900</v>
      </c>
      <c r="L48" s="5">
        <f t="shared" si="3"/>
        <v>168385011.80000001</v>
      </c>
      <c r="M48" s="6">
        <v>91.6</v>
      </c>
      <c r="N48" s="6">
        <v>103.6</v>
      </c>
      <c r="O48" s="6">
        <v>92.5</v>
      </c>
    </row>
    <row r="49" spans="1:15" x14ac:dyDescent="0.2">
      <c r="A49" s="5" t="b">
        <v>0</v>
      </c>
      <c r="B49" s="6" t="s">
        <v>177</v>
      </c>
      <c r="C49" s="6" t="s">
        <v>178</v>
      </c>
      <c r="D49" s="6" t="s">
        <v>0</v>
      </c>
      <c r="E49" s="7"/>
      <c r="F49" s="6" t="s">
        <v>179</v>
      </c>
      <c r="G49" s="6" t="s">
        <v>273</v>
      </c>
      <c r="H49" s="6">
        <v>4.4889999999999999</v>
      </c>
      <c r="I49" s="6">
        <v>10091077.710000001</v>
      </c>
      <c r="J49" s="6">
        <v>20</v>
      </c>
      <c r="K49" s="6">
        <f t="shared" si="2"/>
        <v>89780</v>
      </c>
      <c r="L49" s="5">
        <f t="shared" si="3"/>
        <v>201821554.20000002</v>
      </c>
      <c r="M49" s="6">
        <v>89.1</v>
      </c>
      <c r="N49" s="6">
        <v>97.1</v>
      </c>
      <c r="O49" s="6">
        <v>88.7</v>
      </c>
    </row>
    <row r="50" spans="1:15" x14ac:dyDescent="0.2">
      <c r="A50" s="5" t="b">
        <v>0</v>
      </c>
      <c r="B50" s="6" t="s">
        <v>180</v>
      </c>
      <c r="C50" s="6" t="s">
        <v>181</v>
      </c>
      <c r="D50" s="6" t="s">
        <v>0</v>
      </c>
      <c r="E50" s="7"/>
      <c r="F50" s="6" t="s">
        <v>182</v>
      </c>
      <c r="G50" s="6" t="s">
        <v>274</v>
      </c>
      <c r="H50" s="6">
        <v>3.9729999999999999</v>
      </c>
      <c r="I50" s="6">
        <v>8931799.5099999998</v>
      </c>
      <c r="J50" s="6">
        <v>20</v>
      </c>
      <c r="K50" s="6">
        <f t="shared" si="2"/>
        <v>79460</v>
      </c>
      <c r="L50" s="5">
        <f t="shared" si="3"/>
        <v>178635990.19999999</v>
      </c>
      <c r="M50" s="6">
        <v>85.1</v>
      </c>
      <c r="N50" s="6">
        <v>91.4</v>
      </c>
      <c r="O50" s="6">
        <v>86.4</v>
      </c>
    </row>
    <row r="51" spans="1:15" x14ac:dyDescent="0.2">
      <c r="A51" s="5" t="b">
        <v>0</v>
      </c>
      <c r="B51" s="6" t="s">
        <v>183</v>
      </c>
      <c r="C51" s="6" t="s">
        <v>184</v>
      </c>
      <c r="D51" s="6" t="s">
        <v>0</v>
      </c>
      <c r="E51" s="7"/>
      <c r="F51" s="6" t="s">
        <v>185</v>
      </c>
      <c r="G51" s="6" t="s">
        <v>275</v>
      </c>
      <c r="H51" s="6">
        <v>4.7050000000000001</v>
      </c>
      <c r="I51" s="6">
        <v>10577160.199999999</v>
      </c>
      <c r="J51" s="6">
        <v>20</v>
      </c>
      <c r="K51" s="6">
        <f t="shared" si="2"/>
        <v>94100</v>
      </c>
      <c r="L51" s="5">
        <f t="shared" si="3"/>
        <v>211543204</v>
      </c>
      <c r="M51" s="6">
        <v>95.3</v>
      </c>
      <c r="N51" s="6">
        <v>96.7</v>
      </c>
      <c r="O51" s="6">
        <v>99.9</v>
      </c>
    </row>
    <row r="52" spans="1:15" x14ac:dyDescent="0.2">
      <c r="A52" s="5" t="b">
        <v>0</v>
      </c>
      <c r="B52" s="6" t="s">
        <v>186</v>
      </c>
      <c r="C52" s="6" t="s">
        <v>187</v>
      </c>
      <c r="D52" s="6" t="s">
        <v>0</v>
      </c>
      <c r="E52" s="7"/>
      <c r="F52" s="6" t="s">
        <v>188</v>
      </c>
      <c r="G52" s="6" t="s">
        <v>276</v>
      </c>
      <c r="H52" s="6">
        <v>5.0780000000000003</v>
      </c>
      <c r="I52" s="6">
        <v>11415385.9</v>
      </c>
      <c r="J52" s="6">
        <v>20</v>
      </c>
      <c r="K52" s="6">
        <f t="shared" si="2"/>
        <v>101560</v>
      </c>
      <c r="L52" s="5">
        <f t="shared" si="3"/>
        <v>228307718</v>
      </c>
      <c r="M52" s="6">
        <v>82</v>
      </c>
      <c r="N52" s="6">
        <v>103.1</v>
      </c>
      <c r="O52" s="6">
        <v>93.6</v>
      </c>
    </row>
    <row r="53" spans="1:15" x14ac:dyDescent="0.2">
      <c r="A53" s="5" t="b">
        <v>0</v>
      </c>
      <c r="B53" s="6" t="s">
        <v>189</v>
      </c>
      <c r="C53" s="6" t="s">
        <v>190</v>
      </c>
      <c r="D53" s="6" t="s">
        <v>0</v>
      </c>
      <c r="E53" s="7"/>
      <c r="F53" s="6" t="s">
        <v>191</v>
      </c>
      <c r="G53" s="6" t="s">
        <v>277</v>
      </c>
      <c r="H53" s="6">
        <v>4.7850000000000001</v>
      </c>
      <c r="I53" s="6">
        <v>10756878.77</v>
      </c>
      <c r="J53" s="6">
        <v>20</v>
      </c>
      <c r="K53" s="6">
        <f t="shared" si="2"/>
        <v>95700</v>
      </c>
      <c r="L53" s="5">
        <f t="shared" si="3"/>
        <v>215137575.39999998</v>
      </c>
      <c r="M53" s="6">
        <v>91.4</v>
      </c>
      <c r="N53" s="6">
        <v>100.4</v>
      </c>
      <c r="O53" s="6">
        <v>101.3</v>
      </c>
    </row>
    <row r="54" spans="1:15" x14ac:dyDescent="0.2">
      <c r="A54" s="5" t="b">
        <v>0</v>
      </c>
      <c r="B54" s="6" t="s">
        <v>192</v>
      </c>
      <c r="C54" s="6" t="s">
        <v>193</v>
      </c>
      <c r="D54" s="6" t="s">
        <v>9</v>
      </c>
      <c r="E54" s="7"/>
      <c r="F54" s="6" t="s">
        <v>194</v>
      </c>
      <c r="G54" s="6" t="s">
        <v>230</v>
      </c>
      <c r="H54" s="6">
        <v>1E-3</v>
      </c>
      <c r="I54" s="6">
        <v>1225.81</v>
      </c>
      <c r="J54" s="6">
        <v>1</v>
      </c>
      <c r="K54" s="6">
        <f t="shared" si="2"/>
        <v>1</v>
      </c>
      <c r="L54" s="5">
        <f t="shared" si="3"/>
        <v>1225.81</v>
      </c>
      <c r="M54" s="6">
        <v>103.7</v>
      </c>
      <c r="N54" s="6">
        <v>92.9</v>
      </c>
      <c r="O54" s="6">
        <v>94.6</v>
      </c>
    </row>
    <row r="55" spans="1:15" x14ac:dyDescent="0.2">
      <c r="A55" s="5" t="b">
        <v>0</v>
      </c>
      <c r="B55" s="6" t="s">
        <v>195</v>
      </c>
      <c r="C55" s="6" t="s">
        <v>196</v>
      </c>
      <c r="D55" s="6" t="s">
        <v>0</v>
      </c>
      <c r="E55" s="7"/>
      <c r="F55" s="6" t="s">
        <v>197</v>
      </c>
      <c r="G55" s="6" t="s">
        <v>284</v>
      </c>
      <c r="H55" s="6">
        <v>0</v>
      </c>
      <c r="I55" s="6">
        <v>304.3</v>
      </c>
      <c r="J55" s="6">
        <v>1</v>
      </c>
      <c r="K55" s="6">
        <f t="shared" si="2"/>
        <v>0</v>
      </c>
      <c r="L55" s="5">
        <f t="shared" si="3"/>
        <v>304.3</v>
      </c>
      <c r="M55" s="6">
        <v>85.6</v>
      </c>
      <c r="N55" s="6">
        <v>96.9</v>
      </c>
      <c r="O55" s="6">
        <v>98.6</v>
      </c>
    </row>
    <row r="56" spans="1:15" x14ac:dyDescent="0.2">
      <c r="A56" s="5" t="b">
        <v>0</v>
      </c>
      <c r="B56" s="6" t="s">
        <v>198</v>
      </c>
      <c r="C56" s="6" t="s">
        <v>199</v>
      </c>
      <c r="D56" s="6" t="s">
        <v>0</v>
      </c>
      <c r="E56" s="7"/>
      <c r="F56" s="6" t="s">
        <v>200</v>
      </c>
      <c r="G56" s="6" t="s">
        <v>285</v>
      </c>
      <c r="H56" s="6">
        <v>0.10100000000000001</v>
      </c>
      <c r="I56" s="6">
        <v>228159.45</v>
      </c>
      <c r="J56" s="6">
        <v>1</v>
      </c>
      <c r="K56" s="6">
        <f t="shared" si="2"/>
        <v>101</v>
      </c>
      <c r="L56" s="5">
        <f t="shared" si="3"/>
        <v>228159.45</v>
      </c>
      <c r="M56" s="6">
        <v>82.6</v>
      </c>
      <c r="N56" s="6">
        <v>108.2</v>
      </c>
      <c r="O56" s="6">
        <v>104.6</v>
      </c>
    </row>
    <row r="57" spans="1:15" x14ac:dyDescent="0.2">
      <c r="A57" s="5" t="b">
        <v>0</v>
      </c>
      <c r="B57" s="6" t="s">
        <v>201</v>
      </c>
      <c r="C57" s="6" t="s">
        <v>202</v>
      </c>
      <c r="D57" s="6" t="s">
        <v>0</v>
      </c>
      <c r="E57" s="7"/>
      <c r="F57" s="6" t="s">
        <v>203</v>
      </c>
      <c r="G57" s="16" t="s">
        <v>286</v>
      </c>
      <c r="H57" s="6">
        <v>9.9000000000000005E-2</v>
      </c>
      <c r="I57" s="6">
        <v>223702.31</v>
      </c>
      <c r="J57" s="6">
        <v>10</v>
      </c>
      <c r="K57" s="6">
        <f t="shared" si="2"/>
        <v>990</v>
      </c>
      <c r="L57" s="5">
        <f t="shared" si="3"/>
        <v>2237023.1</v>
      </c>
      <c r="M57" s="6">
        <v>84.4</v>
      </c>
      <c r="N57" s="6">
        <v>112.8</v>
      </c>
      <c r="O57" s="6">
        <v>100.1</v>
      </c>
    </row>
    <row r="58" spans="1:15" x14ac:dyDescent="0.2">
      <c r="A58" s="5" t="b">
        <v>0</v>
      </c>
      <c r="B58" s="6" t="s">
        <v>204</v>
      </c>
      <c r="C58" s="6" t="s">
        <v>205</v>
      </c>
      <c r="D58" s="6" t="s">
        <v>0</v>
      </c>
      <c r="E58" s="7"/>
      <c r="F58" s="6" t="s">
        <v>206</v>
      </c>
      <c r="G58" s="16" t="s">
        <v>287</v>
      </c>
      <c r="H58" s="6">
        <v>0.47899999999999998</v>
      </c>
      <c r="I58" s="6">
        <v>1077288.69</v>
      </c>
      <c r="J58" s="6">
        <v>20</v>
      </c>
      <c r="K58" s="6">
        <f t="shared" si="2"/>
        <v>9580</v>
      </c>
      <c r="L58" s="5">
        <f t="shared" si="3"/>
        <v>21545773.799999997</v>
      </c>
      <c r="M58" s="6">
        <v>85.2</v>
      </c>
      <c r="N58" s="6">
        <v>100.6</v>
      </c>
      <c r="O58" s="6">
        <v>96.3</v>
      </c>
    </row>
    <row r="59" spans="1:15" x14ac:dyDescent="0.2">
      <c r="A59" s="5" t="b">
        <v>0</v>
      </c>
      <c r="B59" s="6" t="s">
        <v>207</v>
      </c>
      <c r="C59" s="6" t="s">
        <v>208</v>
      </c>
      <c r="D59" s="6" t="s">
        <v>0</v>
      </c>
      <c r="E59" s="7"/>
      <c r="F59" s="6" t="s">
        <v>209</v>
      </c>
      <c r="G59" s="16" t="s">
        <v>288</v>
      </c>
      <c r="H59" s="6">
        <v>5.117</v>
      </c>
      <c r="I59" s="6">
        <v>11504051.619999999</v>
      </c>
      <c r="J59" s="6">
        <v>20</v>
      </c>
      <c r="K59" s="6">
        <f t="shared" si="2"/>
        <v>102340</v>
      </c>
      <c r="L59" s="5">
        <f t="shared" si="3"/>
        <v>230081032.39999998</v>
      </c>
      <c r="M59" s="6">
        <v>101</v>
      </c>
      <c r="N59" s="6">
        <v>104.2</v>
      </c>
      <c r="O59" s="6">
        <v>118.5</v>
      </c>
    </row>
    <row r="60" spans="1:15" x14ac:dyDescent="0.2">
      <c r="A60" s="5" t="b">
        <v>0</v>
      </c>
      <c r="B60" s="6" t="s">
        <v>210</v>
      </c>
      <c r="C60" s="6" t="s">
        <v>211</v>
      </c>
      <c r="D60" s="6" t="s">
        <v>9</v>
      </c>
      <c r="E60" s="7"/>
      <c r="F60" s="6" t="s">
        <v>10</v>
      </c>
      <c r="G60" s="6" t="s">
        <v>230</v>
      </c>
      <c r="H60" s="6">
        <v>0</v>
      </c>
      <c r="I60" s="6">
        <v>695.76</v>
      </c>
      <c r="J60" s="6">
        <v>1</v>
      </c>
      <c r="K60" s="6">
        <f t="shared" si="2"/>
        <v>0</v>
      </c>
      <c r="L60" s="5">
        <f t="shared" si="3"/>
        <v>695.76</v>
      </c>
      <c r="M60" s="6">
        <v>84.8</v>
      </c>
      <c r="N60" s="6">
        <v>89.1</v>
      </c>
      <c r="O60" s="6">
        <v>87</v>
      </c>
    </row>
    <row r="61" spans="1:15" x14ac:dyDescent="0.2">
      <c r="A61" s="5" t="b">
        <v>0</v>
      </c>
      <c r="B61" s="6" t="s">
        <v>213</v>
      </c>
      <c r="C61" s="6" t="s">
        <v>214</v>
      </c>
      <c r="D61" s="6" t="s">
        <v>9</v>
      </c>
      <c r="E61" s="7"/>
      <c r="F61" s="6" t="s">
        <v>10</v>
      </c>
      <c r="G61" s="6" t="s">
        <v>230</v>
      </c>
      <c r="H61" s="6">
        <v>0</v>
      </c>
      <c r="I61" s="6">
        <v>278.58999999999997</v>
      </c>
      <c r="J61" s="6">
        <v>1</v>
      </c>
      <c r="K61" s="6">
        <f t="shared" si="2"/>
        <v>0</v>
      </c>
      <c r="L61" s="5">
        <f t="shared" si="3"/>
        <v>278.58999999999997</v>
      </c>
      <c r="M61" s="6">
        <v>99.4</v>
      </c>
      <c r="N61" s="6">
        <v>108.2</v>
      </c>
      <c r="O61" s="6">
        <v>108.4</v>
      </c>
    </row>
    <row r="62" spans="1:15" x14ac:dyDescent="0.2">
      <c r="A62" s="5" t="b">
        <v>0</v>
      </c>
      <c r="B62" s="6" t="s">
        <v>215</v>
      </c>
      <c r="C62" s="6" t="s">
        <v>216</v>
      </c>
      <c r="D62" s="6" t="s">
        <v>249</v>
      </c>
      <c r="E62" s="7"/>
      <c r="F62" s="6" t="s">
        <v>249</v>
      </c>
      <c r="G62" s="6" t="s">
        <v>240</v>
      </c>
      <c r="H62" s="6">
        <v>9.1999999999999998E-2</v>
      </c>
      <c r="I62" s="6">
        <v>207367.06</v>
      </c>
      <c r="J62" s="6">
        <v>1</v>
      </c>
      <c r="K62" s="6">
        <f t="shared" si="2"/>
        <v>92</v>
      </c>
      <c r="L62" s="5">
        <f t="shared" si="3"/>
        <v>207367.06</v>
      </c>
      <c r="M62" s="6">
        <v>84</v>
      </c>
      <c r="N62" s="6">
        <v>97.5</v>
      </c>
      <c r="O62" s="6">
        <v>97.3</v>
      </c>
    </row>
    <row r="63" spans="1:15" x14ac:dyDescent="0.2">
      <c r="A63" s="5" t="b">
        <v>0</v>
      </c>
      <c r="B63" s="6" t="s">
        <v>218</v>
      </c>
      <c r="C63" s="6" t="s">
        <v>219</v>
      </c>
      <c r="D63" s="6" t="s">
        <v>9</v>
      </c>
      <c r="E63" s="7"/>
      <c r="F63" s="6" t="s">
        <v>10</v>
      </c>
      <c r="G63" s="6" t="s">
        <v>230</v>
      </c>
      <c r="H63" s="6">
        <v>0</v>
      </c>
      <c r="I63" s="6">
        <v>158.58000000000001</v>
      </c>
      <c r="J63" s="6">
        <v>1</v>
      </c>
      <c r="K63" s="6">
        <f t="shared" si="2"/>
        <v>0</v>
      </c>
      <c r="L63" s="5">
        <f t="shared" si="3"/>
        <v>158.58000000000001</v>
      </c>
      <c r="M63" s="6">
        <v>85.5</v>
      </c>
      <c r="N63" s="6">
        <v>101.3</v>
      </c>
      <c r="O63" s="6">
        <v>103.4</v>
      </c>
    </row>
    <row r="64" spans="1:15" x14ac:dyDescent="0.2">
      <c r="A64" s="6" t="b">
        <v>0</v>
      </c>
      <c r="B64" s="6" t="s">
        <v>220</v>
      </c>
      <c r="C64" s="6" t="s">
        <v>221</v>
      </c>
      <c r="D64" s="6" t="s">
        <v>9</v>
      </c>
      <c r="E64" s="6"/>
      <c r="F64" s="6" t="s">
        <v>10</v>
      </c>
      <c r="G64" s="6" t="s">
        <v>230</v>
      </c>
      <c r="H64" s="6">
        <v>0</v>
      </c>
      <c r="I64" s="6">
        <v>172.87</v>
      </c>
      <c r="J64" s="6">
        <v>1</v>
      </c>
      <c r="K64" s="6">
        <f t="shared" si="2"/>
        <v>0</v>
      </c>
      <c r="L64" s="5">
        <f t="shared" si="3"/>
        <v>172.87</v>
      </c>
      <c r="M64" s="18">
        <v>114.4</v>
      </c>
      <c r="N64" s="18">
        <v>111.9</v>
      </c>
      <c r="O64" s="18">
        <v>115.6</v>
      </c>
    </row>
    <row r="65" spans="1:15" x14ac:dyDescent="0.2">
      <c r="A65" s="6" t="b">
        <v>0</v>
      </c>
      <c r="B65" s="6" t="s">
        <v>7</v>
      </c>
      <c r="C65" s="6" t="s">
        <v>299</v>
      </c>
      <c r="D65" s="6" t="s">
        <v>9</v>
      </c>
      <c r="E65" s="6"/>
      <c r="F65" s="6" t="s">
        <v>10</v>
      </c>
      <c r="G65" s="6" t="s">
        <v>230</v>
      </c>
      <c r="H65" s="6"/>
      <c r="I65" s="6">
        <v>88.57</v>
      </c>
      <c r="J65" s="6">
        <v>1</v>
      </c>
      <c r="K65" s="6"/>
      <c r="L65" s="6">
        <f>I65*J65*1000</f>
        <v>88570</v>
      </c>
      <c r="M65" s="7"/>
    </row>
    <row r="66" spans="1:15" x14ac:dyDescent="0.2">
      <c r="A66" s="6" t="b">
        <v>0</v>
      </c>
      <c r="B66" s="6" t="s">
        <v>34</v>
      </c>
      <c r="C66" s="6" t="s">
        <v>300</v>
      </c>
      <c r="D66" s="6" t="s">
        <v>9</v>
      </c>
      <c r="E66" s="6"/>
      <c r="F66" s="6" t="s">
        <v>10</v>
      </c>
      <c r="G66" s="6" t="s">
        <v>230</v>
      </c>
      <c r="H66" s="6"/>
      <c r="I66" s="6">
        <v>51.43</v>
      </c>
      <c r="J66" s="6">
        <v>1</v>
      </c>
      <c r="K66" s="6"/>
      <c r="L66" s="6">
        <f t="shared" ref="L66:L80" si="4">I66*J66*1000</f>
        <v>51430</v>
      </c>
      <c r="M66" s="7"/>
    </row>
    <row r="67" spans="1:15" x14ac:dyDescent="0.2">
      <c r="A67" s="6" t="b">
        <v>0</v>
      </c>
      <c r="B67" s="6" t="s">
        <v>36</v>
      </c>
      <c r="C67" s="6" t="s">
        <v>301</v>
      </c>
      <c r="D67" s="6" t="s">
        <v>9</v>
      </c>
      <c r="E67" s="6"/>
      <c r="F67" s="6" t="s">
        <v>10</v>
      </c>
      <c r="G67" s="6" t="s">
        <v>230</v>
      </c>
      <c r="H67" s="6"/>
      <c r="I67" s="6">
        <v>57.14</v>
      </c>
      <c r="J67" s="6">
        <v>1</v>
      </c>
      <c r="K67" s="6"/>
      <c r="L67" s="6">
        <f t="shared" si="4"/>
        <v>57140</v>
      </c>
      <c r="M67" s="7"/>
    </row>
    <row r="68" spans="1:15" x14ac:dyDescent="0.2">
      <c r="A68" s="6" t="b">
        <v>0</v>
      </c>
      <c r="B68" s="6" t="s">
        <v>38</v>
      </c>
      <c r="C68" s="6" t="s">
        <v>302</v>
      </c>
      <c r="D68" s="6" t="s">
        <v>9</v>
      </c>
      <c r="E68" s="6"/>
      <c r="F68" s="6" t="s">
        <v>10</v>
      </c>
      <c r="G68" s="6" t="s">
        <v>230</v>
      </c>
      <c r="H68" s="6"/>
      <c r="I68" s="6">
        <v>47.14</v>
      </c>
      <c r="J68" s="6">
        <v>1</v>
      </c>
      <c r="K68" s="6"/>
      <c r="L68" s="6">
        <f t="shared" si="4"/>
        <v>47140</v>
      </c>
      <c r="M68" s="7"/>
    </row>
    <row r="69" spans="1:15" x14ac:dyDescent="0.2">
      <c r="A69" s="6" t="b">
        <v>0</v>
      </c>
      <c r="B69" s="6" t="s">
        <v>40</v>
      </c>
      <c r="C69" s="6" t="s">
        <v>303</v>
      </c>
      <c r="D69" s="6" t="s">
        <v>9</v>
      </c>
      <c r="E69" s="6"/>
      <c r="F69" s="6" t="s">
        <v>10</v>
      </c>
      <c r="G69" s="6" t="s">
        <v>230</v>
      </c>
      <c r="H69" s="6"/>
      <c r="I69" s="6">
        <v>47.14</v>
      </c>
      <c r="J69" s="6">
        <v>1</v>
      </c>
      <c r="K69" s="6">
        <f>H69*J69*1000</f>
        <v>0</v>
      </c>
      <c r="L69" s="6">
        <f t="shared" si="4"/>
        <v>47140</v>
      </c>
      <c r="M69" s="7"/>
    </row>
    <row r="70" spans="1:15" x14ac:dyDescent="0.2">
      <c r="A70" s="6" t="b">
        <v>0</v>
      </c>
      <c r="B70" s="6" t="s">
        <v>42</v>
      </c>
      <c r="C70" s="6" t="s">
        <v>304</v>
      </c>
      <c r="D70" s="6" t="s">
        <v>44</v>
      </c>
      <c r="E70" s="6">
        <v>1</v>
      </c>
      <c r="F70" s="6" t="s">
        <v>231</v>
      </c>
      <c r="G70" s="6" t="s">
        <v>232</v>
      </c>
      <c r="H70" s="6">
        <v>0</v>
      </c>
      <c r="I70" s="6">
        <v>38.57</v>
      </c>
      <c r="J70" s="6">
        <v>1</v>
      </c>
      <c r="K70" s="6">
        <f>H70*J70*1000</f>
        <v>0</v>
      </c>
      <c r="L70" s="6">
        <f t="shared" si="4"/>
        <v>38570</v>
      </c>
      <c r="M70" s="6">
        <v>100</v>
      </c>
      <c r="N70" s="6">
        <v>100</v>
      </c>
      <c r="O70" s="6">
        <v>100</v>
      </c>
    </row>
    <row r="71" spans="1:15" x14ac:dyDescent="0.2">
      <c r="A71" s="6" t="b">
        <v>0</v>
      </c>
      <c r="B71" s="6" t="s">
        <v>47</v>
      </c>
      <c r="C71" s="6" t="s">
        <v>305</v>
      </c>
      <c r="D71" s="6" t="s">
        <v>49</v>
      </c>
      <c r="E71" s="6">
        <v>2</v>
      </c>
      <c r="F71" s="6" t="s">
        <v>233</v>
      </c>
      <c r="G71" s="6" t="s">
        <v>234</v>
      </c>
      <c r="H71" s="6">
        <v>1E-3</v>
      </c>
      <c r="I71" s="6">
        <v>3053.29</v>
      </c>
      <c r="J71" s="6">
        <v>1</v>
      </c>
      <c r="K71" s="6">
        <f>H71*J71*1000</f>
        <v>1</v>
      </c>
      <c r="L71" s="6">
        <f t="shared" si="4"/>
        <v>3053290</v>
      </c>
      <c r="M71" s="6">
        <v>116.9</v>
      </c>
      <c r="N71" s="6">
        <v>103.2</v>
      </c>
      <c r="O71" s="6">
        <v>112.7</v>
      </c>
    </row>
    <row r="72" spans="1:15" x14ac:dyDescent="0.2">
      <c r="A72" s="6" t="b">
        <v>0</v>
      </c>
      <c r="B72" s="6" t="s">
        <v>51</v>
      </c>
      <c r="C72" s="6" t="s">
        <v>306</v>
      </c>
      <c r="D72" s="6" t="s">
        <v>49</v>
      </c>
      <c r="E72" s="6">
        <v>3</v>
      </c>
      <c r="F72" s="6" t="s">
        <v>235</v>
      </c>
      <c r="G72" s="6" t="s">
        <v>236</v>
      </c>
      <c r="H72" s="6">
        <v>0.01</v>
      </c>
      <c r="I72" s="6">
        <v>30871.79</v>
      </c>
      <c r="J72" s="6">
        <v>1</v>
      </c>
      <c r="K72" s="6">
        <f t="shared" ref="K72:K79" si="5">H72*J72*1000</f>
        <v>10</v>
      </c>
      <c r="L72" s="6">
        <f t="shared" si="4"/>
        <v>30871790</v>
      </c>
      <c r="M72" s="6">
        <v>102.4</v>
      </c>
      <c r="N72" s="6">
        <v>95.9</v>
      </c>
      <c r="O72" s="6">
        <v>99.3</v>
      </c>
    </row>
    <row r="73" spans="1:15" x14ac:dyDescent="0.2">
      <c r="A73" s="6" t="b">
        <v>0</v>
      </c>
      <c r="B73" s="6" t="s">
        <v>54</v>
      </c>
      <c r="C73" s="6" t="s">
        <v>307</v>
      </c>
      <c r="D73" s="6" t="s">
        <v>49</v>
      </c>
      <c r="E73" s="6">
        <v>4</v>
      </c>
      <c r="F73" s="6" t="s">
        <v>237</v>
      </c>
      <c r="G73" s="6" t="s">
        <v>238</v>
      </c>
      <c r="H73" s="6">
        <v>4.5999999999999999E-2</v>
      </c>
      <c r="I73" s="6">
        <v>149115.04</v>
      </c>
      <c r="J73" s="6">
        <v>1</v>
      </c>
      <c r="K73" s="6">
        <f>H73*J73*1000</f>
        <v>46</v>
      </c>
      <c r="L73" s="6">
        <f t="shared" si="4"/>
        <v>149115040</v>
      </c>
      <c r="M73" s="6">
        <v>114.5</v>
      </c>
      <c r="N73" s="6">
        <v>100.1</v>
      </c>
      <c r="O73" s="6">
        <v>117.1</v>
      </c>
    </row>
    <row r="74" spans="1:15" x14ac:dyDescent="0.2">
      <c r="A74" s="6" t="b">
        <v>0</v>
      </c>
      <c r="B74" s="6" t="s">
        <v>57</v>
      </c>
      <c r="C74" s="6" t="s">
        <v>308</v>
      </c>
      <c r="D74" s="6" t="s">
        <v>49</v>
      </c>
      <c r="E74" s="6">
        <v>5</v>
      </c>
      <c r="F74" s="6" t="s">
        <v>239</v>
      </c>
      <c r="G74" s="6" t="s">
        <v>240</v>
      </c>
      <c r="H74" s="6">
        <v>9.1999999999999998E-2</v>
      </c>
      <c r="I74" s="6">
        <v>298225.69</v>
      </c>
      <c r="J74" s="6">
        <v>1</v>
      </c>
      <c r="K74" s="6">
        <f t="shared" si="5"/>
        <v>92</v>
      </c>
      <c r="L74" s="6">
        <f t="shared" si="4"/>
        <v>298225690</v>
      </c>
      <c r="M74" s="6">
        <v>111</v>
      </c>
      <c r="N74" s="6">
        <v>102.8</v>
      </c>
      <c r="O74" s="6">
        <v>106.2</v>
      </c>
    </row>
    <row r="75" spans="1:15" x14ac:dyDescent="0.2">
      <c r="A75" s="6" t="b">
        <v>0</v>
      </c>
      <c r="B75" s="6" t="s">
        <v>61</v>
      </c>
      <c r="C75" s="6" t="s">
        <v>309</v>
      </c>
      <c r="D75" s="6" t="s">
        <v>49</v>
      </c>
      <c r="E75" s="6">
        <v>6</v>
      </c>
      <c r="F75" s="6" t="s">
        <v>241</v>
      </c>
      <c r="G75" s="6" t="s">
        <v>242</v>
      </c>
      <c r="H75" s="6">
        <v>0.501</v>
      </c>
      <c r="I75" s="6">
        <v>1625011.78</v>
      </c>
      <c r="J75" s="6">
        <v>1</v>
      </c>
      <c r="K75" s="6">
        <f t="shared" si="5"/>
        <v>501</v>
      </c>
      <c r="L75" s="6">
        <f t="shared" si="4"/>
        <v>1625011780</v>
      </c>
      <c r="M75" s="6">
        <v>106.6</v>
      </c>
      <c r="N75" s="6">
        <v>104.5</v>
      </c>
      <c r="O75" s="6">
        <v>111.2</v>
      </c>
    </row>
    <row r="76" spans="1:15" x14ac:dyDescent="0.2">
      <c r="A76" s="6" t="b">
        <v>0</v>
      </c>
      <c r="B76" s="6" t="s">
        <v>64</v>
      </c>
      <c r="C76" s="6" t="s">
        <v>310</v>
      </c>
      <c r="D76" s="6" t="s">
        <v>49</v>
      </c>
      <c r="E76" s="6">
        <v>7</v>
      </c>
      <c r="F76" s="6" t="s">
        <v>243</v>
      </c>
      <c r="G76" s="6" t="s">
        <v>244</v>
      </c>
      <c r="H76" s="6">
        <v>1.016</v>
      </c>
      <c r="I76" s="6">
        <v>3297162.58</v>
      </c>
      <c r="J76" s="6">
        <v>1</v>
      </c>
      <c r="K76" s="6">
        <f t="shared" si="5"/>
        <v>1016</v>
      </c>
      <c r="L76" s="6">
        <f t="shared" si="4"/>
        <v>3297162580</v>
      </c>
      <c r="M76" s="6">
        <v>107.7</v>
      </c>
      <c r="N76" s="6">
        <v>99.9</v>
      </c>
      <c r="O76" s="6">
        <v>105.5</v>
      </c>
    </row>
    <row r="77" spans="1:15" x14ac:dyDescent="0.2">
      <c r="A77" s="6" t="b">
        <v>0</v>
      </c>
      <c r="B77" s="6" t="s">
        <v>68</v>
      </c>
      <c r="C77" s="6" t="s">
        <v>311</v>
      </c>
      <c r="D77" s="6" t="s">
        <v>49</v>
      </c>
      <c r="E77" s="6">
        <v>8</v>
      </c>
      <c r="F77" s="6" t="s">
        <v>245</v>
      </c>
      <c r="G77" s="6" t="s">
        <v>246</v>
      </c>
      <c r="H77" s="6">
        <v>10.058999999999999</v>
      </c>
      <c r="I77" s="6">
        <v>32639424.16</v>
      </c>
      <c r="J77" s="6">
        <v>1</v>
      </c>
      <c r="K77" s="6">
        <f t="shared" si="5"/>
        <v>10059</v>
      </c>
      <c r="L77" s="6">
        <f t="shared" si="4"/>
        <v>32639424160</v>
      </c>
      <c r="M77" s="6">
        <v>116.5</v>
      </c>
      <c r="N77" s="6">
        <v>107.7</v>
      </c>
      <c r="O77" s="6">
        <v>113.5</v>
      </c>
    </row>
    <row r="78" spans="1:15" x14ac:dyDescent="0.2">
      <c r="A78" s="6" t="b">
        <v>0</v>
      </c>
      <c r="B78" s="6" t="s">
        <v>71</v>
      </c>
      <c r="C78" s="6" t="s">
        <v>312</v>
      </c>
      <c r="D78" s="6" t="s">
        <v>49</v>
      </c>
      <c r="E78" s="6">
        <v>9</v>
      </c>
      <c r="F78" s="6" t="s">
        <v>247</v>
      </c>
      <c r="G78" s="6" t="s">
        <v>248</v>
      </c>
      <c r="H78" s="6">
        <v>49.988</v>
      </c>
      <c r="I78" s="6">
        <v>162192550.44</v>
      </c>
      <c r="J78" s="6">
        <v>1</v>
      </c>
      <c r="K78" s="6">
        <f>H78*J78*1000</f>
        <v>49988</v>
      </c>
      <c r="L78" s="6">
        <f t="shared" si="4"/>
        <v>162192550440</v>
      </c>
      <c r="M78" s="6">
        <v>104.7</v>
      </c>
      <c r="N78" s="6">
        <v>107.8</v>
      </c>
      <c r="O78" s="6">
        <v>109.2</v>
      </c>
    </row>
    <row r="79" spans="1:15" x14ac:dyDescent="0.2">
      <c r="A79" s="6" t="b">
        <v>0</v>
      </c>
      <c r="B79" s="6" t="s">
        <v>74</v>
      </c>
      <c r="C79" s="6" t="s">
        <v>313</v>
      </c>
      <c r="D79" s="6" t="s">
        <v>9</v>
      </c>
      <c r="E79" s="6"/>
      <c r="F79" s="6" t="s">
        <v>10</v>
      </c>
      <c r="G79" s="6" t="s">
        <v>230</v>
      </c>
      <c r="H79" s="6">
        <v>0</v>
      </c>
      <c r="I79" s="6">
        <v>397.16</v>
      </c>
      <c r="J79" s="6">
        <v>1</v>
      </c>
      <c r="K79" s="6">
        <f t="shared" si="5"/>
        <v>0</v>
      </c>
      <c r="L79" s="6">
        <f t="shared" si="4"/>
        <v>397160</v>
      </c>
      <c r="M79" s="6">
        <v>95.5</v>
      </c>
      <c r="N79" s="6">
        <v>103.6</v>
      </c>
      <c r="O79" s="6">
        <v>103.2</v>
      </c>
    </row>
    <row r="80" spans="1:15" x14ac:dyDescent="0.2">
      <c r="A80" s="6" t="b">
        <v>0</v>
      </c>
      <c r="B80" s="6" t="s">
        <v>77</v>
      </c>
      <c r="C80" s="6" t="s">
        <v>314</v>
      </c>
      <c r="D80" s="6" t="s">
        <v>9</v>
      </c>
      <c r="E80" s="6"/>
      <c r="F80" s="6" t="s">
        <v>10</v>
      </c>
      <c r="G80" s="6" t="s">
        <v>230</v>
      </c>
      <c r="H80" s="6">
        <v>0</v>
      </c>
      <c r="I80" s="6">
        <v>627.20000000000005</v>
      </c>
      <c r="J80" s="6">
        <v>1</v>
      </c>
      <c r="K80" s="6">
        <f>H80*J80*1000</f>
        <v>0</v>
      </c>
      <c r="L80" s="6">
        <f t="shared" si="4"/>
        <v>627200</v>
      </c>
      <c r="M80" s="6">
        <v>109.3</v>
      </c>
      <c r="N80" s="6">
        <v>103.4</v>
      </c>
      <c r="O80" s="6">
        <v>104.9</v>
      </c>
    </row>
    <row r="81" spans="1:15" x14ac:dyDescent="0.2">
      <c r="A81" s="6" t="b">
        <v>0</v>
      </c>
      <c r="B81" s="6" t="s">
        <v>79</v>
      </c>
      <c r="C81" s="6" t="s">
        <v>315</v>
      </c>
      <c r="D81" s="6" t="s">
        <v>0</v>
      </c>
      <c r="E81" s="6"/>
      <c r="F81" s="6" t="s">
        <v>197</v>
      </c>
      <c r="G81" s="6" t="s">
        <v>284</v>
      </c>
      <c r="H81" s="6">
        <v>0</v>
      </c>
      <c r="I81" s="6">
        <v>627.17999999999995</v>
      </c>
      <c r="J81" s="6">
        <v>1</v>
      </c>
      <c r="K81" s="6">
        <f t="shared" ref="K81:K144" si="6">H81*J81*1000</f>
        <v>0</v>
      </c>
      <c r="L81" s="6">
        <f t="shared" ref="L81:L144" si="7">I81*J81</f>
        <v>627.17999999999995</v>
      </c>
      <c r="M81" s="6">
        <v>90.6</v>
      </c>
      <c r="N81" s="6">
        <v>89.3</v>
      </c>
      <c r="O81" s="6">
        <v>88.1</v>
      </c>
    </row>
    <row r="82" spans="1:15" x14ac:dyDescent="0.2">
      <c r="A82" s="6" t="b">
        <v>0</v>
      </c>
      <c r="B82" s="6" t="s">
        <v>82</v>
      </c>
      <c r="C82" s="6" t="s">
        <v>316</v>
      </c>
      <c r="D82" s="6" t="s">
        <v>0</v>
      </c>
      <c r="E82" s="6"/>
      <c r="F82" s="6" t="s">
        <v>200</v>
      </c>
      <c r="G82" s="6" t="s">
        <v>285</v>
      </c>
      <c r="H82" s="6">
        <v>9.4E-2</v>
      </c>
      <c r="I82" s="6">
        <v>303546.62</v>
      </c>
      <c r="J82" s="6">
        <v>1</v>
      </c>
      <c r="K82" s="6">
        <f t="shared" si="6"/>
        <v>94</v>
      </c>
      <c r="L82" s="6">
        <f t="shared" si="7"/>
        <v>303546.62</v>
      </c>
      <c r="M82" s="6">
        <v>106.8</v>
      </c>
      <c r="N82" s="6">
        <v>100.4</v>
      </c>
      <c r="O82" s="6">
        <v>108</v>
      </c>
    </row>
    <row r="83" spans="1:15" x14ac:dyDescent="0.2">
      <c r="A83" s="6" t="b">
        <v>0</v>
      </c>
      <c r="B83" s="6" t="s">
        <v>85</v>
      </c>
      <c r="C83" s="6" t="s">
        <v>317</v>
      </c>
      <c r="D83" s="6" t="s">
        <v>0</v>
      </c>
      <c r="E83" s="6"/>
      <c r="F83" s="6" t="s">
        <v>203</v>
      </c>
      <c r="G83" s="16" t="s">
        <v>286</v>
      </c>
      <c r="H83" s="6">
        <v>9.6000000000000002E-2</v>
      </c>
      <c r="I83" s="6">
        <v>311821.83</v>
      </c>
      <c r="J83" s="6">
        <v>10</v>
      </c>
      <c r="K83" s="6">
        <f t="shared" si="6"/>
        <v>960</v>
      </c>
      <c r="L83" s="6">
        <f t="shared" si="7"/>
        <v>3118218.3000000003</v>
      </c>
      <c r="M83" s="6">
        <v>116.5</v>
      </c>
      <c r="N83" s="6">
        <v>101.8</v>
      </c>
      <c r="O83" s="6">
        <v>109.6</v>
      </c>
    </row>
    <row r="84" spans="1:15" x14ac:dyDescent="0.2">
      <c r="A84" s="6" t="b">
        <v>0</v>
      </c>
      <c r="B84" s="6" t="s">
        <v>88</v>
      </c>
      <c r="C84" s="6" t="s">
        <v>318</v>
      </c>
      <c r="D84" s="6" t="s">
        <v>0</v>
      </c>
      <c r="E84" s="6"/>
      <c r="F84" s="6" t="s">
        <v>206</v>
      </c>
      <c r="G84" s="16" t="s">
        <v>287</v>
      </c>
      <c r="H84" s="6">
        <v>0.55400000000000005</v>
      </c>
      <c r="I84" s="6">
        <v>1798562.36</v>
      </c>
      <c r="J84" s="6">
        <v>20</v>
      </c>
      <c r="K84" s="6">
        <f>H84*J84*1000</f>
        <v>11080.000000000002</v>
      </c>
      <c r="L84" s="6">
        <f t="shared" si="7"/>
        <v>35971247.200000003</v>
      </c>
      <c r="M84" s="6">
        <v>106.6</v>
      </c>
      <c r="N84" s="6">
        <v>108.3</v>
      </c>
      <c r="O84" s="6">
        <v>113.5</v>
      </c>
    </row>
    <row r="85" spans="1:15" x14ac:dyDescent="0.2">
      <c r="A85" s="6" t="b">
        <v>0</v>
      </c>
      <c r="B85" s="6" t="s">
        <v>91</v>
      </c>
      <c r="C85" s="6" t="s">
        <v>319</v>
      </c>
      <c r="D85" s="6" t="s">
        <v>0</v>
      </c>
      <c r="E85" s="6"/>
      <c r="F85" s="6" t="s">
        <v>209</v>
      </c>
      <c r="G85" s="16" t="s">
        <v>288</v>
      </c>
      <c r="H85" s="6">
        <v>5.4130000000000003</v>
      </c>
      <c r="I85" s="6">
        <v>17563559.030000001</v>
      </c>
      <c r="J85" s="6">
        <v>20</v>
      </c>
      <c r="K85" s="6">
        <f>H85*J85*1000</f>
        <v>108260</v>
      </c>
      <c r="L85" s="6">
        <f t="shared" si="7"/>
        <v>351271180.60000002</v>
      </c>
      <c r="M85" s="6">
        <v>109.5</v>
      </c>
      <c r="N85" s="6">
        <v>97.1</v>
      </c>
      <c r="O85" s="6">
        <v>106.4</v>
      </c>
    </row>
    <row r="86" spans="1:15" x14ac:dyDescent="0.2">
      <c r="A86" s="6" t="b">
        <v>0</v>
      </c>
      <c r="B86" s="6" t="s">
        <v>320</v>
      </c>
      <c r="C86" s="6" t="s">
        <v>321</v>
      </c>
      <c r="D86" s="6" t="s">
        <v>9</v>
      </c>
      <c r="E86" s="6"/>
      <c r="F86" s="6" t="s">
        <v>10</v>
      </c>
      <c r="G86" s="6" t="s">
        <v>230</v>
      </c>
      <c r="H86" s="6">
        <v>0</v>
      </c>
      <c r="I86" s="6">
        <v>108.57</v>
      </c>
      <c r="J86" s="6">
        <v>1</v>
      </c>
      <c r="K86" s="6">
        <f t="shared" si="6"/>
        <v>0</v>
      </c>
      <c r="L86" s="6">
        <f t="shared" si="7"/>
        <v>108.57</v>
      </c>
      <c r="M86" s="6">
        <v>107.2</v>
      </c>
      <c r="N86" s="6">
        <v>105.6</v>
      </c>
      <c r="O86" s="6">
        <v>111.6</v>
      </c>
    </row>
    <row r="87" spans="1:15" x14ac:dyDescent="0.2">
      <c r="A87" s="6" t="b">
        <v>0</v>
      </c>
      <c r="B87" s="6" t="s">
        <v>322</v>
      </c>
      <c r="C87" s="6" t="s">
        <v>323</v>
      </c>
      <c r="D87" s="6" t="s">
        <v>9</v>
      </c>
      <c r="E87" s="6"/>
      <c r="F87" s="6" t="s">
        <v>10</v>
      </c>
      <c r="G87" s="6" t="s">
        <v>230</v>
      </c>
      <c r="H87" s="6">
        <v>1E-3</v>
      </c>
      <c r="I87" s="6">
        <v>2185.96</v>
      </c>
      <c r="J87" s="6">
        <v>1</v>
      </c>
      <c r="K87" s="6">
        <f t="shared" si="6"/>
        <v>1</v>
      </c>
      <c r="L87" s="6">
        <f t="shared" si="7"/>
        <v>2185.96</v>
      </c>
      <c r="M87" s="6">
        <v>104.3</v>
      </c>
      <c r="N87" s="6">
        <v>99.1</v>
      </c>
      <c r="O87" s="6">
        <v>104.6</v>
      </c>
    </row>
    <row r="88" spans="1:15" x14ac:dyDescent="0.2">
      <c r="A88" s="6" t="b">
        <v>0</v>
      </c>
      <c r="B88" s="6" t="s">
        <v>100</v>
      </c>
      <c r="C88" s="6" t="s">
        <v>324</v>
      </c>
      <c r="D88" s="6" t="s">
        <v>0</v>
      </c>
      <c r="E88" s="6"/>
      <c r="F88" s="6" t="s">
        <v>325</v>
      </c>
      <c r="G88" s="6" t="s">
        <v>514</v>
      </c>
      <c r="H88" s="6">
        <v>8.0000000000000002E-3</v>
      </c>
      <c r="I88" s="6">
        <v>26064.720000000001</v>
      </c>
      <c r="J88" s="6">
        <v>10</v>
      </c>
      <c r="K88" s="6">
        <f t="shared" si="6"/>
        <v>80</v>
      </c>
      <c r="L88" s="6">
        <f t="shared" si="7"/>
        <v>260647.2</v>
      </c>
      <c r="M88" s="6">
        <v>101.9</v>
      </c>
      <c r="N88" s="6">
        <v>96</v>
      </c>
      <c r="O88" s="6">
        <v>102</v>
      </c>
    </row>
    <row r="89" spans="1:15" x14ac:dyDescent="0.2">
      <c r="A89" s="6" t="b">
        <v>0</v>
      </c>
      <c r="B89" s="6" t="s">
        <v>103</v>
      </c>
      <c r="C89" s="6" t="s">
        <v>326</v>
      </c>
      <c r="D89" s="6" t="s">
        <v>0</v>
      </c>
      <c r="E89" s="6"/>
      <c r="F89" s="6" t="s">
        <v>327</v>
      </c>
      <c r="G89" s="6" t="s">
        <v>515</v>
      </c>
      <c r="H89" s="6">
        <v>8.0000000000000002E-3</v>
      </c>
      <c r="I89" s="6">
        <v>25706.959999999999</v>
      </c>
      <c r="J89" s="6">
        <v>10</v>
      </c>
      <c r="K89" s="6">
        <f t="shared" si="6"/>
        <v>80</v>
      </c>
      <c r="L89" s="6">
        <f t="shared" si="7"/>
        <v>257069.59999999998</v>
      </c>
      <c r="M89" s="6">
        <v>99</v>
      </c>
      <c r="N89" s="6">
        <v>100.1</v>
      </c>
      <c r="O89" s="6">
        <v>103.2</v>
      </c>
    </row>
    <row r="90" spans="1:15" x14ac:dyDescent="0.2">
      <c r="A90" s="6" t="b">
        <v>0</v>
      </c>
      <c r="B90" s="6" t="s">
        <v>107</v>
      </c>
      <c r="C90" s="6" t="s">
        <v>329</v>
      </c>
      <c r="D90" s="6" t="s">
        <v>0</v>
      </c>
      <c r="E90" s="6"/>
      <c r="F90" s="6" t="s">
        <v>330</v>
      </c>
      <c r="G90" s="6" t="s">
        <v>516</v>
      </c>
      <c r="H90" s="6">
        <v>8.9999999999999993E-3</v>
      </c>
      <c r="I90" s="6">
        <v>28157.58</v>
      </c>
      <c r="J90" s="6">
        <v>10</v>
      </c>
      <c r="K90" s="6">
        <f t="shared" si="6"/>
        <v>90</v>
      </c>
      <c r="L90" s="6">
        <f t="shared" si="7"/>
        <v>281575.80000000005</v>
      </c>
      <c r="M90" s="6">
        <v>104.5</v>
      </c>
      <c r="N90" s="6">
        <v>102.2</v>
      </c>
      <c r="O90" s="6">
        <v>111.9</v>
      </c>
    </row>
    <row r="91" spans="1:15" x14ac:dyDescent="0.2">
      <c r="A91" s="6" t="b">
        <v>0</v>
      </c>
      <c r="B91" s="6" t="s">
        <v>110</v>
      </c>
      <c r="C91" s="6" t="s">
        <v>331</v>
      </c>
      <c r="D91" s="6" t="s">
        <v>0</v>
      </c>
      <c r="E91" s="6"/>
      <c r="F91" s="6" t="s">
        <v>332</v>
      </c>
      <c r="G91" s="6" t="s">
        <v>517</v>
      </c>
      <c r="H91" s="6">
        <v>8.9999999999999993E-3</v>
      </c>
      <c r="I91" s="6">
        <v>28687.07</v>
      </c>
      <c r="J91" s="6">
        <v>10</v>
      </c>
      <c r="K91" s="6">
        <f t="shared" si="6"/>
        <v>90</v>
      </c>
      <c r="L91" s="6">
        <f t="shared" si="7"/>
        <v>286870.7</v>
      </c>
      <c r="M91" s="6">
        <v>101.7</v>
      </c>
      <c r="N91" s="6">
        <v>100.3</v>
      </c>
      <c r="O91" s="6">
        <v>102.4</v>
      </c>
    </row>
    <row r="92" spans="1:15" x14ac:dyDescent="0.2">
      <c r="A92" s="6" t="b">
        <v>0</v>
      </c>
      <c r="B92" s="6" t="s">
        <v>113</v>
      </c>
      <c r="C92" s="6" t="s">
        <v>333</v>
      </c>
      <c r="D92" s="6" t="s">
        <v>0</v>
      </c>
      <c r="E92" s="6"/>
      <c r="F92" s="6" t="s">
        <v>334</v>
      </c>
      <c r="G92" s="6" t="s">
        <v>518</v>
      </c>
      <c r="H92" s="6">
        <v>1.6E-2</v>
      </c>
      <c r="I92" s="6">
        <v>53394.85</v>
      </c>
      <c r="J92" s="6">
        <v>10</v>
      </c>
      <c r="K92" s="6">
        <f t="shared" si="6"/>
        <v>160</v>
      </c>
      <c r="L92" s="6">
        <f t="shared" si="7"/>
        <v>533948.5</v>
      </c>
      <c r="M92" s="6">
        <v>97.8</v>
      </c>
      <c r="N92" s="6">
        <v>95.5</v>
      </c>
      <c r="O92" s="6">
        <v>96.4</v>
      </c>
    </row>
    <row r="93" spans="1:15" x14ac:dyDescent="0.2">
      <c r="A93" s="6" t="b">
        <v>0</v>
      </c>
      <c r="B93" s="6" t="s">
        <v>116</v>
      </c>
      <c r="C93" s="6" t="s">
        <v>335</v>
      </c>
      <c r="D93" s="6" t="s">
        <v>0</v>
      </c>
      <c r="E93" s="6"/>
      <c r="F93" s="6" t="s">
        <v>336</v>
      </c>
      <c r="G93" s="6" t="s">
        <v>519</v>
      </c>
      <c r="H93" s="6">
        <v>1.7000000000000001E-2</v>
      </c>
      <c r="I93" s="6">
        <v>53663.02</v>
      </c>
      <c r="J93" s="6">
        <v>10</v>
      </c>
      <c r="K93" s="6">
        <f t="shared" si="6"/>
        <v>170</v>
      </c>
      <c r="L93" s="6">
        <f t="shared" si="7"/>
        <v>536630.19999999995</v>
      </c>
      <c r="M93" s="6">
        <v>107</v>
      </c>
      <c r="N93" s="6">
        <v>93.3</v>
      </c>
      <c r="O93" s="6">
        <v>102.7</v>
      </c>
    </row>
    <row r="94" spans="1:15" x14ac:dyDescent="0.2">
      <c r="A94" s="6" t="b">
        <v>0</v>
      </c>
      <c r="B94" s="6" t="s">
        <v>120</v>
      </c>
      <c r="C94" s="6" t="s">
        <v>337</v>
      </c>
      <c r="D94" s="6" t="s">
        <v>0</v>
      </c>
      <c r="E94" s="6"/>
      <c r="F94" s="6" t="s">
        <v>338</v>
      </c>
      <c r="G94" s="6" t="s">
        <v>520</v>
      </c>
      <c r="H94" s="6">
        <v>1.7000000000000001E-2</v>
      </c>
      <c r="I94" s="6">
        <v>55581.78</v>
      </c>
      <c r="J94" s="6">
        <v>10</v>
      </c>
      <c r="K94" s="6">
        <f t="shared" si="6"/>
        <v>170</v>
      </c>
      <c r="L94" s="6">
        <f t="shared" si="7"/>
        <v>555817.80000000005</v>
      </c>
      <c r="M94" s="6">
        <v>116.7</v>
      </c>
      <c r="N94" s="6">
        <v>97.3</v>
      </c>
      <c r="O94" s="6">
        <v>107.3</v>
      </c>
    </row>
    <row r="95" spans="1:15" x14ac:dyDescent="0.2">
      <c r="A95" s="6" t="b">
        <v>0</v>
      </c>
      <c r="B95" s="6" t="s">
        <v>123</v>
      </c>
      <c r="C95" s="6" t="s">
        <v>339</v>
      </c>
      <c r="D95" s="6" t="s">
        <v>0</v>
      </c>
      <c r="E95" s="6"/>
      <c r="F95" s="6" t="s">
        <v>340</v>
      </c>
      <c r="G95" s="6" t="s">
        <v>521</v>
      </c>
      <c r="H95" s="6">
        <v>8.7999999999999995E-2</v>
      </c>
      <c r="I95" s="6">
        <v>286816.5</v>
      </c>
      <c r="J95" s="6">
        <v>10</v>
      </c>
      <c r="K95" s="6">
        <f t="shared" si="6"/>
        <v>879.99999999999989</v>
      </c>
      <c r="L95" s="6">
        <f t="shared" si="7"/>
        <v>2868165</v>
      </c>
      <c r="M95" s="6">
        <v>103.9</v>
      </c>
      <c r="N95" s="6">
        <v>94.4</v>
      </c>
      <c r="O95" s="6">
        <v>97.5</v>
      </c>
    </row>
    <row r="96" spans="1:15" x14ac:dyDescent="0.2">
      <c r="A96" s="6" t="b">
        <v>0</v>
      </c>
      <c r="B96" s="6" t="s">
        <v>127</v>
      </c>
      <c r="C96" s="6" t="s">
        <v>342</v>
      </c>
      <c r="D96" s="6" t="s">
        <v>0</v>
      </c>
      <c r="E96" s="6"/>
      <c r="F96" s="6" t="s">
        <v>343</v>
      </c>
      <c r="G96" s="6" t="s">
        <v>522</v>
      </c>
      <c r="H96" s="6">
        <v>8.6999999999999994E-2</v>
      </c>
      <c r="I96" s="6">
        <v>280768.65000000002</v>
      </c>
      <c r="J96" s="6">
        <v>10</v>
      </c>
      <c r="K96" s="6">
        <f t="shared" si="6"/>
        <v>869.99999999999989</v>
      </c>
      <c r="L96" s="6">
        <f t="shared" si="7"/>
        <v>2807686.5</v>
      </c>
      <c r="M96" s="6">
        <v>120.5</v>
      </c>
      <c r="N96" s="6">
        <v>89.8</v>
      </c>
      <c r="O96" s="6">
        <v>95.6</v>
      </c>
    </row>
    <row r="97" spans="1:15" x14ac:dyDescent="0.2">
      <c r="A97" s="6" t="b">
        <v>0</v>
      </c>
      <c r="B97" s="6" t="s">
        <v>130</v>
      </c>
      <c r="C97" s="6" t="s">
        <v>344</v>
      </c>
      <c r="D97" s="6" t="s">
        <v>0</v>
      </c>
      <c r="E97" s="6"/>
      <c r="F97" s="6" t="s">
        <v>345</v>
      </c>
      <c r="G97" s="6" t="s">
        <v>523</v>
      </c>
      <c r="H97" s="6">
        <v>9.0999999999999998E-2</v>
      </c>
      <c r="I97" s="6">
        <v>294525.12</v>
      </c>
      <c r="J97" s="6">
        <v>10</v>
      </c>
      <c r="K97" s="6">
        <f t="shared" si="6"/>
        <v>909.99999999999989</v>
      </c>
      <c r="L97" s="6">
        <f t="shared" si="7"/>
        <v>2945251.2</v>
      </c>
      <c r="M97" s="6">
        <v>99</v>
      </c>
      <c r="N97" s="6">
        <v>90.8</v>
      </c>
      <c r="O97" s="6">
        <v>89.9</v>
      </c>
    </row>
    <row r="98" spans="1:15" x14ac:dyDescent="0.2">
      <c r="A98" s="6" t="b">
        <v>0</v>
      </c>
      <c r="B98" s="6" t="s">
        <v>134</v>
      </c>
      <c r="C98" s="6" t="s">
        <v>346</v>
      </c>
      <c r="D98" s="6" t="s">
        <v>0</v>
      </c>
      <c r="E98" s="6"/>
      <c r="F98" s="6" t="s">
        <v>347</v>
      </c>
      <c r="G98" s="6" t="s">
        <v>524</v>
      </c>
      <c r="H98" s="6">
        <v>0.50700000000000001</v>
      </c>
      <c r="I98" s="6">
        <v>1644886.83</v>
      </c>
      <c r="J98" s="6">
        <v>20</v>
      </c>
      <c r="K98" s="6">
        <f t="shared" si="6"/>
        <v>10140</v>
      </c>
      <c r="L98" s="6">
        <f t="shared" si="7"/>
        <v>32897736.600000001</v>
      </c>
      <c r="M98" s="6">
        <v>102.5</v>
      </c>
      <c r="N98" s="6">
        <v>99.3</v>
      </c>
      <c r="O98" s="6">
        <v>100.1</v>
      </c>
    </row>
    <row r="99" spans="1:15" x14ac:dyDescent="0.2">
      <c r="A99" s="6" t="b">
        <v>0</v>
      </c>
      <c r="B99" s="6" t="s">
        <v>348</v>
      </c>
      <c r="C99" s="6" t="s">
        <v>349</v>
      </c>
      <c r="D99" s="6" t="s">
        <v>9</v>
      </c>
      <c r="E99" s="6"/>
      <c r="F99" s="6" t="s">
        <v>10</v>
      </c>
      <c r="G99" s="6" t="s">
        <v>230</v>
      </c>
      <c r="H99" s="6">
        <v>0</v>
      </c>
      <c r="I99" s="6">
        <v>227.15</v>
      </c>
      <c r="J99" s="6">
        <v>1</v>
      </c>
      <c r="K99" s="6">
        <f t="shared" si="6"/>
        <v>0</v>
      </c>
      <c r="L99" s="6">
        <f t="shared" si="7"/>
        <v>227.15</v>
      </c>
      <c r="M99" s="6">
        <v>103.3</v>
      </c>
      <c r="N99" s="6">
        <v>91.9</v>
      </c>
      <c r="O99" s="6">
        <v>93</v>
      </c>
    </row>
    <row r="100" spans="1:15" x14ac:dyDescent="0.2">
      <c r="A100" s="6" t="b">
        <v>0</v>
      </c>
      <c r="B100" s="6" t="s">
        <v>350</v>
      </c>
      <c r="C100" s="6" t="s">
        <v>351</v>
      </c>
      <c r="D100" s="6" t="s">
        <v>150</v>
      </c>
      <c r="E100" s="6"/>
      <c r="F100" s="6" t="s">
        <v>150</v>
      </c>
      <c r="G100" s="6" t="s">
        <v>244</v>
      </c>
      <c r="H100" s="6">
        <v>1.127</v>
      </c>
      <c r="I100" s="6">
        <v>3657461.33</v>
      </c>
      <c r="J100" s="6">
        <v>1</v>
      </c>
      <c r="K100" s="6">
        <f t="shared" si="6"/>
        <v>1127</v>
      </c>
      <c r="L100" s="6">
        <f t="shared" si="7"/>
        <v>3657461.33</v>
      </c>
      <c r="M100" s="6">
        <v>105.3</v>
      </c>
      <c r="N100" s="6">
        <v>103.4</v>
      </c>
      <c r="O100" s="6">
        <v>106.7</v>
      </c>
    </row>
    <row r="101" spans="1:15" x14ac:dyDescent="0.2">
      <c r="A101" s="6" t="b">
        <v>0</v>
      </c>
      <c r="B101" s="6" t="s">
        <v>144</v>
      </c>
      <c r="C101" s="6" t="s">
        <v>353</v>
      </c>
      <c r="D101" s="6" t="s">
        <v>9</v>
      </c>
      <c r="E101" s="6"/>
      <c r="F101" s="6" t="s">
        <v>10</v>
      </c>
      <c r="G101" s="6" t="s">
        <v>230</v>
      </c>
      <c r="H101" s="6">
        <v>0</v>
      </c>
      <c r="I101" s="6">
        <v>187.15</v>
      </c>
      <c r="J101" s="6">
        <v>1</v>
      </c>
      <c r="K101" s="6">
        <f t="shared" si="6"/>
        <v>0</v>
      </c>
      <c r="L101" s="6">
        <f t="shared" si="7"/>
        <v>187.15</v>
      </c>
      <c r="M101" s="6">
        <v>92.5</v>
      </c>
      <c r="N101" s="6">
        <v>96.8</v>
      </c>
      <c r="O101" s="6">
        <v>101.3</v>
      </c>
    </row>
    <row r="102" spans="1:15" x14ac:dyDescent="0.2">
      <c r="A102" s="6" t="b">
        <v>0</v>
      </c>
      <c r="B102" s="6" t="s">
        <v>354</v>
      </c>
      <c r="C102" s="6" t="s">
        <v>355</v>
      </c>
      <c r="D102" s="6" t="s">
        <v>0</v>
      </c>
      <c r="E102" s="6"/>
      <c r="F102" s="6" t="s">
        <v>356</v>
      </c>
      <c r="G102" s="6" t="s">
        <v>525</v>
      </c>
      <c r="H102" s="6">
        <v>0.47599999999999998</v>
      </c>
      <c r="I102" s="6">
        <v>1545634.91</v>
      </c>
      <c r="J102" s="6">
        <v>20</v>
      </c>
      <c r="K102" s="6">
        <f t="shared" si="6"/>
        <v>9520</v>
      </c>
      <c r="L102" s="6">
        <f t="shared" si="7"/>
        <v>30912698.199999999</v>
      </c>
      <c r="M102" s="6">
        <v>114.1</v>
      </c>
      <c r="N102" s="6">
        <v>96.7</v>
      </c>
      <c r="O102" s="6">
        <v>104.5</v>
      </c>
    </row>
    <row r="103" spans="1:15" x14ac:dyDescent="0.2">
      <c r="A103" s="6" t="b">
        <v>0</v>
      </c>
      <c r="B103" s="6" t="s">
        <v>357</v>
      </c>
      <c r="C103" s="6" t="s">
        <v>358</v>
      </c>
      <c r="D103" s="6" t="s">
        <v>0</v>
      </c>
      <c r="E103" s="6"/>
      <c r="F103" s="6" t="s">
        <v>359</v>
      </c>
      <c r="G103" s="6" t="s">
        <v>526</v>
      </c>
      <c r="H103" s="6">
        <v>0.50600000000000001</v>
      </c>
      <c r="I103" s="6">
        <v>1641132.5</v>
      </c>
      <c r="J103" s="6">
        <v>20</v>
      </c>
      <c r="K103" s="6">
        <f t="shared" si="6"/>
        <v>10120.000000000002</v>
      </c>
      <c r="L103" s="6">
        <f t="shared" si="7"/>
        <v>32822650</v>
      </c>
      <c r="M103" s="6">
        <v>113.7</v>
      </c>
      <c r="N103" s="6">
        <v>105.8</v>
      </c>
      <c r="O103" s="6">
        <v>108.6</v>
      </c>
    </row>
    <row r="104" spans="1:15" x14ac:dyDescent="0.2">
      <c r="A104" s="6" t="b">
        <v>0</v>
      </c>
      <c r="B104" s="6" t="s">
        <v>154</v>
      </c>
      <c r="C104" s="6" t="s">
        <v>360</v>
      </c>
      <c r="D104" s="6" t="s">
        <v>0</v>
      </c>
      <c r="E104" s="6"/>
      <c r="F104" s="6" t="s">
        <v>361</v>
      </c>
      <c r="G104" s="6" t="s">
        <v>527</v>
      </c>
      <c r="H104" s="6">
        <v>4.444</v>
      </c>
      <c r="I104" s="6">
        <v>14418552.460000001</v>
      </c>
      <c r="J104" s="6">
        <v>20</v>
      </c>
      <c r="K104" s="6">
        <f t="shared" si="6"/>
        <v>88880</v>
      </c>
      <c r="L104" s="6">
        <f t="shared" si="7"/>
        <v>288371049.20000005</v>
      </c>
      <c r="M104" s="6">
        <v>108.9</v>
      </c>
      <c r="N104" s="6">
        <v>109</v>
      </c>
      <c r="O104" s="6">
        <v>112</v>
      </c>
    </row>
    <row r="105" spans="1:15" x14ac:dyDescent="0.2">
      <c r="A105" s="6" t="b">
        <v>0</v>
      </c>
      <c r="B105" s="6" t="s">
        <v>158</v>
      </c>
      <c r="C105" s="6" t="s">
        <v>362</v>
      </c>
      <c r="D105" s="6" t="s">
        <v>0</v>
      </c>
      <c r="E105" s="6"/>
      <c r="F105" s="6" t="s">
        <v>363</v>
      </c>
      <c r="G105" s="6" t="s">
        <v>528</v>
      </c>
      <c r="H105" s="6">
        <v>4.7720000000000002</v>
      </c>
      <c r="I105" s="6">
        <v>15483837.27</v>
      </c>
      <c r="J105" s="6">
        <v>20</v>
      </c>
      <c r="K105" s="6">
        <f t="shared" si="6"/>
        <v>95440</v>
      </c>
      <c r="L105" s="6">
        <f t="shared" si="7"/>
        <v>309676745.39999998</v>
      </c>
      <c r="M105" s="6">
        <v>82.7</v>
      </c>
      <c r="N105" s="6">
        <v>90.9</v>
      </c>
      <c r="O105" s="6">
        <v>97</v>
      </c>
    </row>
    <row r="106" spans="1:15" x14ac:dyDescent="0.2">
      <c r="A106" s="6" t="b">
        <v>0</v>
      </c>
      <c r="B106" s="6" t="s">
        <v>161</v>
      </c>
      <c r="C106" s="6" t="s">
        <v>364</v>
      </c>
      <c r="D106" s="6" t="s">
        <v>0</v>
      </c>
      <c r="E106" s="6"/>
      <c r="F106" s="6" t="s">
        <v>365</v>
      </c>
      <c r="G106" s="6" t="s">
        <v>529</v>
      </c>
      <c r="H106" s="6">
        <v>4.4589999999999996</v>
      </c>
      <c r="I106" s="6">
        <v>14467728.18</v>
      </c>
      <c r="J106" s="6">
        <v>20</v>
      </c>
      <c r="K106" s="6">
        <f t="shared" si="6"/>
        <v>89179.999999999985</v>
      </c>
      <c r="L106" s="6">
        <f t="shared" si="7"/>
        <v>289354563.60000002</v>
      </c>
      <c r="M106" s="6">
        <v>97.8</v>
      </c>
      <c r="N106" s="6">
        <v>87.9</v>
      </c>
      <c r="O106" s="6">
        <v>96.9</v>
      </c>
    </row>
    <row r="107" spans="1:15" x14ac:dyDescent="0.2">
      <c r="A107" s="6" t="b">
        <v>0</v>
      </c>
      <c r="B107" s="6" t="s">
        <v>366</v>
      </c>
      <c r="C107" s="6" t="s">
        <v>367</v>
      </c>
      <c r="D107" s="6" t="s">
        <v>9</v>
      </c>
      <c r="E107" s="6"/>
      <c r="F107" s="6" t="s">
        <v>10</v>
      </c>
      <c r="G107" s="6" t="s">
        <v>230</v>
      </c>
      <c r="H107" s="6">
        <v>0</v>
      </c>
      <c r="I107" s="6">
        <v>302.87</v>
      </c>
      <c r="J107" s="6">
        <v>1</v>
      </c>
      <c r="K107" s="6">
        <f t="shared" si="6"/>
        <v>0</v>
      </c>
      <c r="L107" s="6">
        <f t="shared" si="7"/>
        <v>302.87</v>
      </c>
      <c r="M107" s="6">
        <v>105.4</v>
      </c>
      <c r="N107" s="6">
        <v>98.6</v>
      </c>
      <c r="O107" s="6">
        <v>108.7</v>
      </c>
    </row>
    <row r="108" spans="1:15" x14ac:dyDescent="0.2">
      <c r="A108" s="6" t="b">
        <v>0</v>
      </c>
      <c r="B108" s="6" t="s">
        <v>368</v>
      </c>
      <c r="C108" s="6" t="s">
        <v>369</v>
      </c>
      <c r="D108" s="6" t="s">
        <v>9</v>
      </c>
      <c r="E108" s="6"/>
      <c r="F108" s="16" t="s">
        <v>10</v>
      </c>
      <c r="G108" s="16" t="s">
        <v>230</v>
      </c>
      <c r="H108" s="6">
        <v>0</v>
      </c>
      <c r="I108" s="6">
        <v>218.58</v>
      </c>
      <c r="J108" s="6">
        <v>1</v>
      </c>
      <c r="K108" s="6">
        <f t="shared" si="6"/>
        <v>0</v>
      </c>
      <c r="L108" s="6">
        <f t="shared" si="7"/>
        <v>218.58</v>
      </c>
      <c r="M108" s="6">
        <v>109</v>
      </c>
      <c r="N108" s="6">
        <v>98.3</v>
      </c>
      <c r="O108" s="6">
        <v>102</v>
      </c>
    </row>
    <row r="109" spans="1:15" x14ac:dyDescent="0.2">
      <c r="A109" s="6" t="b">
        <v>0</v>
      </c>
      <c r="B109" s="6" t="s">
        <v>171</v>
      </c>
      <c r="C109" s="6" t="s">
        <v>370</v>
      </c>
      <c r="D109" s="6" t="s">
        <v>0</v>
      </c>
      <c r="E109" s="6"/>
      <c r="F109" s="6" t="s">
        <v>371</v>
      </c>
      <c r="G109" s="6" t="s">
        <v>530</v>
      </c>
      <c r="H109" s="6">
        <v>8.0000000000000002E-3</v>
      </c>
      <c r="I109" s="6">
        <v>25735.64</v>
      </c>
      <c r="J109" s="6">
        <v>10</v>
      </c>
      <c r="K109" s="6">
        <f t="shared" si="6"/>
        <v>80</v>
      </c>
      <c r="L109" s="6">
        <f t="shared" si="7"/>
        <v>257356.4</v>
      </c>
      <c r="M109" s="6">
        <v>94.6</v>
      </c>
      <c r="N109" s="6">
        <v>87.1</v>
      </c>
      <c r="O109" s="6">
        <v>89.2</v>
      </c>
    </row>
    <row r="110" spans="1:15" x14ac:dyDescent="0.2">
      <c r="A110" s="6" t="b">
        <v>0</v>
      </c>
      <c r="B110" s="6" t="s">
        <v>174</v>
      </c>
      <c r="C110" s="6" t="s">
        <v>373</v>
      </c>
      <c r="D110" s="6" t="s">
        <v>0</v>
      </c>
      <c r="E110" s="6"/>
      <c r="F110" s="6" t="s">
        <v>374</v>
      </c>
      <c r="G110" s="6" t="s">
        <v>531</v>
      </c>
      <c r="H110" s="6">
        <v>8.0000000000000002E-3</v>
      </c>
      <c r="I110" s="6">
        <v>25981.88</v>
      </c>
      <c r="J110" s="6">
        <v>10</v>
      </c>
      <c r="K110" s="6">
        <f t="shared" si="6"/>
        <v>80</v>
      </c>
      <c r="L110" s="6">
        <f t="shared" si="7"/>
        <v>259818.80000000002</v>
      </c>
      <c r="M110" s="6">
        <v>120.9</v>
      </c>
      <c r="N110" s="6">
        <v>110.5</v>
      </c>
      <c r="O110" s="6">
        <v>110.2</v>
      </c>
    </row>
    <row r="111" spans="1:15" x14ac:dyDescent="0.2">
      <c r="A111" s="6" t="b">
        <v>0</v>
      </c>
      <c r="B111" s="6" t="s">
        <v>177</v>
      </c>
      <c r="C111" s="6" t="s">
        <v>376</v>
      </c>
      <c r="D111" s="6" t="s">
        <v>0</v>
      </c>
      <c r="E111" s="6"/>
      <c r="F111" s="6" t="s">
        <v>377</v>
      </c>
      <c r="G111" s="6" t="s">
        <v>532</v>
      </c>
      <c r="H111" s="6">
        <v>8.0000000000000002E-3</v>
      </c>
      <c r="I111" s="6">
        <v>26311.15</v>
      </c>
      <c r="J111" s="6">
        <v>10</v>
      </c>
      <c r="K111" s="6">
        <f t="shared" si="6"/>
        <v>80</v>
      </c>
      <c r="L111" s="6">
        <f t="shared" si="7"/>
        <v>263111.5</v>
      </c>
      <c r="M111" s="6">
        <v>133.19999999999999</v>
      </c>
      <c r="N111" s="6">
        <v>109.5</v>
      </c>
      <c r="O111" s="6">
        <v>124.7</v>
      </c>
    </row>
    <row r="112" spans="1:15" x14ac:dyDescent="0.2">
      <c r="A112" s="6" t="b">
        <v>0</v>
      </c>
      <c r="B112" s="6" t="s">
        <v>180</v>
      </c>
      <c r="C112" s="6" t="s">
        <v>378</v>
      </c>
      <c r="D112" s="6" t="s">
        <v>0</v>
      </c>
      <c r="E112" s="6"/>
      <c r="F112" s="6" t="s">
        <v>379</v>
      </c>
      <c r="G112" s="6" t="s">
        <v>533</v>
      </c>
      <c r="H112" s="6">
        <v>8.0000000000000002E-3</v>
      </c>
      <c r="I112" s="6">
        <v>26202.09</v>
      </c>
      <c r="J112" s="6">
        <v>10</v>
      </c>
      <c r="K112" s="6">
        <f t="shared" si="6"/>
        <v>80</v>
      </c>
      <c r="L112" s="6">
        <f t="shared" si="7"/>
        <v>262020.9</v>
      </c>
      <c r="M112" s="6">
        <v>116.1</v>
      </c>
      <c r="N112" s="6">
        <v>99.5</v>
      </c>
      <c r="O112" s="6">
        <v>97</v>
      </c>
    </row>
    <row r="113" spans="1:15" x14ac:dyDescent="0.2">
      <c r="A113" s="6" t="b">
        <v>0</v>
      </c>
      <c r="B113" s="6" t="s">
        <v>183</v>
      </c>
      <c r="C113" s="6" t="s">
        <v>381</v>
      </c>
      <c r="D113" s="6" t="s">
        <v>0</v>
      </c>
      <c r="E113" s="6"/>
      <c r="F113" s="6" t="s">
        <v>382</v>
      </c>
      <c r="G113" s="6" t="s">
        <v>534</v>
      </c>
      <c r="H113" s="6">
        <v>1.6E-2</v>
      </c>
      <c r="I113" s="6">
        <v>52646.3</v>
      </c>
      <c r="J113" s="6">
        <v>10</v>
      </c>
      <c r="K113" s="6">
        <f t="shared" si="6"/>
        <v>160</v>
      </c>
      <c r="L113" s="6">
        <f t="shared" si="7"/>
        <v>526463</v>
      </c>
      <c r="M113" s="6">
        <v>132.80000000000001</v>
      </c>
      <c r="N113" s="6">
        <v>100.1</v>
      </c>
      <c r="O113" s="6">
        <v>100.4</v>
      </c>
    </row>
    <row r="114" spans="1:15" x14ac:dyDescent="0.2">
      <c r="A114" s="6" t="b">
        <v>0</v>
      </c>
      <c r="B114" s="6" t="s">
        <v>186</v>
      </c>
      <c r="C114" s="6" t="s">
        <v>384</v>
      </c>
      <c r="D114" s="6" t="s">
        <v>0</v>
      </c>
      <c r="E114" s="6"/>
      <c r="F114" s="6" t="s">
        <v>385</v>
      </c>
      <c r="G114" s="6" t="s">
        <v>535</v>
      </c>
      <c r="H114" s="6">
        <v>1.7000000000000001E-2</v>
      </c>
      <c r="I114" s="6">
        <v>55666.62</v>
      </c>
      <c r="J114" s="6">
        <v>10</v>
      </c>
      <c r="K114" s="6">
        <f t="shared" si="6"/>
        <v>170</v>
      </c>
      <c r="L114" s="6">
        <f t="shared" si="7"/>
        <v>556666.20000000007</v>
      </c>
      <c r="M114" s="6">
        <v>143.5</v>
      </c>
      <c r="N114" s="6">
        <v>93.8</v>
      </c>
      <c r="O114" s="6">
        <v>102.4</v>
      </c>
    </row>
    <row r="115" spans="1:15" x14ac:dyDescent="0.2">
      <c r="A115" s="6" t="b">
        <v>0</v>
      </c>
      <c r="B115" s="6" t="s">
        <v>189</v>
      </c>
      <c r="C115" s="6" t="s">
        <v>387</v>
      </c>
      <c r="D115" s="6" t="s">
        <v>0</v>
      </c>
      <c r="E115" s="6"/>
      <c r="F115" s="6" t="s">
        <v>388</v>
      </c>
      <c r="G115" s="6" t="s">
        <v>536</v>
      </c>
      <c r="H115" s="6">
        <v>1.7000000000000001E-2</v>
      </c>
      <c r="I115" s="6">
        <v>54304.08</v>
      </c>
      <c r="J115" s="6">
        <v>10</v>
      </c>
      <c r="K115" s="6">
        <f t="shared" si="6"/>
        <v>170</v>
      </c>
      <c r="L115" s="6">
        <f t="shared" si="7"/>
        <v>543040.80000000005</v>
      </c>
      <c r="M115" s="6">
        <v>76.099999999999994</v>
      </c>
      <c r="N115" s="6">
        <v>86</v>
      </c>
      <c r="O115" s="6">
        <v>78.3</v>
      </c>
    </row>
    <row r="116" spans="1:15" x14ac:dyDescent="0.2">
      <c r="A116" s="6" t="b">
        <v>0</v>
      </c>
      <c r="B116" s="6" t="s">
        <v>390</v>
      </c>
      <c r="C116" s="6" t="s">
        <v>391</v>
      </c>
      <c r="D116" s="6" t="s">
        <v>0</v>
      </c>
      <c r="E116" s="6"/>
      <c r="F116" s="6" t="s">
        <v>392</v>
      </c>
      <c r="G116" s="6" t="s">
        <v>537</v>
      </c>
      <c r="H116" s="6">
        <v>0.10199999999999999</v>
      </c>
      <c r="I116" s="6">
        <v>330318.24</v>
      </c>
      <c r="J116" s="6">
        <v>10</v>
      </c>
      <c r="K116" s="6">
        <f t="shared" si="6"/>
        <v>1020</v>
      </c>
      <c r="L116" s="6">
        <f t="shared" si="7"/>
        <v>3303182.4</v>
      </c>
      <c r="M116" s="6">
        <v>128.4</v>
      </c>
      <c r="N116" s="6">
        <v>104.7</v>
      </c>
      <c r="O116" s="6">
        <v>107.8</v>
      </c>
    </row>
    <row r="117" spans="1:15" x14ac:dyDescent="0.2">
      <c r="A117" s="6" t="b">
        <v>0</v>
      </c>
      <c r="B117" s="6" t="s">
        <v>195</v>
      </c>
      <c r="C117" s="6" t="s">
        <v>394</v>
      </c>
      <c r="D117" s="6" t="s">
        <v>0</v>
      </c>
      <c r="E117" s="6"/>
      <c r="F117" s="6" t="s">
        <v>395</v>
      </c>
      <c r="G117" s="6" t="s">
        <v>538</v>
      </c>
      <c r="H117" s="6">
        <v>0.10299999999999999</v>
      </c>
      <c r="I117" s="6">
        <v>332953.38</v>
      </c>
      <c r="J117" s="6">
        <v>10</v>
      </c>
      <c r="K117" s="6">
        <f t="shared" si="6"/>
        <v>1030</v>
      </c>
      <c r="L117" s="6">
        <f t="shared" si="7"/>
        <v>3329533.8</v>
      </c>
      <c r="M117" s="6">
        <v>149.30000000000001</v>
      </c>
      <c r="N117" s="6">
        <v>111.7</v>
      </c>
      <c r="O117" s="6">
        <v>113.5</v>
      </c>
    </row>
    <row r="118" spans="1:15" x14ac:dyDescent="0.2">
      <c r="A118" s="6" t="b">
        <v>0</v>
      </c>
      <c r="B118" s="6" t="s">
        <v>198</v>
      </c>
      <c r="C118" s="6" t="s">
        <v>397</v>
      </c>
      <c r="D118" s="6" t="s">
        <v>0</v>
      </c>
      <c r="E118" s="6"/>
      <c r="F118" s="6" t="s">
        <v>398</v>
      </c>
      <c r="G118" s="6" t="s">
        <v>539</v>
      </c>
      <c r="H118" s="6">
        <v>0.10100000000000001</v>
      </c>
      <c r="I118" s="6">
        <v>327301.06</v>
      </c>
      <c r="J118" s="6">
        <v>10</v>
      </c>
      <c r="K118" s="6">
        <f t="shared" si="6"/>
        <v>1010</v>
      </c>
      <c r="L118" s="6">
        <f t="shared" si="7"/>
        <v>3273010.6</v>
      </c>
      <c r="M118" s="6">
        <v>132.69999999999999</v>
      </c>
      <c r="N118" s="6">
        <v>101.3</v>
      </c>
      <c r="O118" s="6">
        <v>103.6</v>
      </c>
    </row>
    <row r="119" spans="1:15" x14ac:dyDescent="0.2">
      <c r="A119" s="6" t="b">
        <v>0</v>
      </c>
      <c r="B119" s="6" t="s">
        <v>201</v>
      </c>
      <c r="C119" s="6" t="s">
        <v>399</v>
      </c>
      <c r="D119" s="6" t="s">
        <v>0</v>
      </c>
      <c r="E119" s="6"/>
      <c r="F119" s="6" t="s">
        <v>400</v>
      </c>
      <c r="G119" s="6" t="s">
        <v>540</v>
      </c>
      <c r="H119" s="6">
        <v>0.53300000000000003</v>
      </c>
      <c r="I119" s="6">
        <v>1728414.68</v>
      </c>
      <c r="J119" s="6">
        <v>20</v>
      </c>
      <c r="K119" s="6">
        <f t="shared" si="6"/>
        <v>10660</v>
      </c>
      <c r="L119" s="6">
        <f t="shared" si="7"/>
        <v>34568293.600000001</v>
      </c>
      <c r="M119" s="6">
        <v>117.8</v>
      </c>
      <c r="N119" s="6">
        <v>95.8</v>
      </c>
      <c r="O119" s="6">
        <v>101.7</v>
      </c>
    </row>
    <row r="120" spans="1:15" x14ac:dyDescent="0.2">
      <c r="A120" s="6" t="b">
        <v>0</v>
      </c>
      <c r="B120" s="6" t="s">
        <v>401</v>
      </c>
      <c r="C120" s="6" t="s">
        <v>402</v>
      </c>
      <c r="D120" s="6" t="s">
        <v>9</v>
      </c>
      <c r="E120" s="6"/>
      <c r="F120" s="16" t="s">
        <v>10</v>
      </c>
      <c r="G120" s="16" t="s">
        <v>230</v>
      </c>
      <c r="H120" s="6">
        <v>0</v>
      </c>
      <c r="I120" s="6">
        <v>452.88</v>
      </c>
      <c r="J120" s="6">
        <v>1</v>
      </c>
      <c r="K120" s="6">
        <f t="shared" si="6"/>
        <v>0</v>
      </c>
      <c r="L120" s="6">
        <f t="shared" si="7"/>
        <v>452.88</v>
      </c>
      <c r="M120" s="6">
        <v>105.4</v>
      </c>
      <c r="N120" s="6">
        <v>95</v>
      </c>
      <c r="O120" s="6">
        <v>103.8</v>
      </c>
    </row>
    <row r="121" spans="1:15" x14ac:dyDescent="0.2">
      <c r="A121" s="6" t="b">
        <v>0</v>
      </c>
      <c r="B121" s="6" t="s">
        <v>404</v>
      </c>
      <c r="C121" s="6" t="s">
        <v>405</v>
      </c>
      <c r="D121" s="6" t="s">
        <v>150</v>
      </c>
      <c r="E121" s="6"/>
      <c r="F121" s="6" t="s">
        <v>150</v>
      </c>
      <c r="G121" s="6" t="s">
        <v>244</v>
      </c>
      <c r="H121" s="6">
        <v>1.21</v>
      </c>
      <c r="I121" s="6">
        <v>3926745.66</v>
      </c>
      <c r="J121" s="6">
        <v>1</v>
      </c>
      <c r="K121" s="6">
        <f t="shared" si="6"/>
        <v>1210</v>
      </c>
      <c r="L121" s="6">
        <f t="shared" si="7"/>
        <v>3926745.66</v>
      </c>
      <c r="M121" s="6">
        <v>99.4</v>
      </c>
      <c r="N121" s="6">
        <v>81.8</v>
      </c>
      <c r="O121" s="6">
        <v>80.099999999999994</v>
      </c>
    </row>
    <row r="122" spans="1:15" x14ac:dyDescent="0.2">
      <c r="A122" s="6" t="b">
        <v>0</v>
      </c>
      <c r="B122" s="6" t="s">
        <v>210</v>
      </c>
      <c r="C122" s="6" t="s">
        <v>406</v>
      </c>
      <c r="D122" s="6" t="s">
        <v>9</v>
      </c>
      <c r="E122" s="6"/>
      <c r="F122" s="16" t="s">
        <v>10</v>
      </c>
      <c r="G122" s="16" t="s">
        <v>230</v>
      </c>
      <c r="H122" s="6">
        <v>0</v>
      </c>
      <c r="I122" s="6">
        <v>245.72</v>
      </c>
      <c r="J122" s="6">
        <v>1</v>
      </c>
      <c r="K122" s="6">
        <f t="shared" si="6"/>
        <v>0</v>
      </c>
      <c r="L122" s="6">
        <f t="shared" si="7"/>
        <v>245.72</v>
      </c>
      <c r="M122" s="6">
        <v>106.4</v>
      </c>
      <c r="N122" s="6">
        <v>103.8</v>
      </c>
      <c r="O122" s="6">
        <v>107.5</v>
      </c>
    </row>
    <row r="123" spans="1:15" x14ac:dyDescent="0.2">
      <c r="A123" s="6" t="b">
        <v>0</v>
      </c>
      <c r="B123" s="6" t="s">
        <v>408</v>
      </c>
      <c r="C123" s="6" t="s">
        <v>409</v>
      </c>
      <c r="D123" s="6" t="s">
        <v>0</v>
      </c>
      <c r="E123" s="6"/>
      <c r="F123" s="6" t="s">
        <v>410</v>
      </c>
      <c r="G123" s="6" t="s">
        <v>541</v>
      </c>
      <c r="H123" s="6">
        <v>0.503</v>
      </c>
      <c r="I123" s="6">
        <v>1630559.62</v>
      </c>
      <c r="J123" s="6">
        <v>20</v>
      </c>
      <c r="K123" s="6">
        <f t="shared" si="6"/>
        <v>10060</v>
      </c>
      <c r="L123" s="6">
        <f t="shared" si="7"/>
        <v>32611192.400000002</v>
      </c>
      <c r="M123" s="6">
        <v>131.69999999999999</v>
      </c>
      <c r="N123" s="6">
        <v>96.8</v>
      </c>
      <c r="O123" s="6">
        <v>106.9</v>
      </c>
    </row>
    <row r="124" spans="1:15" x14ac:dyDescent="0.2">
      <c r="A124" s="6" t="b">
        <v>0</v>
      </c>
      <c r="B124" s="6" t="s">
        <v>412</v>
      </c>
      <c r="C124" s="6" t="s">
        <v>413</v>
      </c>
      <c r="D124" s="6" t="s">
        <v>0</v>
      </c>
      <c r="E124" s="6"/>
      <c r="F124" s="6" t="s">
        <v>414</v>
      </c>
      <c r="G124" s="6" t="s">
        <v>542</v>
      </c>
      <c r="H124" s="6">
        <v>0.52500000000000002</v>
      </c>
      <c r="I124" s="6">
        <v>1704906.54</v>
      </c>
      <c r="J124" s="6">
        <v>20</v>
      </c>
      <c r="K124" s="6">
        <f t="shared" si="6"/>
        <v>10500</v>
      </c>
      <c r="L124" s="6">
        <f t="shared" si="7"/>
        <v>34098130.799999997</v>
      </c>
      <c r="M124" s="6">
        <v>124.4</v>
      </c>
      <c r="N124" s="6">
        <v>101</v>
      </c>
      <c r="O124" s="6">
        <v>106.6</v>
      </c>
    </row>
    <row r="125" spans="1:15" x14ac:dyDescent="0.2">
      <c r="A125" s="6" t="b">
        <v>0</v>
      </c>
      <c r="B125" s="6" t="s">
        <v>415</v>
      </c>
      <c r="C125" s="6" t="s">
        <v>416</v>
      </c>
      <c r="D125" s="6" t="s">
        <v>0</v>
      </c>
      <c r="E125" s="6"/>
      <c r="F125" s="6" t="s">
        <v>417</v>
      </c>
      <c r="G125" s="6" t="s">
        <v>543</v>
      </c>
      <c r="H125" s="6">
        <v>4.6820000000000004</v>
      </c>
      <c r="I125" s="6">
        <v>15191554.949999999</v>
      </c>
      <c r="J125" s="6">
        <v>20</v>
      </c>
      <c r="K125" s="6">
        <f t="shared" si="6"/>
        <v>93640.000000000015</v>
      </c>
      <c r="L125" s="6">
        <f t="shared" si="7"/>
        <v>303831099</v>
      </c>
      <c r="M125" s="6">
        <v>103</v>
      </c>
      <c r="N125" s="6">
        <v>88.3</v>
      </c>
      <c r="O125" s="6">
        <v>89.4</v>
      </c>
    </row>
    <row r="126" spans="1:15" x14ac:dyDescent="0.2">
      <c r="A126" s="6" t="b">
        <v>0</v>
      </c>
      <c r="B126" s="6" t="s">
        <v>418</v>
      </c>
      <c r="C126" s="6" t="s">
        <v>419</v>
      </c>
      <c r="D126" s="6" t="s">
        <v>0</v>
      </c>
      <c r="E126" s="6"/>
      <c r="F126" s="6" t="s">
        <v>420</v>
      </c>
      <c r="G126" s="6" t="s">
        <v>544</v>
      </c>
      <c r="H126" s="6">
        <v>4.9820000000000002</v>
      </c>
      <c r="I126" s="6">
        <v>16164728.51</v>
      </c>
      <c r="J126" s="6">
        <v>20</v>
      </c>
      <c r="K126" s="6">
        <f t="shared" si="6"/>
        <v>99640</v>
      </c>
      <c r="L126" s="6">
        <f t="shared" si="7"/>
        <v>323294570.19999999</v>
      </c>
      <c r="M126" s="6">
        <v>110</v>
      </c>
      <c r="N126" s="6">
        <v>103</v>
      </c>
      <c r="O126" s="6">
        <v>107.4</v>
      </c>
    </row>
    <row r="127" spans="1:15" x14ac:dyDescent="0.2">
      <c r="A127" s="6" t="b">
        <v>0</v>
      </c>
      <c r="B127" s="6" t="s">
        <v>422</v>
      </c>
      <c r="C127" s="6" t="s">
        <v>423</v>
      </c>
      <c r="D127" s="6" t="s">
        <v>0</v>
      </c>
      <c r="E127" s="6"/>
      <c r="F127" s="6" t="s">
        <v>424</v>
      </c>
      <c r="G127" s="6" t="s">
        <v>545</v>
      </c>
      <c r="H127" s="6">
        <v>5.0979999999999999</v>
      </c>
      <c r="I127" s="6">
        <v>16541630.83</v>
      </c>
      <c r="J127" s="6">
        <v>20</v>
      </c>
      <c r="K127" s="6">
        <f t="shared" si="6"/>
        <v>101960</v>
      </c>
      <c r="L127" s="6">
        <f t="shared" si="7"/>
        <v>330832616.60000002</v>
      </c>
      <c r="M127" s="6">
        <v>89.4</v>
      </c>
      <c r="N127" s="6">
        <v>83.8</v>
      </c>
      <c r="O127" s="6">
        <v>79</v>
      </c>
    </row>
    <row r="128" spans="1:15" x14ac:dyDescent="0.2">
      <c r="A128" s="6" t="b">
        <v>0</v>
      </c>
      <c r="B128" s="6" t="s">
        <v>425</v>
      </c>
      <c r="C128" s="6" t="s">
        <v>426</v>
      </c>
      <c r="D128" s="6" t="s">
        <v>9</v>
      </c>
      <c r="E128" s="6"/>
      <c r="F128" s="16" t="s">
        <v>10</v>
      </c>
      <c r="G128" s="16" t="s">
        <v>230</v>
      </c>
      <c r="H128" s="6">
        <v>0</v>
      </c>
      <c r="I128" s="6">
        <v>368.59</v>
      </c>
      <c r="J128" s="6">
        <v>1</v>
      </c>
      <c r="K128" s="6">
        <f t="shared" si="6"/>
        <v>0</v>
      </c>
      <c r="L128" s="6">
        <f t="shared" si="7"/>
        <v>368.59</v>
      </c>
      <c r="M128" s="6">
        <v>108.3</v>
      </c>
      <c r="N128" s="6">
        <v>109.9</v>
      </c>
      <c r="O128" s="6">
        <v>114.3</v>
      </c>
    </row>
    <row r="129" spans="1:15" x14ac:dyDescent="0.2">
      <c r="A129" s="6" t="b">
        <v>0</v>
      </c>
      <c r="B129" s="6" t="s">
        <v>427</v>
      </c>
      <c r="C129" s="6" t="s">
        <v>428</v>
      </c>
      <c r="D129" s="6" t="s">
        <v>9</v>
      </c>
      <c r="E129" s="6"/>
      <c r="F129" s="16" t="s">
        <v>10</v>
      </c>
      <c r="G129" s="16" t="s">
        <v>230</v>
      </c>
      <c r="H129" s="6">
        <v>0</v>
      </c>
      <c r="I129" s="6">
        <v>334.3</v>
      </c>
      <c r="J129" s="6">
        <v>1</v>
      </c>
      <c r="K129" s="6">
        <f t="shared" si="6"/>
        <v>0</v>
      </c>
      <c r="L129" s="6">
        <f t="shared" si="7"/>
        <v>334.3</v>
      </c>
      <c r="M129" s="6">
        <v>104.2</v>
      </c>
      <c r="N129" s="6">
        <v>92.1</v>
      </c>
      <c r="O129" s="6">
        <v>97.7</v>
      </c>
    </row>
    <row r="130" spans="1:15" x14ac:dyDescent="0.2">
      <c r="A130" s="6" t="b">
        <v>0</v>
      </c>
      <c r="B130" s="6" t="s">
        <v>429</v>
      </c>
      <c r="C130" s="6" t="s">
        <v>430</v>
      </c>
      <c r="D130" s="6" t="s">
        <v>0</v>
      </c>
      <c r="E130" s="6"/>
      <c r="F130" s="6" t="s">
        <v>431</v>
      </c>
      <c r="G130" s="6" t="s">
        <v>546</v>
      </c>
      <c r="H130" s="6">
        <v>1E-3</v>
      </c>
      <c r="I130" s="6">
        <v>2433.16</v>
      </c>
      <c r="J130" s="6">
        <v>2.5</v>
      </c>
      <c r="K130" s="6">
        <f>H130*J130*1000</f>
        <v>2.5</v>
      </c>
      <c r="L130" s="6">
        <f t="shared" si="7"/>
        <v>6082.9</v>
      </c>
      <c r="M130" s="6">
        <v>98.3</v>
      </c>
      <c r="N130" s="6">
        <v>95.8</v>
      </c>
      <c r="O130" s="6">
        <v>99.8</v>
      </c>
    </row>
    <row r="131" spans="1:15" x14ac:dyDescent="0.2">
      <c r="A131" s="6" t="b">
        <v>0</v>
      </c>
      <c r="B131" s="6" t="s">
        <v>432</v>
      </c>
      <c r="C131" s="6" t="s">
        <v>433</v>
      </c>
      <c r="D131" s="6" t="s">
        <v>0</v>
      </c>
      <c r="E131" s="6"/>
      <c r="F131" s="6" t="s">
        <v>434</v>
      </c>
      <c r="G131" s="6" t="s">
        <v>547</v>
      </c>
      <c r="H131" s="6">
        <v>1E-3</v>
      </c>
      <c r="I131" s="6">
        <v>3527.7</v>
      </c>
      <c r="J131" s="6">
        <v>2.5</v>
      </c>
      <c r="K131" s="6">
        <f t="shared" si="6"/>
        <v>2.5</v>
      </c>
      <c r="L131" s="6">
        <f t="shared" si="7"/>
        <v>8819.25</v>
      </c>
      <c r="M131" s="6">
        <v>119.9</v>
      </c>
      <c r="N131" s="6">
        <v>106.9</v>
      </c>
      <c r="O131" s="6">
        <v>106.9</v>
      </c>
    </row>
    <row r="132" spans="1:15" x14ac:dyDescent="0.2">
      <c r="A132" s="6" t="b">
        <v>0</v>
      </c>
      <c r="B132" s="6" t="s">
        <v>435</v>
      </c>
      <c r="C132" s="6" t="s">
        <v>436</v>
      </c>
      <c r="D132" s="6" t="s">
        <v>0</v>
      </c>
      <c r="E132" s="6"/>
      <c r="F132" s="6" t="s">
        <v>437</v>
      </c>
      <c r="G132" s="6" t="s">
        <v>548</v>
      </c>
      <c r="H132" s="6">
        <v>1E-3</v>
      </c>
      <c r="I132" s="6">
        <v>2684.64</v>
      </c>
      <c r="J132" s="6">
        <v>2.5</v>
      </c>
      <c r="K132" s="6">
        <f t="shared" si="6"/>
        <v>2.5</v>
      </c>
      <c r="L132" s="6">
        <f t="shared" si="7"/>
        <v>6711.5999999999995</v>
      </c>
      <c r="M132" s="6">
        <v>106.1</v>
      </c>
      <c r="N132" s="6">
        <v>87.1</v>
      </c>
      <c r="O132" s="6">
        <v>96.9</v>
      </c>
    </row>
    <row r="133" spans="1:15" x14ac:dyDescent="0.2">
      <c r="A133" s="6" t="b">
        <v>0</v>
      </c>
      <c r="B133" s="6" t="s">
        <v>438</v>
      </c>
      <c r="C133" s="6" t="s">
        <v>439</v>
      </c>
      <c r="D133" s="6" t="s">
        <v>0</v>
      </c>
      <c r="E133" s="6"/>
      <c r="F133" s="6" t="s">
        <v>440</v>
      </c>
      <c r="G133" s="6" t="s">
        <v>549</v>
      </c>
      <c r="H133" s="6">
        <v>1E-3</v>
      </c>
      <c r="I133" s="6">
        <v>3333.36</v>
      </c>
      <c r="J133" s="6">
        <v>2.5</v>
      </c>
      <c r="K133" s="6">
        <f t="shared" si="6"/>
        <v>2.5</v>
      </c>
      <c r="L133" s="6">
        <f t="shared" si="7"/>
        <v>8333.4</v>
      </c>
      <c r="M133" s="6">
        <v>100.1</v>
      </c>
      <c r="N133" s="6">
        <v>99.8</v>
      </c>
      <c r="O133" s="6">
        <v>102.4</v>
      </c>
    </row>
    <row r="134" spans="1:15" x14ac:dyDescent="0.2">
      <c r="A134" s="6" t="b">
        <v>0</v>
      </c>
      <c r="B134" s="6" t="s">
        <v>442</v>
      </c>
      <c r="C134" s="6" t="s">
        <v>443</v>
      </c>
      <c r="D134" s="6" t="s">
        <v>0</v>
      </c>
      <c r="E134" s="6"/>
      <c r="F134" s="6" t="s">
        <v>444</v>
      </c>
      <c r="G134" s="6" t="s">
        <v>550</v>
      </c>
      <c r="H134" s="6">
        <v>1E-3</v>
      </c>
      <c r="I134" s="6">
        <v>3826.35</v>
      </c>
      <c r="J134" s="6">
        <v>2.5</v>
      </c>
      <c r="K134" s="6">
        <f t="shared" si="6"/>
        <v>2.5</v>
      </c>
      <c r="L134" s="6">
        <f t="shared" si="7"/>
        <v>9565.875</v>
      </c>
      <c r="M134" s="6">
        <v>125.4</v>
      </c>
      <c r="N134" s="6">
        <v>105.1</v>
      </c>
      <c r="O134" s="6">
        <v>110.4</v>
      </c>
    </row>
    <row r="135" spans="1:15" x14ac:dyDescent="0.2">
      <c r="A135" s="6" t="b">
        <v>0</v>
      </c>
      <c r="B135" s="6" t="s">
        <v>445</v>
      </c>
      <c r="C135" s="6" t="s">
        <v>446</v>
      </c>
      <c r="D135" s="6" t="s">
        <v>0</v>
      </c>
      <c r="E135" s="6"/>
      <c r="F135" s="6" t="s">
        <v>447</v>
      </c>
      <c r="G135" s="6" t="s">
        <v>551</v>
      </c>
      <c r="H135" s="6">
        <v>1E-3</v>
      </c>
      <c r="I135" s="6">
        <v>4458.01</v>
      </c>
      <c r="J135" s="6">
        <v>2.5</v>
      </c>
      <c r="K135" s="6">
        <f t="shared" si="6"/>
        <v>2.5</v>
      </c>
      <c r="L135" s="6">
        <f t="shared" si="7"/>
        <v>11145.025000000001</v>
      </c>
      <c r="M135" s="6">
        <v>118.7</v>
      </c>
      <c r="N135" s="6">
        <v>104</v>
      </c>
      <c r="O135" s="6">
        <v>104</v>
      </c>
    </row>
    <row r="136" spans="1:15" x14ac:dyDescent="0.2">
      <c r="A136" s="6" t="b">
        <v>0</v>
      </c>
      <c r="B136" s="6" t="s">
        <v>448</v>
      </c>
      <c r="C136" s="6" t="s">
        <v>449</v>
      </c>
      <c r="D136" s="6" t="s">
        <v>0</v>
      </c>
      <c r="E136" s="6"/>
      <c r="F136" s="6" t="s">
        <v>450</v>
      </c>
      <c r="G136" s="6" t="s">
        <v>552</v>
      </c>
      <c r="H136" s="6">
        <v>1E-3</v>
      </c>
      <c r="I136" s="6">
        <v>3643.47</v>
      </c>
      <c r="J136" s="6">
        <v>2.5</v>
      </c>
      <c r="K136" s="6">
        <f t="shared" si="6"/>
        <v>2.5</v>
      </c>
      <c r="L136" s="6">
        <f t="shared" si="7"/>
        <v>9108.6749999999993</v>
      </c>
      <c r="M136" s="6">
        <v>114.6</v>
      </c>
      <c r="N136" s="6">
        <v>100.7</v>
      </c>
      <c r="O136" s="6">
        <v>107.3</v>
      </c>
    </row>
    <row r="137" spans="1:15" x14ac:dyDescent="0.2">
      <c r="A137" s="6" t="b">
        <v>0</v>
      </c>
      <c r="B137" s="6" t="s">
        <v>451</v>
      </c>
      <c r="C137" s="6" t="s">
        <v>452</v>
      </c>
      <c r="D137" s="6" t="s">
        <v>0</v>
      </c>
      <c r="E137" s="6"/>
      <c r="F137" s="6" t="s">
        <v>453</v>
      </c>
      <c r="G137" s="6" t="s">
        <v>553</v>
      </c>
      <c r="H137" s="6">
        <v>2.4E-2</v>
      </c>
      <c r="I137" s="6">
        <v>77736.509999999995</v>
      </c>
      <c r="J137" s="6">
        <v>2.5</v>
      </c>
      <c r="K137" s="6">
        <f t="shared" si="6"/>
        <v>60</v>
      </c>
      <c r="L137" s="6">
        <f t="shared" si="7"/>
        <v>194341.27499999999</v>
      </c>
      <c r="M137" s="6">
        <v>106.1</v>
      </c>
      <c r="N137" s="6">
        <v>95.9</v>
      </c>
      <c r="O137" s="6">
        <v>102.2</v>
      </c>
    </row>
    <row r="138" spans="1:15" x14ac:dyDescent="0.2">
      <c r="A138" s="6" t="b">
        <v>0</v>
      </c>
      <c r="B138" s="6" t="s">
        <v>455</v>
      </c>
      <c r="C138" s="6" t="s">
        <v>456</v>
      </c>
      <c r="D138" s="6" t="s">
        <v>0</v>
      </c>
      <c r="E138" s="6"/>
      <c r="F138" s="6" t="s">
        <v>457</v>
      </c>
      <c r="G138" s="6" t="s">
        <v>554</v>
      </c>
      <c r="H138" s="6">
        <v>2.4E-2</v>
      </c>
      <c r="I138" s="6">
        <v>76833.98</v>
      </c>
      <c r="J138" s="6">
        <v>2.5</v>
      </c>
      <c r="K138" s="6">
        <f t="shared" si="6"/>
        <v>60</v>
      </c>
      <c r="L138" s="6">
        <f t="shared" si="7"/>
        <v>192084.94999999998</v>
      </c>
      <c r="M138" s="6">
        <v>124</v>
      </c>
      <c r="N138" s="6">
        <v>92.4</v>
      </c>
      <c r="O138" s="6">
        <v>102.2</v>
      </c>
    </row>
    <row r="139" spans="1:15" x14ac:dyDescent="0.2">
      <c r="A139" s="6" t="b">
        <v>0</v>
      </c>
      <c r="B139" s="6" t="s">
        <v>458</v>
      </c>
      <c r="C139" s="6" t="s">
        <v>459</v>
      </c>
      <c r="D139" s="6" t="s">
        <v>0</v>
      </c>
      <c r="E139" s="6"/>
      <c r="F139" s="6" t="s">
        <v>460</v>
      </c>
      <c r="G139" s="6" t="s">
        <v>555</v>
      </c>
      <c r="H139" s="6">
        <v>2.3E-2</v>
      </c>
      <c r="I139" s="6">
        <v>76146.19</v>
      </c>
      <c r="J139" s="6">
        <v>2.5</v>
      </c>
      <c r="K139" s="6">
        <f t="shared" si="6"/>
        <v>57.499999999999993</v>
      </c>
      <c r="L139" s="6">
        <f t="shared" si="7"/>
        <v>190365.47500000001</v>
      </c>
      <c r="M139" s="6">
        <v>115.6</v>
      </c>
      <c r="N139" s="6">
        <v>95</v>
      </c>
      <c r="O139" s="6">
        <v>103.6</v>
      </c>
    </row>
    <row r="140" spans="1:15" x14ac:dyDescent="0.2">
      <c r="A140" s="6" t="b">
        <v>0</v>
      </c>
      <c r="B140" s="6" t="s">
        <v>461</v>
      </c>
      <c r="C140" s="6" t="s">
        <v>462</v>
      </c>
      <c r="D140" s="6" t="s">
        <v>0</v>
      </c>
      <c r="E140" s="6"/>
      <c r="F140" s="6" t="s">
        <v>463</v>
      </c>
      <c r="G140" s="6" t="s">
        <v>556</v>
      </c>
      <c r="H140" s="6">
        <v>0.19900000000000001</v>
      </c>
      <c r="I140" s="6">
        <v>645690.68999999994</v>
      </c>
      <c r="J140" s="6">
        <v>2.5</v>
      </c>
      <c r="K140" s="6">
        <f t="shared" si="6"/>
        <v>497.50000000000006</v>
      </c>
      <c r="L140" s="6">
        <f t="shared" si="7"/>
        <v>1614226.7249999999</v>
      </c>
      <c r="M140" s="6">
        <v>120.5</v>
      </c>
      <c r="N140" s="6">
        <v>107.2</v>
      </c>
      <c r="O140" s="6">
        <v>113.4</v>
      </c>
    </row>
    <row r="141" spans="1:15" x14ac:dyDescent="0.2">
      <c r="A141" s="6" t="b">
        <v>0</v>
      </c>
      <c r="B141" s="6" t="s">
        <v>464</v>
      </c>
      <c r="C141" s="6" t="s">
        <v>465</v>
      </c>
      <c r="D141" s="6" t="s">
        <v>9</v>
      </c>
      <c r="E141" s="6"/>
      <c r="F141" s="16" t="s">
        <v>10</v>
      </c>
      <c r="G141" s="16" t="s">
        <v>230</v>
      </c>
      <c r="H141" s="6">
        <v>0</v>
      </c>
      <c r="I141" s="6">
        <v>264.3</v>
      </c>
      <c r="J141" s="6">
        <v>1</v>
      </c>
      <c r="K141" s="6">
        <f t="shared" si="6"/>
        <v>0</v>
      </c>
      <c r="L141" s="6">
        <f t="shared" si="7"/>
        <v>264.3</v>
      </c>
      <c r="M141" s="6">
        <v>110.8</v>
      </c>
      <c r="N141" s="6">
        <v>103.7</v>
      </c>
      <c r="O141" s="6">
        <v>109.9</v>
      </c>
    </row>
    <row r="142" spans="1:15" x14ac:dyDescent="0.2">
      <c r="A142" s="6" t="b">
        <v>0</v>
      </c>
      <c r="B142" s="6" t="s">
        <v>466</v>
      </c>
      <c r="C142" s="6" t="s">
        <v>467</v>
      </c>
      <c r="D142" s="6" t="s">
        <v>150</v>
      </c>
      <c r="E142" s="6"/>
      <c r="F142" s="6" t="s">
        <v>150</v>
      </c>
      <c r="G142" s="6" t="s">
        <v>244</v>
      </c>
      <c r="H142" s="6">
        <v>1.18</v>
      </c>
      <c r="I142" s="6">
        <v>3827552.31</v>
      </c>
      <c r="J142" s="6">
        <v>1</v>
      </c>
      <c r="K142" s="6">
        <f t="shared" si="6"/>
        <v>1180</v>
      </c>
      <c r="L142" s="6">
        <f t="shared" si="7"/>
        <v>3827552.31</v>
      </c>
      <c r="M142" s="6">
        <v>113.9</v>
      </c>
      <c r="N142" s="6">
        <v>119.4</v>
      </c>
      <c r="O142" s="6">
        <v>111.3</v>
      </c>
    </row>
    <row r="143" spans="1:15" x14ac:dyDescent="0.2">
      <c r="A143" s="6" t="b">
        <v>0</v>
      </c>
      <c r="B143" s="6" t="s">
        <v>468</v>
      </c>
      <c r="C143" s="6" t="s">
        <v>469</v>
      </c>
      <c r="D143" s="6" t="s">
        <v>9</v>
      </c>
      <c r="E143" s="6"/>
      <c r="F143" s="16" t="s">
        <v>10</v>
      </c>
      <c r="G143" s="16" t="s">
        <v>230</v>
      </c>
      <c r="H143" s="6">
        <v>0</v>
      </c>
      <c r="I143" s="6">
        <v>262.87</v>
      </c>
      <c r="J143" s="6">
        <v>1</v>
      </c>
      <c r="K143" s="6">
        <f t="shared" si="6"/>
        <v>0</v>
      </c>
      <c r="L143" s="6">
        <f t="shared" si="7"/>
        <v>262.87</v>
      </c>
      <c r="M143" s="6">
        <v>99.7</v>
      </c>
      <c r="N143" s="6">
        <v>92.4</v>
      </c>
      <c r="O143" s="6">
        <v>97.4</v>
      </c>
    </row>
    <row r="144" spans="1:15" x14ac:dyDescent="0.2">
      <c r="A144" s="6" t="b">
        <v>0</v>
      </c>
      <c r="B144" s="6" t="s">
        <v>470</v>
      </c>
      <c r="C144" s="6" t="s">
        <v>471</v>
      </c>
      <c r="D144" s="6" t="s">
        <v>0</v>
      </c>
      <c r="E144" s="6"/>
      <c r="F144" s="6" t="s">
        <v>472</v>
      </c>
      <c r="G144" s="6" t="s">
        <v>557</v>
      </c>
      <c r="H144" s="6">
        <v>0.186</v>
      </c>
      <c r="I144" s="6">
        <v>602467.02</v>
      </c>
      <c r="J144" s="6">
        <v>2.5</v>
      </c>
      <c r="K144" s="6">
        <f t="shared" si="6"/>
        <v>464.99999999999994</v>
      </c>
      <c r="L144" s="6">
        <f t="shared" si="7"/>
        <v>1506167.55</v>
      </c>
      <c r="M144" s="6">
        <v>116.3</v>
      </c>
      <c r="N144" s="6">
        <v>96.5</v>
      </c>
      <c r="O144" s="6">
        <v>104.6</v>
      </c>
    </row>
    <row r="145" spans="1:15" x14ac:dyDescent="0.2">
      <c r="A145" s="6" t="b">
        <v>0</v>
      </c>
      <c r="B145" s="6" t="s">
        <v>473</v>
      </c>
      <c r="C145" s="6" t="s">
        <v>474</v>
      </c>
      <c r="D145" s="6" t="s">
        <v>0</v>
      </c>
      <c r="E145" s="6"/>
      <c r="F145" s="6" t="s">
        <v>475</v>
      </c>
      <c r="G145" s="6" t="s">
        <v>558</v>
      </c>
      <c r="H145" s="6">
        <v>0.17299999999999999</v>
      </c>
      <c r="I145" s="6">
        <v>560655.4</v>
      </c>
      <c r="J145" s="6">
        <v>2.5</v>
      </c>
      <c r="K145" s="6">
        <f t="shared" ref="K145:K153" si="8">H145*J145*1000</f>
        <v>432.5</v>
      </c>
      <c r="L145" s="6">
        <f t="shared" ref="L145:L153" si="9">I145*J145</f>
        <v>1401638.5</v>
      </c>
      <c r="M145" s="6">
        <v>112.8</v>
      </c>
      <c r="N145" s="6">
        <v>96.5</v>
      </c>
      <c r="O145" s="6">
        <v>104.4</v>
      </c>
    </row>
    <row r="146" spans="1:15" x14ac:dyDescent="0.2">
      <c r="A146" s="6" t="b">
        <v>0</v>
      </c>
      <c r="B146" s="6" t="s">
        <v>477</v>
      </c>
      <c r="C146" s="6" t="s">
        <v>478</v>
      </c>
      <c r="D146" s="6" t="s">
        <v>0</v>
      </c>
      <c r="E146" s="6"/>
      <c r="F146" s="6" t="s">
        <v>479</v>
      </c>
      <c r="G146" s="6" t="s">
        <v>559</v>
      </c>
      <c r="H146" s="6">
        <v>0.57799999999999996</v>
      </c>
      <c r="I146" s="6">
        <v>1876119.01</v>
      </c>
      <c r="J146" s="6">
        <v>2.5</v>
      </c>
      <c r="K146" s="6">
        <f t="shared" si="8"/>
        <v>1444.9999999999998</v>
      </c>
      <c r="L146" s="6">
        <f t="shared" si="9"/>
        <v>4690297.5250000004</v>
      </c>
      <c r="M146" s="6">
        <v>127.8</v>
      </c>
      <c r="N146" s="6">
        <v>92.4</v>
      </c>
      <c r="O146" s="6">
        <v>102.4</v>
      </c>
    </row>
    <row r="147" spans="1:15" x14ac:dyDescent="0.2">
      <c r="A147" s="6" t="b">
        <v>0</v>
      </c>
      <c r="B147" s="6" t="s">
        <v>481</v>
      </c>
      <c r="C147" s="6" t="s">
        <v>482</v>
      </c>
      <c r="D147" s="6" t="s">
        <v>0</v>
      </c>
      <c r="E147" s="6"/>
      <c r="F147" s="6" t="s">
        <v>483</v>
      </c>
      <c r="G147" s="6" t="s">
        <v>560</v>
      </c>
      <c r="H147" s="6">
        <v>0.65700000000000003</v>
      </c>
      <c r="I147" s="6">
        <v>2131326.7999999998</v>
      </c>
      <c r="J147" s="6">
        <v>2.5</v>
      </c>
      <c r="K147" s="6">
        <f t="shared" si="8"/>
        <v>1642.5</v>
      </c>
      <c r="L147" s="6">
        <f t="shared" si="9"/>
        <v>5328317</v>
      </c>
      <c r="M147" s="6">
        <v>104.4</v>
      </c>
      <c r="N147" s="6">
        <v>79.400000000000006</v>
      </c>
      <c r="O147" s="6">
        <v>81.599999999999994</v>
      </c>
    </row>
    <row r="148" spans="1:15" x14ac:dyDescent="0.2">
      <c r="A148" s="6" t="b">
        <v>0</v>
      </c>
      <c r="B148" s="6" t="s">
        <v>484</v>
      </c>
      <c r="C148" s="6" t="s">
        <v>485</v>
      </c>
      <c r="D148" s="6" t="s">
        <v>0</v>
      </c>
      <c r="E148" s="6"/>
      <c r="F148" s="6" t="s">
        <v>486</v>
      </c>
      <c r="G148" s="6" t="s">
        <v>561</v>
      </c>
      <c r="H148" s="6">
        <v>0.626</v>
      </c>
      <c r="I148" s="6">
        <v>2032415.77</v>
      </c>
      <c r="J148" s="6">
        <v>2.5</v>
      </c>
      <c r="K148" s="6">
        <f t="shared" si="8"/>
        <v>1565</v>
      </c>
      <c r="L148" s="6">
        <f t="shared" si="9"/>
        <v>5081039.4249999998</v>
      </c>
      <c r="M148" s="6">
        <v>112.9</v>
      </c>
      <c r="N148" s="6">
        <v>97.5</v>
      </c>
      <c r="O148" s="6">
        <v>101.8</v>
      </c>
    </row>
    <row r="149" spans="1:15" x14ac:dyDescent="0.2">
      <c r="A149" s="6" t="b">
        <v>0</v>
      </c>
      <c r="B149" s="6" t="s">
        <v>500</v>
      </c>
      <c r="C149" s="6" t="s">
        <v>501</v>
      </c>
      <c r="D149" s="6" t="s">
        <v>9</v>
      </c>
      <c r="E149" s="6"/>
      <c r="F149" s="16" t="s">
        <v>10</v>
      </c>
      <c r="G149" s="16" t="s">
        <v>230</v>
      </c>
      <c r="H149" s="6">
        <v>1E-3</v>
      </c>
      <c r="I149" s="6">
        <v>2846.11</v>
      </c>
      <c r="J149" s="6">
        <v>1</v>
      </c>
      <c r="K149" s="6">
        <f t="shared" si="8"/>
        <v>1</v>
      </c>
      <c r="L149" s="6">
        <f t="shared" si="9"/>
        <v>2846.11</v>
      </c>
      <c r="M149" s="6">
        <v>119.4</v>
      </c>
      <c r="N149" s="6">
        <v>105.6</v>
      </c>
      <c r="O149" s="6">
        <v>120.6</v>
      </c>
    </row>
    <row r="150" spans="1:15" x14ac:dyDescent="0.2">
      <c r="A150" s="6" t="b">
        <v>0</v>
      </c>
      <c r="B150" s="6" t="s">
        <v>502</v>
      </c>
      <c r="C150" s="6" t="s">
        <v>503</v>
      </c>
      <c r="D150" s="6" t="s">
        <v>9</v>
      </c>
      <c r="E150" s="6"/>
      <c r="F150" s="16" t="s">
        <v>10</v>
      </c>
      <c r="G150" s="16" t="s">
        <v>230</v>
      </c>
      <c r="H150" s="6">
        <v>0</v>
      </c>
      <c r="I150" s="6">
        <v>238.58</v>
      </c>
      <c r="J150" s="6">
        <v>1</v>
      </c>
      <c r="K150" s="6">
        <f t="shared" si="8"/>
        <v>0</v>
      </c>
      <c r="L150" s="6">
        <f t="shared" si="9"/>
        <v>238.58</v>
      </c>
      <c r="M150" s="6">
        <v>98.3</v>
      </c>
      <c r="N150" s="6">
        <v>85.6</v>
      </c>
      <c r="O150" s="6">
        <v>84.8</v>
      </c>
    </row>
    <row r="151" spans="1:15" x14ac:dyDescent="0.2">
      <c r="A151" s="6" t="b">
        <v>0</v>
      </c>
      <c r="B151" s="6" t="s">
        <v>505</v>
      </c>
      <c r="C151" s="6" t="s">
        <v>506</v>
      </c>
      <c r="D151" s="6" t="s">
        <v>150</v>
      </c>
      <c r="E151" s="6"/>
      <c r="F151" s="6" t="s">
        <v>150</v>
      </c>
      <c r="G151" s="6" t="s">
        <v>244</v>
      </c>
      <c r="H151" s="6">
        <v>1.1599999999999999</v>
      </c>
      <c r="I151" s="6">
        <v>3763786.42</v>
      </c>
      <c r="J151" s="6">
        <v>1</v>
      </c>
      <c r="K151" s="6">
        <f t="shared" si="8"/>
        <v>1160</v>
      </c>
      <c r="L151" s="6">
        <f t="shared" si="9"/>
        <v>3763786.42</v>
      </c>
      <c r="M151" s="6">
        <v>130.30000000000001</v>
      </c>
      <c r="N151" s="6">
        <v>106.4</v>
      </c>
      <c r="O151" s="6">
        <v>112.7</v>
      </c>
    </row>
    <row r="152" spans="1:15" x14ac:dyDescent="0.2">
      <c r="A152" s="6" t="b">
        <v>0</v>
      </c>
      <c r="B152" s="6" t="s">
        <v>508</v>
      </c>
      <c r="C152" s="6" t="s">
        <v>509</v>
      </c>
      <c r="D152" s="6" t="s">
        <v>9</v>
      </c>
      <c r="E152" s="6"/>
      <c r="F152" s="16" t="s">
        <v>10</v>
      </c>
      <c r="G152" s="16" t="s">
        <v>230</v>
      </c>
      <c r="H152" s="6">
        <v>0</v>
      </c>
      <c r="I152" s="6">
        <v>230.01</v>
      </c>
      <c r="J152" s="6">
        <v>1</v>
      </c>
      <c r="K152" s="6">
        <f t="shared" si="8"/>
        <v>0</v>
      </c>
      <c r="L152" s="6">
        <f t="shared" si="9"/>
        <v>230.01</v>
      </c>
      <c r="M152" s="6">
        <v>104.6</v>
      </c>
      <c r="N152" s="6">
        <v>103</v>
      </c>
      <c r="O152" s="6">
        <v>102.5</v>
      </c>
    </row>
    <row r="153" spans="1:15" x14ac:dyDescent="0.2">
      <c r="A153" s="6" t="b">
        <v>0</v>
      </c>
      <c r="B153" s="6" t="s">
        <v>510</v>
      </c>
      <c r="C153" s="6" t="s">
        <v>511</v>
      </c>
      <c r="D153" s="6" t="s">
        <v>9</v>
      </c>
      <c r="E153" s="6"/>
      <c r="F153" s="16" t="s">
        <v>10</v>
      </c>
      <c r="G153" s="16" t="s">
        <v>230</v>
      </c>
      <c r="H153" s="6">
        <v>0</v>
      </c>
      <c r="I153" s="6">
        <v>194.3</v>
      </c>
      <c r="J153" s="6">
        <v>1</v>
      </c>
      <c r="K153" s="6">
        <f t="shared" si="8"/>
        <v>0</v>
      </c>
      <c r="L153" s="6">
        <f t="shared" si="9"/>
        <v>194.3</v>
      </c>
      <c r="M153" s="6">
        <v>105.4</v>
      </c>
      <c r="N153" s="6">
        <v>91.2</v>
      </c>
      <c r="O153" s="6">
        <v>96.2</v>
      </c>
    </row>
    <row r="154" spans="1:15" x14ac:dyDescent="0.2">
      <c r="M154"/>
      <c r="N154"/>
      <c r="O154"/>
    </row>
    <row r="155" spans="1:15" x14ac:dyDescent="0.2">
      <c r="M155"/>
      <c r="N155"/>
      <c r="O155"/>
    </row>
    <row r="156" spans="1:15" x14ac:dyDescent="0.2">
      <c r="M156"/>
      <c r="N156"/>
      <c r="O156"/>
    </row>
    <row r="157" spans="1:15" x14ac:dyDescent="0.2">
      <c r="M157"/>
      <c r="N157"/>
      <c r="O157"/>
    </row>
    <row r="158" spans="1:15" x14ac:dyDescent="0.2">
      <c r="M158"/>
      <c r="N158"/>
      <c r="O158"/>
    </row>
    <row r="159" spans="1:15" x14ac:dyDescent="0.2">
      <c r="M159"/>
      <c r="N159"/>
      <c r="O159"/>
    </row>
    <row r="160" spans="1:15" x14ac:dyDescent="0.2">
      <c r="M160"/>
      <c r="N160"/>
      <c r="O160"/>
    </row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spans="13:15" x14ac:dyDescent="0.2">
      <c r="M753"/>
      <c r="N753"/>
      <c r="O753"/>
    </row>
    <row r="754" spans="13:15" x14ac:dyDescent="0.2">
      <c r="M754"/>
      <c r="N754"/>
      <c r="O754"/>
    </row>
    <row r="755" spans="13:15" x14ac:dyDescent="0.2">
      <c r="M755"/>
      <c r="N755"/>
      <c r="O755"/>
    </row>
    <row r="756" spans="13:15" x14ac:dyDescent="0.2">
      <c r="M756"/>
      <c r="N756"/>
      <c r="O756"/>
    </row>
    <row r="757" spans="13:15" x14ac:dyDescent="0.2">
      <c r="M757"/>
      <c r="N757"/>
      <c r="O757"/>
    </row>
    <row r="758" spans="13:15" x14ac:dyDescent="0.2">
      <c r="O758" s="8"/>
    </row>
  </sheetData>
  <mergeCells count="2">
    <mergeCell ref="H1:I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B551-BF26-8842-B641-255CF02F48F4}">
  <sheetPr codeName="Sheet3"/>
  <dimension ref="A1:F92"/>
  <sheetViews>
    <sheetView workbookViewId="0">
      <selection activeCell="D31" sqref="D31"/>
    </sheetView>
  </sheetViews>
  <sheetFormatPr baseColWidth="10" defaultRowHeight="16" x14ac:dyDescent="0.2"/>
  <cols>
    <col min="3" max="3" width="17.83203125" bestFit="1" customWidth="1"/>
    <col min="4" max="4" width="47" bestFit="1" customWidth="1"/>
    <col min="6" max="6" width="13.33203125" bestFit="1" customWidth="1"/>
  </cols>
  <sheetData>
    <row r="1" spans="1:6" x14ac:dyDescent="0.2">
      <c r="A1" s="9"/>
      <c r="B1" s="9"/>
      <c r="C1" s="44"/>
      <c r="D1" s="44"/>
      <c r="E1" s="45"/>
      <c r="F1" s="12" t="s">
        <v>222</v>
      </c>
    </row>
    <row r="2" spans="1:6" x14ac:dyDescent="0.2">
      <c r="A2" s="13" t="s">
        <v>250</v>
      </c>
      <c r="B2" s="13" t="s">
        <v>564</v>
      </c>
      <c r="C2" s="14" t="s">
        <v>6</v>
      </c>
      <c r="D2" s="15" t="s">
        <v>226</v>
      </c>
      <c r="E2" s="15" t="s">
        <v>228</v>
      </c>
      <c r="F2" s="15" t="s">
        <v>251</v>
      </c>
    </row>
    <row r="3" spans="1:6" x14ac:dyDescent="0.2">
      <c r="A3" s="16">
        <v>1</v>
      </c>
      <c r="B3" s="40">
        <v>46009</v>
      </c>
      <c r="C3" s="6" t="s">
        <v>81</v>
      </c>
      <c r="D3" s="6" t="s">
        <v>252</v>
      </c>
      <c r="E3" s="6">
        <v>10</v>
      </c>
      <c r="F3" s="6">
        <v>90</v>
      </c>
    </row>
    <row r="4" spans="1:6" x14ac:dyDescent="0.2">
      <c r="A4" s="16">
        <v>2</v>
      </c>
      <c r="B4" s="40">
        <v>46009</v>
      </c>
      <c r="C4" s="6" t="s">
        <v>84</v>
      </c>
      <c r="D4" s="6" t="s">
        <v>253</v>
      </c>
      <c r="E4" s="6">
        <v>10</v>
      </c>
      <c r="F4" s="6">
        <v>80</v>
      </c>
    </row>
    <row r="5" spans="1:6" x14ac:dyDescent="0.2">
      <c r="A5" s="16">
        <v>3</v>
      </c>
      <c r="B5" s="40">
        <v>46009</v>
      </c>
      <c r="C5" s="6" t="s">
        <v>87</v>
      </c>
      <c r="D5" s="6" t="s">
        <v>278</v>
      </c>
      <c r="E5" s="6">
        <v>10</v>
      </c>
      <c r="F5" s="6">
        <v>90</v>
      </c>
    </row>
    <row r="6" spans="1:6" x14ac:dyDescent="0.2">
      <c r="A6" s="16">
        <v>4</v>
      </c>
      <c r="B6" s="40">
        <v>46009</v>
      </c>
      <c r="C6" s="6" t="s">
        <v>90</v>
      </c>
      <c r="D6" s="6" t="s">
        <v>279</v>
      </c>
      <c r="E6" s="6">
        <v>10</v>
      </c>
      <c r="F6" s="6">
        <v>80</v>
      </c>
    </row>
    <row r="7" spans="1:6" x14ac:dyDescent="0.2">
      <c r="A7" s="16">
        <v>5</v>
      </c>
      <c r="B7" s="40">
        <v>46009</v>
      </c>
      <c r="C7" s="6" t="s">
        <v>93</v>
      </c>
      <c r="D7" s="6" t="s">
        <v>280</v>
      </c>
      <c r="E7" s="6">
        <v>10</v>
      </c>
      <c r="F7" s="6">
        <v>80</v>
      </c>
    </row>
    <row r="8" spans="1:6" x14ac:dyDescent="0.2">
      <c r="A8" s="16">
        <v>6</v>
      </c>
      <c r="B8" s="40">
        <v>46009</v>
      </c>
      <c r="C8" s="6" t="s">
        <v>96</v>
      </c>
      <c r="D8" s="6" t="s">
        <v>281</v>
      </c>
      <c r="E8" s="6">
        <v>10</v>
      </c>
      <c r="F8" s="6">
        <v>80</v>
      </c>
    </row>
    <row r="9" spans="1:6" x14ac:dyDescent="0.2">
      <c r="A9" s="16">
        <v>7</v>
      </c>
      <c r="B9" s="40">
        <v>46009</v>
      </c>
      <c r="C9" s="6" t="s">
        <v>99</v>
      </c>
      <c r="D9" s="6" t="s">
        <v>282</v>
      </c>
      <c r="E9" s="6">
        <v>10</v>
      </c>
      <c r="F9" s="6">
        <v>80</v>
      </c>
    </row>
    <row r="10" spans="1:6" x14ac:dyDescent="0.2">
      <c r="A10" s="16">
        <v>8</v>
      </c>
      <c r="B10" s="40">
        <v>46009</v>
      </c>
      <c r="C10" s="6" t="s">
        <v>102</v>
      </c>
      <c r="D10" s="6" t="s">
        <v>283</v>
      </c>
      <c r="E10" s="6">
        <v>10</v>
      </c>
      <c r="F10" s="6">
        <v>80</v>
      </c>
    </row>
    <row r="11" spans="1:6" x14ac:dyDescent="0.2">
      <c r="A11" s="16">
        <v>9</v>
      </c>
      <c r="B11" s="40">
        <v>46009</v>
      </c>
      <c r="C11" s="6" t="s">
        <v>105</v>
      </c>
      <c r="D11" s="6" t="s">
        <v>255</v>
      </c>
      <c r="E11" s="6">
        <v>10</v>
      </c>
      <c r="F11" s="6">
        <v>170</v>
      </c>
    </row>
    <row r="12" spans="1:6" x14ac:dyDescent="0.2">
      <c r="A12" s="16">
        <v>10</v>
      </c>
      <c r="B12" s="40">
        <v>46009</v>
      </c>
      <c r="C12" s="6" t="s">
        <v>109</v>
      </c>
      <c r="D12" s="6" t="s">
        <v>256</v>
      </c>
      <c r="E12" s="6">
        <v>10</v>
      </c>
      <c r="F12" s="6">
        <v>170</v>
      </c>
    </row>
    <row r="13" spans="1:6" x14ac:dyDescent="0.2">
      <c r="A13" s="16">
        <v>11</v>
      </c>
      <c r="B13" s="40">
        <v>46009</v>
      </c>
      <c r="C13" s="6" t="s">
        <v>112</v>
      </c>
      <c r="D13" s="6" t="s">
        <v>254</v>
      </c>
      <c r="E13" s="6">
        <v>10</v>
      </c>
      <c r="F13" s="6">
        <v>170</v>
      </c>
    </row>
    <row r="14" spans="1:6" x14ac:dyDescent="0.2">
      <c r="A14" s="16">
        <v>12</v>
      </c>
      <c r="B14" s="40">
        <v>46009</v>
      </c>
      <c r="C14" s="6" t="s">
        <v>115</v>
      </c>
      <c r="D14" s="6" t="s">
        <v>257</v>
      </c>
      <c r="E14" s="6">
        <v>10</v>
      </c>
      <c r="F14" s="6">
        <v>170</v>
      </c>
    </row>
    <row r="15" spans="1:6" x14ac:dyDescent="0.2">
      <c r="A15" s="16">
        <v>13</v>
      </c>
      <c r="B15" s="40">
        <v>46009</v>
      </c>
      <c r="C15" s="6" t="s">
        <v>118</v>
      </c>
      <c r="D15" s="6" t="s">
        <v>258</v>
      </c>
      <c r="E15" s="6">
        <v>10</v>
      </c>
      <c r="F15" s="6">
        <v>170</v>
      </c>
    </row>
    <row r="16" spans="1:6" x14ac:dyDescent="0.2">
      <c r="A16" s="16">
        <v>14</v>
      </c>
      <c r="B16" s="40">
        <v>46009</v>
      </c>
      <c r="C16" s="6" t="s">
        <v>122</v>
      </c>
      <c r="D16" s="6" t="s">
        <v>259</v>
      </c>
      <c r="E16" s="6">
        <v>10</v>
      </c>
      <c r="F16" s="6">
        <v>170</v>
      </c>
    </row>
    <row r="17" spans="1:6" x14ac:dyDescent="0.2">
      <c r="A17" s="16">
        <v>15</v>
      </c>
      <c r="B17" s="40">
        <v>46009</v>
      </c>
      <c r="C17" s="6" t="s">
        <v>125</v>
      </c>
      <c r="D17" s="6" t="s">
        <v>260</v>
      </c>
      <c r="E17" s="6">
        <v>10</v>
      </c>
      <c r="F17" s="6">
        <v>889.99999999999989</v>
      </c>
    </row>
    <row r="18" spans="1:6" x14ac:dyDescent="0.2">
      <c r="A18" s="16">
        <v>16</v>
      </c>
      <c r="B18" s="40">
        <v>46009</v>
      </c>
      <c r="C18" s="6" t="s">
        <v>129</v>
      </c>
      <c r="D18" s="6" t="s">
        <v>261</v>
      </c>
      <c r="E18" s="6">
        <v>10</v>
      </c>
      <c r="F18" s="6">
        <v>929.99999999999989</v>
      </c>
    </row>
    <row r="19" spans="1:6" x14ac:dyDescent="0.2">
      <c r="A19" s="16">
        <v>17</v>
      </c>
      <c r="B19" s="40">
        <v>46009</v>
      </c>
      <c r="C19" s="6" t="s">
        <v>132</v>
      </c>
      <c r="D19" s="6" t="s">
        <v>262</v>
      </c>
      <c r="E19" s="6">
        <v>10</v>
      </c>
      <c r="F19" s="6">
        <v>909.99999999999989</v>
      </c>
    </row>
    <row r="20" spans="1:6" x14ac:dyDescent="0.2">
      <c r="A20" s="16">
        <v>18</v>
      </c>
      <c r="B20" s="40">
        <v>46009</v>
      </c>
      <c r="C20" s="6" t="s">
        <v>136</v>
      </c>
      <c r="D20" s="6" t="s">
        <v>263</v>
      </c>
      <c r="E20" s="6">
        <v>10</v>
      </c>
      <c r="F20" s="6">
        <v>960</v>
      </c>
    </row>
    <row r="21" spans="1:6" x14ac:dyDescent="0.2">
      <c r="A21" s="16">
        <v>19</v>
      </c>
      <c r="B21" s="40">
        <v>46009</v>
      </c>
      <c r="C21" s="6" t="s">
        <v>139</v>
      </c>
      <c r="D21" s="6" t="s">
        <v>264</v>
      </c>
      <c r="E21" s="6">
        <v>10</v>
      </c>
      <c r="F21" s="6">
        <v>850.00000000000011</v>
      </c>
    </row>
    <row r="22" spans="1:6" x14ac:dyDescent="0.2">
      <c r="A22" s="16">
        <v>20</v>
      </c>
      <c r="B22" s="40">
        <v>46009</v>
      </c>
      <c r="C22" s="6" t="s">
        <v>143</v>
      </c>
      <c r="D22" s="6" t="s">
        <v>265</v>
      </c>
      <c r="E22" s="6">
        <v>10</v>
      </c>
      <c r="F22" s="6">
        <v>950</v>
      </c>
    </row>
    <row r="23" spans="1:6" x14ac:dyDescent="0.2">
      <c r="A23" s="16">
        <v>21</v>
      </c>
      <c r="B23" s="40">
        <v>46009</v>
      </c>
      <c r="C23" s="6" t="s">
        <v>156</v>
      </c>
      <c r="D23" s="6" t="s">
        <v>266</v>
      </c>
      <c r="E23" s="6">
        <v>20</v>
      </c>
      <c r="F23" s="6">
        <v>8920</v>
      </c>
    </row>
    <row r="24" spans="1:6" x14ac:dyDescent="0.2">
      <c r="A24" s="16">
        <v>22</v>
      </c>
      <c r="B24" s="40">
        <v>46009</v>
      </c>
      <c r="C24" s="6" t="s">
        <v>160</v>
      </c>
      <c r="D24" s="6" t="s">
        <v>267</v>
      </c>
      <c r="E24" s="6">
        <v>20</v>
      </c>
      <c r="F24" s="6">
        <v>10060</v>
      </c>
    </row>
    <row r="25" spans="1:6" x14ac:dyDescent="0.2">
      <c r="A25" s="16">
        <v>23</v>
      </c>
      <c r="B25" s="40">
        <v>46009</v>
      </c>
      <c r="C25" s="6" t="s">
        <v>163</v>
      </c>
      <c r="D25" s="6" t="s">
        <v>268</v>
      </c>
      <c r="E25" s="6">
        <v>20</v>
      </c>
      <c r="F25" s="6">
        <v>9360.0000000000018</v>
      </c>
    </row>
    <row r="26" spans="1:6" x14ac:dyDescent="0.2">
      <c r="A26" s="16">
        <v>24</v>
      </c>
      <c r="B26" s="40">
        <v>46009</v>
      </c>
      <c r="C26" s="6" t="s">
        <v>167</v>
      </c>
      <c r="D26" s="6" t="s">
        <v>269</v>
      </c>
      <c r="E26" s="6">
        <v>20</v>
      </c>
      <c r="F26" s="6">
        <v>9600</v>
      </c>
    </row>
    <row r="27" spans="1:6" x14ac:dyDescent="0.2">
      <c r="A27" s="16">
        <v>25</v>
      </c>
      <c r="B27" s="40">
        <v>46009</v>
      </c>
      <c r="C27" s="6" t="s">
        <v>170</v>
      </c>
      <c r="D27" s="6" t="s">
        <v>270</v>
      </c>
      <c r="E27" s="6">
        <v>20</v>
      </c>
      <c r="F27" s="6">
        <v>9240</v>
      </c>
    </row>
    <row r="28" spans="1:6" x14ac:dyDescent="0.2">
      <c r="A28" s="16">
        <v>26</v>
      </c>
      <c r="B28" s="40">
        <v>46009</v>
      </c>
      <c r="C28" s="6" t="s">
        <v>173</v>
      </c>
      <c r="D28" s="6" t="s">
        <v>271</v>
      </c>
      <c r="E28" s="6">
        <v>20</v>
      </c>
      <c r="F28" s="6">
        <v>9379.9999999999982</v>
      </c>
    </row>
    <row r="29" spans="1:6" x14ac:dyDescent="0.2">
      <c r="A29" s="16">
        <v>27</v>
      </c>
      <c r="B29" s="40">
        <v>46009</v>
      </c>
      <c r="C29" s="6" t="s">
        <v>176</v>
      </c>
      <c r="D29" s="6" t="s">
        <v>272</v>
      </c>
      <c r="E29" s="6">
        <v>20</v>
      </c>
      <c r="F29" s="6">
        <v>74900</v>
      </c>
    </row>
    <row r="30" spans="1:6" x14ac:dyDescent="0.2">
      <c r="A30" s="16">
        <v>28</v>
      </c>
      <c r="B30" s="40">
        <v>46009</v>
      </c>
      <c r="C30" s="6" t="s">
        <v>179</v>
      </c>
      <c r="D30" s="6" t="s">
        <v>273</v>
      </c>
      <c r="E30" s="6">
        <v>20</v>
      </c>
      <c r="F30" s="6">
        <v>89780</v>
      </c>
    </row>
    <row r="31" spans="1:6" x14ac:dyDescent="0.2">
      <c r="A31" s="16">
        <v>29</v>
      </c>
      <c r="B31" s="40">
        <v>46009</v>
      </c>
      <c r="C31" s="6" t="s">
        <v>182</v>
      </c>
      <c r="D31" s="6" t="s">
        <v>274</v>
      </c>
      <c r="E31" s="6">
        <v>20</v>
      </c>
      <c r="F31" s="6">
        <v>79460</v>
      </c>
    </row>
    <row r="32" spans="1:6" x14ac:dyDescent="0.2">
      <c r="A32" s="16">
        <v>30</v>
      </c>
      <c r="B32" s="40">
        <v>46009</v>
      </c>
      <c r="C32" s="6" t="s">
        <v>185</v>
      </c>
      <c r="D32" s="6" t="s">
        <v>275</v>
      </c>
      <c r="E32" s="6">
        <v>20</v>
      </c>
      <c r="F32" s="6">
        <v>94100</v>
      </c>
    </row>
    <row r="33" spans="1:6" x14ac:dyDescent="0.2">
      <c r="A33" s="16">
        <v>31</v>
      </c>
      <c r="B33" s="40">
        <v>46009</v>
      </c>
      <c r="C33" s="6" t="s">
        <v>188</v>
      </c>
      <c r="D33" s="6" t="s">
        <v>276</v>
      </c>
      <c r="E33" s="6">
        <v>20</v>
      </c>
      <c r="F33" s="6">
        <v>101560</v>
      </c>
    </row>
    <row r="34" spans="1:6" x14ac:dyDescent="0.2">
      <c r="A34" s="16">
        <v>32</v>
      </c>
      <c r="B34" s="40">
        <v>46009</v>
      </c>
      <c r="C34" s="6" t="s">
        <v>191</v>
      </c>
      <c r="D34" s="6" t="s">
        <v>277</v>
      </c>
      <c r="E34" s="6">
        <v>20</v>
      </c>
      <c r="F34" s="6">
        <v>95700</v>
      </c>
    </row>
    <row r="35" spans="1:6" x14ac:dyDescent="0.2">
      <c r="A35" s="16">
        <v>33</v>
      </c>
      <c r="B35" s="40">
        <v>46009</v>
      </c>
      <c r="C35" s="6" t="s">
        <v>197</v>
      </c>
      <c r="D35" s="6" t="s">
        <v>284</v>
      </c>
      <c r="E35" s="6">
        <v>1</v>
      </c>
      <c r="F35" s="6">
        <v>0</v>
      </c>
    </row>
    <row r="36" spans="1:6" x14ac:dyDescent="0.2">
      <c r="A36" s="16">
        <v>34</v>
      </c>
      <c r="B36" s="40">
        <v>46009</v>
      </c>
      <c r="C36" s="6" t="s">
        <v>200</v>
      </c>
      <c r="D36" s="6" t="s">
        <v>285</v>
      </c>
      <c r="E36" s="6">
        <v>1</v>
      </c>
      <c r="F36" s="6">
        <v>101</v>
      </c>
    </row>
    <row r="37" spans="1:6" x14ac:dyDescent="0.2">
      <c r="A37" s="16">
        <v>35</v>
      </c>
      <c r="B37" s="40">
        <v>46009</v>
      </c>
      <c r="C37" s="6" t="s">
        <v>203</v>
      </c>
      <c r="D37" s="16" t="s">
        <v>286</v>
      </c>
      <c r="E37" s="6">
        <v>10</v>
      </c>
      <c r="F37" s="6">
        <v>990</v>
      </c>
    </row>
    <row r="38" spans="1:6" x14ac:dyDescent="0.2">
      <c r="A38" s="16">
        <v>36</v>
      </c>
      <c r="B38" s="40">
        <v>46009</v>
      </c>
      <c r="C38" s="6" t="s">
        <v>206</v>
      </c>
      <c r="D38" s="16" t="s">
        <v>287</v>
      </c>
      <c r="E38" s="6">
        <v>20</v>
      </c>
      <c r="F38" s="6">
        <v>9580</v>
      </c>
    </row>
    <row r="39" spans="1:6" x14ac:dyDescent="0.2">
      <c r="A39" s="16">
        <v>37</v>
      </c>
      <c r="B39" s="40">
        <v>46009</v>
      </c>
      <c r="C39" s="6" t="s">
        <v>209</v>
      </c>
      <c r="D39" s="16" t="s">
        <v>288</v>
      </c>
      <c r="E39" s="6">
        <v>20</v>
      </c>
      <c r="F39" s="6">
        <v>102340</v>
      </c>
    </row>
    <row r="40" spans="1:6" x14ac:dyDescent="0.2">
      <c r="A40" s="16">
        <v>38</v>
      </c>
      <c r="B40" s="40">
        <v>46149</v>
      </c>
      <c r="C40" s="6" t="s">
        <v>197</v>
      </c>
      <c r="D40" s="6" t="s">
        <v>284</v>
      </c>
      <c r="E40" s="6">
        <v>1</v>
      </c>
      <c r="F40" s="6">
        <v>0</v>
      </c>
    </row>
    <row r="41" spans="1:6" x14ac:dyDescent="0.2">
      <c r="A41" s="16">
        <v>39</v>
      </c>
      <c r="B41" s="40">
        <v>46149</v>
      </c>
      <c r="C41" s="6" t="s">
        <v>200</v>
      </c>
      <c r="D41" s="6" t="s">
        <v>285</v>
      </c>
      <c r="E41" s="6">
        <v>1</v>
      </c>
      <c r="F41" s="6">
        <v>94</v>
      </c>
    </row>
    <row r="42" spans="1:6" x14ac:dyDescent="0.2">
      <c r="A42" s="16">
        <v>40</v>
      </c>
      <c r="B42" s="40">
        <v>46149</v>
      </c>
      <c r="C42" s="6" t="s">
        <v>203</v>
      </c>
      <c r="D42" s="16" t="s">
        <v>286</v>
      </c>
      <c r="E42" s="6">
        <v>10</v>
      </c>
      <c r="F42" s="6">
        <v>960</v>
      </c>
    </row>
    <row r="43" spans="1:6" x14ac:dyDescent="0.2">
      <c r="A43" s="16">
        <v>41</v>
      </c>
      <c r="B43" s="40">
        <v>46149</v>
      </c>
      <c r="C43" s="6" t="s">
        <v>206</v>
      </c>
      <c r="D43" s="16" t="s">
        <v>287</v>
      </c>
      <c r="E43" s="6">
        <v>20</v>
      </c>
      <c r="F43" s="6">
        <v>11080.000000000002</v>
      </c>
    </row>
    <row r="44" spans="1:6" x14ac:dyDescent="0.2">
      <c r="A44" s="16">
        <v>42</v>
      </c>
      <c r="B44" s="40">
        <v>46149</v>
      </c>
      <c r="C44" s="6" t="s">
        <v>209</v>
      </c>
      <c r="D44" s="16" t="s">
        <v>288</v>
      </c>
      <c r="E44" s="6">
        <v>20</v>
      </c>
      <c r="F44" s="6">
        <v>108260</v>
      </c>
    </row>
    <row r="45" spans="1:6" x14ac:dyDescent="0.2">
      <c r="A45" s="16">
        <v>43</v>
      </c>
      <c r="B45" s="40">
        <v>46149</v>
      </c>
      <c r="C45" s="6" t="s">
        <v>325</v>
      </c>
      <c r="D45" s="6" t="s">
        <v>514</v>
      </c>
      <c r="E45" s="6">
        <v>10</v>
      </c>
      <c r="F45" s="6">
        <v>80</v>
      </c>
    </row>
    <row r="46" spans="1:6" x14ac:dyDescent="0.2">
      <c r="A46" s="16">
        <v>44</v>
      </c>
      <c r="B46" s="40">
        <v>46149</v>
      </c>
      <c r="C46" s="6" t="s">
        <v>327</v>
      </c>
      <c r="D46" s="6" t="s">
        <v>515</v>
      </c>
      <c r="E46" s="6">
        <v>10</v>
      </c>
      <c r="F46" s="6">
        <v>80</v>
      </c>
    </row>
    <row r="47" spans="1:6" x14ac:dyDescent="0.2">
      <c r="A47" s="16">
        <v>45</v>
      </c>
      <c r="B47" s="40">
        <v>46149</v>
      </c>
      <c r="C47" s="6" t="s">
        <v>330</v>
      </c>
      <c r="D47" s="6" t="s">
        <v>516</v>
      </c>
      <c r="E47" s="6">
        <v>10</v>
      </c>
      <c r="F47" s="6">
        <v>90</v>
      </c>
    </row>
    <row r="48" spans="1:6" x14ac:dyDescent="0.2">
      <c r="A48" s="16">
        <v>46</v>
      </c>
      <c r="B48" s="40">
        <v>46149</v>
      </c>
      <c r="C48" s="6" t="s">
        <v>332</v>
      </c>
      <c r="D48" s="6" t="s">
        <v>517</v>
      </c>
      <c r="E48" s="6">
        <v>10</v>
      </c>
      <c r="F48" s="6">
        <v>90</v>
      </c>
    </row>
    <row r="49" spans="1:6" x14ac:dyDescent="0.2">
      <c r="A49" s="16">
        <v>47</v>
      </c>
      <c r="B49" s="40">
        <v>46149</v>
      </c>
      <c r="C49" s="6" t="s">
        <v>334</v>
      </c>
      <c r="D49" s="6" t="s">
        <v>518</v>
      </c>
      <c r="E49" s="6">
        <v>10</v>
      </c>
      <c r="F49" s="6">
        <v>160</v>
      </c>
    </row>
    <row r="50" spans="1:6" x14ac:dyDescent="0.2">
      <c r="A50" s="16">
        <v>48</v>
      </c>
      <c r="B50" s="40">
        <v>46149</v>
      </c>
      <c r="C50" s="6" t="s">
        <v>336</v>
      </c>
      <c r="D50" s="6" t="s">
        <v>519</v>
      </c>
      <c r="E50" s="6">
        <v>10</v>
      </c>
      <c r="F50" s="6">
        <v>170</v>
      </c>
    </row>
    <row r="51" spans="1:6" x14ac:dyDescent="0.2">
      <c r="A51" s="16">
        <v>49</v>
      </c>
      <c r="B51" s="40">
        <v>46149</v>
      </c>
      <c r="C51" s="6" t="s">
        <v>338</v>
      </c>
      <c r="D51" s="6" t="s">
        <v>520</v>
      </c>
      <c r="E51" s="6">
        <v>10</v>
      </c>
      <c r="F51" s="6">
        <v>170</v>
      </c>
    </row>
    <row r="52" spans="1:6" x14ac:dyDescent="0.2">
      <c r="A52" s="16">
        <v>50</v>
      </c>
      <c r="B52" s="40">
        <v>46149</v>
      </c>
      <c r="C52" s="6" t="s">
        <v>340</v>
      </c>
      <c r="D52" s="6" t="s">
        <v>521</v>
      </c>
      <c r="E52" s="6">
        <v>10</v>
      </c>
      <c r="F52" s="6">
        <v>879.99999999999989</v>
      </c>
    </row>
    <row r="53" spans="1:6" x14ac:dyDescent="0.2">
      <c r="A53" s="16">
        <v>51</v>
      </c>
      <c r="B53" s="40">
        <v>46149</v>
      </c>
      <c r="C53" s="6" t="s">
        <v>343</v>
      </c>
      <c r="D53" s="6" t="s">
        <v>522</v>
      </c>
      <c r="E53" s="6">
        <v>10</v>
      </c>
      <c r="F53" s="6">
        <v>869.99999999999989</v>
      </c>
    </row>
    <row r="54" spans="1:6" x14ac:dyDescent="0.2">
      <c r="A54" s="16">
        <v>52</v>
      </c>
      <c r="B54" s="40">
        <v>46149</v>
      </c>
      <c r="C54" s="6" t="s">
        <v>345</v>
      </c>
      <c r="D54" s="6" t="s">
        <v>523</v>
      </c>
      <c r="E54" s="6">
        <v>10</v>
      </c>
      <c r="F54" s="6">
        <v>909.99999999999989</v>
      </c>
    </row>
    <row r="55" spans="1:6" x14ac:dyDescent="0.2">
      <c r="A55" s="16">
        <v>53</v>
      </c>
      <c r="B55" s="40">
        <v>46149</v>
      </c>
      <c r="C55" s="6" t="s">
        <v>347</v>
      </c>
      <c r="D55" s="6" t="s">
        <v>524</v>
      </c>
      <c r="E55" s="6">
        <v>20</v>
      </c>
      <c r="F55" s="6">
        <v>10140</v>
      </c>
    </row>
    <row r="56" spans="1:6" x14ac:dyDescent="0.2">
      <c r="A56" s="16">
        <v>54</v>
      </c>
      <c r="B56" s="40">
        <v>46149</v>
      </c>
      <c r="C56" s="6" t="s">
        <v>356</v>
      </c>
      <c r="D56" s="6" t="s">
        <v>525</v>
      </c>
      <c r="E56" s="6">
        <v>20</v>
      </c>
      <c r="F56" s="6">
        <v>9520</v>
      </c>
    </row>
    <row r="57" spans="1:6" x14ac:dyDescent="0.2">
      <c r="A57" s="16">
        <v>55</v>
      </c>
      <c r="B57" s="40">
        <v>46149</v>
      </c>
      <c r="C57" s="6" t="s">
        <v>359</v>
      </c>
      <c r="D57" s="6" t="s">
        <v>526</v>
      </c>
      <c r="E57" s="6">
        <v>20</v>
      </c>
      <c r="F57" s="6">
        <v>10120.000000000002</v>
      </c>
    </row>
    <row r="58" spans="1:6" x14ac:dyDescent="0.2">
      <c r="A58" s="16">
        <v>56</v>
      </c>
      <c r="B58" s="40">
        <v>46149</v>
      </c>
      <c r="C58" s="6" t="s">
        <v>361</v>
      </c>
      <c r="D58" s="6" t="s">
        <v>527</v>
      </c>
      <c r="E58" s="6">
        <v>20</v>
      </c>
      <c r="F58" s="6">
        <v>88880</v>
      </c>
    </row>
    <row r="59" spans="1:6" x14ac:dyDescent="0.2">
      <c r="A59" s="16">
        <v>57</v>
      </c>
      <c r="B59" s="40">
        <v>46149</v>
      </c>
      <c r="C59" s="6" t="s">
        <v>363</v>
      </c>
      <c r="D59" s="6" t="s">
        <v>528</v>
      </c>
      <c r="E59" s="6">
        <v>20</v>
      </c>
      <c r="F59" s="6">
        <v>95440</v>
      </c>
    </row>
    <row r="60" spans="1:6" x14ac:dyDescent="0.2">
      <c r="A60" s="16">
        <v>58</v>
      </c>
      <c r="B60" s="40">
        <v>46149</v>
      </c>
      <c r="C60" s="6" t="s">
        <v>365</v>
      </c>
      <c r="D60" s="6" t="s">
        <v>529</v>
      </c>
      <c r="E60" s="6">
        <v>20</v>
      </c>
      <c r="F60" s="6">
        <v>89179.999999999985</v>
      </c>
    </row>
    <row r="61" spans="1:6" x14ac:dyDescent="0.2">
      <c r="A61" s="16">
        <v>59</v>
      </c>
      <c r="B61" s="40">
        <v>46149</v>
      </c>
      <c r="C61" s="6" t="s">
        <v>371</v>
      </c>
      <c r="D61" s="6" t="s">
        <v>530</v>
      </c>
      <c r="E61" s="6">
        <v>10</v>
      </c>
      <c r="F61" s="6">
        <v>80</v>
      </c>
    </row>
    <row r="62" spans="1:6" x14ac:dyDescent="0.2">
      <c r="A62" s="16">
        <v>60</v>
      </c>
      <c r="B62" s="40">
        <v>46149</v>
      </c>
      <c r="C62" s="6" t="s">
        <v>374</v>
      </c>
      <c r="D62" s="6" t="s">
        <v>531</v>
      </c>
      <c r="E62" s="6">
        <v>10</v>
      </c>
      <c r="F62" s="6">
        <v>80</v>
      </c>
    </row>
    <row r="63" spans="1:6" x14ac:dyDescent="0.2">
      <c r="A63" s="16">
        <v>61</v>
      </c>
      <c r="B63" s="40">
        <v>46149</v>
      </c>
      <c r="C63" s="6" t="s">
        <v>377</v>
      </c>
      <c r="D63" s="6" t="s">
        <v>532</v>
      </c>
      <c r="E63" s="6">
        <v>10</v>
      </c>
      <c r="F63" s="6">
        <v>80</v>
      </c>
    </row>
    <row r="64" spans="1:6" x14ac:dyDescent="0.2">
      <c r="A64" s="16">
        <v>62</v>
      </c>
      <c r="B64" s="40">
        <v>46149</v>
      </c>
      <c r="C64" s="6" t="s">
        <v>379</v>
      </c>
      <c r="D64" s="6" t="s">
        <v>533</v>
      </c>
      <c r="E64" s="6">
        <v>10</v>
      </c>
      <c r="F64" s="6">
        <v>80</v>
      </c>
    </row>
    <row r="65" spans="1:6" x14ac:dyDescent="0.2">
      <c r="A65" s="16">
        <v>63</v>
      </c>
      <c r="B65" s="40">
        <v>46149</v>
      </c>
      <c r="C65" s="6" t="s">
        <v>382</v>
      </c>
      <c r="D65" s="6" t="s">
        <v>534</v>
      </c>
      <c r="E65" s="6">
        <v>10</v>
      </c>
      <c r="F65" s="6">
        <v>160</v>
      </c>
    </row>
    <row r="66" spans="1:6" x14ac:dyDescent="0.2">
      <c r="A66" s="16">
        <v>64</v>
      </c>
      <c r="B66" s="40">
        <v>46149</v>
      </c>
      <c r="C66" s="6" t="s">
        <v>385</v>
      </c>
      <c r="D66" s="6" t="s">
        <v>535</v>
      </c>
      <c r="E66" s="6">
        <v>10</v>
      </c>
      <c r="F66" s="6">
        <v>170</v>
      </c>
    </row>
    <row r="67" spans="1:6" x14ac:dyDescent="0.2">
      <c r="A67" s="16">
        <v>65</v>
      </c>
      <c r="B67" s="40">
        <v>46149</v>
      </c>
      <c r="C67" s="6" t="s">
        <v>388</v>
      </c>
      <c r="D67" s="6" t="s">
        <v>536</v>
      </c>
      <c r="E67" s="6">
        <v>10</v>
      </c>
      <c r="F67" s="6">
        <v>170</v>
      </c>
    </row>
    <row r="68" spans="1:6" x14ac:dyDescent="0.2">
      <c r="A68" s="16">
        <v>66</v>
      </c>
      <c r="B68" s="40">
        <v>46149</v>
      </c>
      <c r="C68" s="6" t="s">
        <v>392</v>
      </c>
      <c r="D68" s="6" t="s">
        <v>537</v>
      </c>
      <c r="E68" s="6">
        <v>10</v>
      </c>
      <c r="F68" s="6">
        <v>1020</v>
      </c>
    </row>
    <row r="69" spans="1:6" x14ac:dyDescent="0.2">
      <c r="A69" s="16">
        <v>67</v>
      </c>
      <c r="B69" s="40">
        <v>46149</v>
      </c>
      <c r="C69" s="6" t="s">
        <v>395</v>
      </c>
      <c r="D69" s="6" t="s">
        <v>538</v>
      </c>
      <c r="E69" s="6">
        <v>10</v>
      </c>
      <c r="F69" s="6">
        <v>1030</v>
      </c>
    </row>
    <row r="70" spans="1:6" x14ac:dyDescent="0.2">
      <c r="A70" s="16">
        <v>68</v>
      </c>
      <c r="B70" s="40">
        <v>46149</v>
      </c>
      <c r="C70" s="6" t="s">
        <v>398</v>
      </c>
      <c r="D70" s="6" t="s">
        <v>539</v>
      </c>
      <c r="E70" s="6">
        <v>10</v>
      </c>
      <c r="F70" s="6">
        <v>1010</v>
      </c>
    </row>
    <row r="71" spans="1:6" x14ac:dyDescent="0.2">
      <c r="A71" s="16">
        <v>69</v>
      </c>
      <c r="B71" s="40">
        <v>46149</v>
      </c>
      <c r="C71" s="6" t="s">
        <v>400</v>
      </c>
      <c r="D71" s="6" t="s">
        <v>540</v>
      </c>
      <c r="E71" s="6">
        <v>20</v>
      </c>
      <c r="F71" s="6">
        <v>10660</v>
      </c>
    </row>
    <row r="72" spans="1:6" x14ac:dyDescent="0.2">
      <c r="A72" s="16">
        <v>70</v>
      </c>
      <c r="B72" s="40">
        <v>46149</v>
      </c>
      <c r="C72" s="6" t="s">
        <v>410</v>
      </c>
      <c r="D72" s="6" t="s">
        <v>541</v>
      </c>
      <c r="E72" s="6">
        <v>20</v>
      </c>
      <c r="F72" s="6">
        <v>10060</v>
      </c>
    </row>
    <row r="73" spans="1:6" x14ac:dyDescent="0.2">
      <c r="A73" s="16">
        <v>71</v>
      </c>
      <c r="B73" s="40">
        <v>46149</v>
      </c>
      <c r="C73" s="6" t="s">
        <v>414</v>
      </c>
      <c r="D73" s="6" t="s">
        <v>542</v>
      </c>
      <c r="E73" s="6">
        <v>20</v>
      </c>
      <c r="F73" s="6">
        <v>10500</v>
      </c>
    </row>
    <row r="74" spans="1:6" x14ac:dyDescent="0.2">
      <c r="A74" s="16">
        <v>72</v>
      </c>
      <c r="B74" s="40">
        <v>46149</v>
      </c>
      <c r="C74" s="6" t="s">
        <v>417</v>
      </c>
      <c r="D74" s="6" t="s">
        <v>543</v>
      </c>
      <c r="E74" s="6">
        <v>20</v>
      </c>
      <c r="F74" s="6">
        <v>93640.000000000015</v>
      </c>
    </row>
    <row r="75" spans="1:6" x14ac:dyDescent="0.2">
      <c r="A75" s="16">
        <v>73</v>
      </c>
      <c r="B75" s="40">
        <v>46149</v>
      </c>
      <c r="C75" s="6" t="s">
        <v>420</v>
      </c>
      <c r="D75" s="6" t="s">
        <v>544</v>
      </c>
      <c r="E75" s="6">
        <v>20</v>
      </c>
      <c r="F75" s="6">
        <v>99640</v>
      </c>
    </row>
    <row r="76" spans="1:6" x14ac:dyDescent="0.2">
      <c r="A76" s="16">
        <v>74</v>
      </c>
      <c r="B76" s="40">
        <v>46149</v>
      </c>
      <c r="C76" s="6" t="s">
        <v>424</v>
      </c>
      <c r="D76" s="6" t="s">
        <v>545</v>
      </c>
      <c r="E76" s="6">
        <v>20</v>
      </c>
      <c r="F76" s="6">
        <v>101960</v>
      </c>
    </row>
    <row r="77" spans="1:6" x14ac:dyDescent="0.2">
      <c r="A77" s="16">
        <v>75</v>
      </c>
      <c r="B77" s="40">
        <v>46149</v>
      </c>
      <c r="C77" s="6" t="s">
        <v>431</v>
      </c>
      <c r="D77" s="6" t="s">
        <v>546</v>
      </c>
      <c r="E77" s="6">
        <v>2.5</v>
      </c>
      <c r="F77" s="6">
        <v>2.5</v>
      </c>
    </row>
    <row r="78" spans="1:6" x14ac:dyDescent="0.2">
      <c r="A78" s="16">
        <v>76</v>
      </c>
      <c r="B78" s="40">
        <v>46149</v>
      </c>
      <c r="C78" s="6" t="s">
        <v>434</v>
      </c>
      <c r="D78" s="6" t="s">
        <v>547</v>
      </c>
      <c r="E78" s="6">
        <v>2.5</v>
      </c>
      <c r="F78" s="6">
        <v>2.5</v>
      </c>
    </row>
    <row r="79" spans="1:6" x14ac:dyDescent="0.2">
      <c r="A79" s="16">
        <v>77</v>
      </c>
      <c r="B79" s="40">
        <v>46149</v>
      </c>
      <c r="C79" s="6" t="s">
        <v>437</v>
      </c>
      <c r="D79" s="6" t="s">
        <v>548</v>
      </c>
      <c r="E79" s="6">
        <v>2.5</v>
      </c>
      <c r="F79" s="6">
        <v>2.5</v>
      </c>
    </row>
    <row r="80" spans="1:6" x14ac:dyDescent="0.2">
      <c r="A80" s="16">
        <v>78</v>
      </c>
      <c r="B80" s="40">
        <v>46149</v>
      </c>
      <c r="C80" s="6" t="s">
        <v>440</v>
      </c>
      <c r="D80" s="6" t="s">
        <v>549</v>
      </c>
      <c r="E80" s="6">
        <v>2.5</v>
      </c>
      <c r="F80" s="6">
        <v>2.5</v>
      </c>
    </row>
    <row r="81" spans="1:6" x14ac:dyDescent="0.2">
      <c r="A81" s="16">
        <v>79</v>
      </c>
      <c r="B81" s="40">
        <v>46149</v>
      </c>
      <c r="C81" s="6" t="s">
        <v>444</v>
      </c>
      <c r="D81" s="6" t="s">
        <v>550</v>
      </c>
      <c r="E81" s="6">
        <v>2.5</v>
      </c>
      <c r="F81" s="6">
        <v>2.5</v>
      </c>
    </row>
    <row r="82" spans="1:6" x14ac:dyDescent="0.2">
      <c r="A82" s="16">
        <v>80</v>
      </c>
      <c r="B82" s="40">
        <v>46149</v>
      </c>
      <c r="C82" s="6" t="s">
        <v>447</v>
      </c>
      <c r="D82" s="6" t="s">
        <v>551</v>
      </c>
      <c r="E82" s="38">
        <v>2.5</v>
      </c>
      <c r="F82" s="6">
        <v>2.5</v>
      </c>
    </row>
    <row r="83" spans="1:6" x14ac:dyDescent="0.2">
      <c r="A83" s="16">
        <v>81</v>
      </c>
      <c r="B83" s="40">
        <v>46149</v>
      </c>
      <c r="C83" s="6" t="s">
        <v>450</v>
      </c>
      <c r="D83" s="6" t="s">
        <v>552</v>
      </c>
      <c r="E83" s="38">
        <v>2.5</v>
      </c>
      <c r="F83" s="6">
        <v>2.5</v>
      </c>
    </row>
    <row r="84" spans="1:6" x14ac:dyDescent="0.2">
      <c r="A84" s="16">
        <v>82</v>
      </c>
      <c r="B84" s="40">
        <v>46149</v>
      </c>
      <c r="C84" s="6" t="s">
        <v>453</v>
      </c>
      <c r="D84" s="6" t="s">
        <v>553</v>
      </c>
      <c r="E84" s="38">
        <v>2.5</v>
      </c>
      <c r="F84" s="6">
        <v>60</v>
      </c>
    </row>
    <row r="85" spans="1:6" x14ac:dyDescent="0.2">
      <c r="A85" s="16">
        <v>83</v>
      </c>
      <c r="B85" s="40">
        <v>46149</v>
      </c>
      <c r="C85" s="6" t="s">
        <v>457</v>
      </c>
      <c r="D85" s="6" t="s">
        <v>554</v>
      </c>
      <c r="E85" s="38">
        <v>2.5</v>
      </c>
      <c r="F85" s="6">
        <v>60</v>
      </c>
    </row>
    <row r="86" spans="1:6" x14ac:dyDescent="0.2">
      <c r="A86" s="16">
        <v>84</v>
      </c>
      <c r="B86" s="40">
        <v>46149</v>
      </c>
      <c r="C86" s="6" t="s">
        <v>460</v>
      </c>
      <c r="D86" s="6" t="s">
        <v>555</v>
      </c>
      <c r="E86" s="38">
        <v>2.5</v>
      </c>
      <c r="F86" s="6">
        <v>57.499999999999993</v>
      </c>
    </row>
    <row r="87" spans="1:6" x14ac:dyDescent="0.2">
      <c r="A87" s="16">
        <v>85</v>
      </c>
      <c r="B87" s="40">
        <v>46149</v>
      </c>
      <c r="C87" s="6" t="s">
        <v>463</v>
      </c>
      <c r="D87" s="6" t="s">
        <v>556</v>
      </c>
      <c r="E87" s="38">
        <v>2.5</v>
      </c>
      <c r="F87" s="6">
        <v>497.50000000000006</v>
      </c>
    </row>
    <row r="88" spans="1:6" x14ac:dyDescent="0.2">
      <c r="A88" s="16">
        <v>86</v>
      </c>
      <c r="B88" s="40">
        <v>46149</v>
      </c>
      <c r="C88" s="6" t="s">
        <v>472</v>
      </c>
      <c r="D88" s="6" t="s">
        <v>557</v>
      </c>
      <c r="E88" s="38">
        <v>2.5</v>
      </c>
      <c r="F88" s="6">
        <v>464.99999999999994</v>
      </c>
    </row>
    <row r="89" spans="1:6" x14ac:dyDescent="0.2">
      <c r="A89" s="16">
        <v>87</v>
      </c>
      <c r="B89" s="40">
        <v>46149</v>
      </c>
      <c r="C89" s="6" t="s">
        <v>475</v>
      </c>
      <c r="D89" s="6" t="s">
        <v>558</v>
      </c>
      <c r="E89" s="39">
        <v>2.5</v>
      </c>
      <c r="F89" s="39">
        <v>432.5</v>
      </c>
    </row>
    <row r="90" spans="1:6" x14ac:dyDescent="0.2">
      <c r="A90" s="16">
        <v>88</v>
      </c>
      <c r="B90" s="40">
        <v>46149</v>
      </c>
      <c r="C90" s="6" t="s">
        <v>479</v>
      </c>
      <c r="D90" s="6" t="s">
        <v>559</v>
      </c>
      <c r="E90" s="39">
        <v>2.5</v>
      </c>
      <c r="F90" s="39">
        <v>1444.9999999999998</v>
      </c>
    </row>
    <row r="91" spans="1:6" x14ac:dyDescent="0.2">
      <c r="A91" s="16">
        <v>89</v>
      </c>
      <c r="B91" s="40">
        <v>46149</v>
      </c>
      <c r="C91" s="6" t="s">
        <v>483</v>
      </c>
      <c r="D91" s="6" t="s">
        <v>560</v>
      </c>
      <c r="E91" s="39">
        <v>2.5</v>
      </c>
      <c r="F91" s="39">
        <v>1642.5</v>
      </c>
    </row>
    <row r="92" spans="1:6" x14ac:dyDescent="0.2">
      <c r="A92" s="16">
        <v>90</v>
      </c>
      <c r="B92" s="40">
        <v>46149</v>
      </c>
      <c r="C92" s="6" t="s">
        <v>486</v>
      </c>
      <c r="D92" s="6" t="s">
        <v>561</v>
      </c>
      <c r="E92" s="39">
        <v>2.5</v>
      </c>
      <c r="F92" s="39">
        <v>1565</v>
      </c>
    </row>
  </sheetData>
  <mergeCells count="1">
    <mergeCell ref="C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6F88-33C3-4A46-AA08-976BDE8CAD7B}">
  <sheetPr codeName="Sheet4"/>
  <dimension ref="A1:F10"/>
  <sheetViews>
    <sheetView workbookViewId="0">
      <selection activeCell="D17" sqref="D17"/>
    </sheetView>
  </sheetViews>
  <sheetFormatPr baseColWidth="10" defaultRowHeight="16" x14ac:dyDescent="0.2"/>
  <cols>
    <col min="1" max="1" width="12.83203125" bestFit="1" customWidth="1"/>
    <col min="2" max="2" width="12.83203125" customWidth="1"/>
    <col min="3" max="3" width="23.5" bestFit="1" customWidth="1"/>
    <col min="5" max="5" width="11.6640625" bestFit="1" customWidth="1"/>
  </cols>
  <sheetData>
    <row r="1" spans="1:6" x14ac:dyDescent="0.2">
      <c r="A1" s="47"/>
      <c r="B1" s="49"/>
      <c r="C1" s="49"/>
      <c r="D1" s="49"/>
      <c r="E1" s="50" t="s">
        <v>222</v>
      </c>
      <c r="F1" s="50"/>
    </row>
    <row r="2" spans="1:6" x14ac:dyDescent="0.2">
      <c r="A2" s="4" t="s">
        <v>6</v>
      </c>
      <c r="B2" s="4" t="s">
        <v>565</v>
      </c>
      <c r="C2" s="4" t="s">
        <v>226</v>
      </c>
      <c r="D2" s="4" t="s">
        <v>228</v>
      </c>
      <c r="E2" s="4" t="s">
        <v>251</v>
      </c>
      <c r="F2" s="4" t="s">
        <v>16</v>
      </c>
    </row>
    <row r="3" spans="1:6" x14ac:dyDescent="0.2">
      <c r="A3" s="6" t="s">
        <v>239</v>
      </c>
      <c r="B3" s="40">
        <v>46009</v>
      </c>
      <c r="C3" s="16" t="s">
        <v>240</v>
      </c>
      <c r="D3" s="6">
        <v>1</v>
      </c>
      <c r="E3" s="6">
        <v>92</v>
      </c>
      <c r="F3" s="6">
        <v>205859080</v>
      </c>
    </row>
    <row r="4" spans="1:6" x14ac:dyDescent="0.2">
      <c r="A4" s="18" t="s">
        <v>150</v>
      </c>
      <c r="B4" s="40">
        <v>46009</v>
      </c>
      <c r="C4" s="19" t="s">
        <v>240</v>
      </c>
      <c r="D4" s="18">
        <v>1</v>
      </c>
      <c r="E4" s="6">
        <v>95</v>
      </c>
      <c r="F4" s="6">
        <v>214448.18</v>
      </c>
    </row>
    <row r="5" spans="1:6" x14ac:dyDescent="0.2">
      <c r="A5" s="18" t="s">
        <v>249</v>
      </c>
      <c r="B5" s="40">
        <v>46009</v>
      </c>
      <c r="C5" s="19" t="s">
        <v>240</v>
      </c>
      <c r="D5" s="18">
        <v>1</v>
      </c>
      <c r="E5" s="6">
        <v>92</v>
      </c>
      <c r="F5" s="6">
        <v>207367.06</v>
      </c>
    </row>
    <row r="6" spans="1:6" x14ac:dyDescent="0.2">
      <c r="A6" s="6" t="s">
        <v>243</v>
      </c>
      <c r="B6" s="40">
        <v>46149</v>
      </c>
      <c r="C6" s="16" t="s">
        <v>244</v>
      </c>
      <c r="D6" s="6">
        <v>1</v>
      </c>
      <c r="E6" s="6">
        <v>1016</v>
      </c>
      <c r="F6" s="6">
        <v>3297162580</v>
      </c>
    </row>
    <row r="7" spans="1:6" x14ac:dyDescent="0.2">
      <c r="A7" s="6" t="s">
        <v>150</v>
      </c>
      <c r="B7" s="40">
        <v>46149</v>
      </c>
      <c r="C7" s="16" t="s">
        <v>244</v>
      </c>
      <c r="D7" s="6">
        <v>1</v>
      </c>
      <c r="E7" s="6">
        <v>1127</v>
      </c>
      <c r="F7" s="6">
        <v>3657461.33</v>
      </c>
    </row>
    <row r="8" spans="1:6" x14ac:dyDescent="0.2">
      <c r="A8" s="6" t="s">
        <v>249</v>
      </c>
      <c r="B8" s="40">
        <v>46149</v>
      </c>
      <c r="C8" s="16" t="s">
        <v>244</v>
      </c>
      <c r="D8" s="6">
        <v>1</v>
      </c>
      <c r="E8" s="6">
        <v>1210</v>
      </c>
      <c r="F8" s="6">
        <v>3926745.66</v>
      </c>
    </row>
    <row r="9" spans="1:6" x14ac:dyDescent="0.2">
      <c r="A9" s="6" t="s">
        <v>562</v>
      </c>
      <c r="B9" s="40">
        <v>46149</v>
      </c>
      <c r="C9" s="16" t="s">
        <v>244</v>
      </c>
      <c r="D9" s="6">
        <v>1</v>
      </c>
      <c r="E9" s="6">
        <v>1180</v>
      </c>
      <c r="F9" s="6">
        <v>3827552.31</v>
      </c>
    </row>
    <row r="10" spans="1:6" x14ac:dyDescent="0.2">
      <c r="A10" s="6" t="s">
        <v>563</v>
      </c>
      <c r="B10" s="40">
        <v>46149</v>
      </c>
      <c r="C10" s="16" t="s">
        <v>244</v>
      </c>
      <c r="D10" s="6">
        <v>1</v>
      </c>
      <c r="E10" s="6">
        <v>1160</v>
      </c>
      <c r="F10" s="6">
        <v>3763786.42</v>
      </c>
    </row>
  </sheetData>
  <mergeCells count="2">
    <mergeCell ref="A1:D1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C349-8B25-2B48-80CE-DC564C3FDFE6}">
  <sheetPr codeName="Sheet5"/>
  <dimension ref="A1:G12"/>
  <sheetViews>
    <sheetView workbookViewId="0">
      <selection activeCell="B17" sqref="B17"/>
    </sheetView>
  </sheetViews>
  <sheetFormatPr baseColWidth="10" defaultRowHeight="16" x14ac:dyDescent="0.2"/>
  <cols>
    <col min="1" max="1" width="17.83203125" bestFit="1" customWidth="1"/>
    <col min="2" max="2" width="17.83203125" customWidth="1"/>
    <col min="3" max="3" width="47" bestFit="1" customWidth="1"/>
    <col min="5" max="5" width="12.1640625" bestFit="1" customWidth="1"/>
    <col min="6" max="6" width="11" bestFit="1" customWidth="1"/>
  </cols>
  <sheetData>
    <row r="1" spans="1:7" x14ac:dyDescent="0.2">
      <c r="A1" s="10"/>
      <c r="B1" s="10"/>
      <c r="C1" s="10"/>
      <c r="D1" s="11"/>
      <c r="E1" s="46" t="s">
        <v>222</v>
      </c>
      <c r="F1" s="45"/>
      <c r="G1" s="25"/>
    </row>
    <row r="2" spans="1:7" x14ac:dyDescent="0.2">
      <c r="A2" s="14" t="s">
        <v>6</v>
      </c>
      <c r="B2" s="15" t="s">
        <v>565</v>
      </c>
      <c r="C2" s="15" t="s">
        <v>226</v>
      </c>
      <c r="D2" s="15" t="s">
        <v>228</v>
      </c>
      <c r="E2" s="23" t="s">
        <v>251</v>
      </c>
      <c r="F2" s="24" t="s">
        <v>289</v>
      </c>
      <c r="G2" s="26"/>
    </row>
    <row r="3" spans="1:7" x14ac:dyDescent="0.2">
      <c r="A3" s="16" t="s">
        <v>197</v>
      </c>
      <c r="B3" s="40">
        <v>46009</v>
      </c>
      <c r="C3" s="21" t="s">
        <v>284</v>
      </c>
      <c r="D3" s="21">
        <v>1</v>
      </c>
      <c r="E3" s="22">
        <v>0</v>
      </c>
      <c r="F3" s="6">
        <f>E3/58.933195</f>
        <v>0</v>
      </c>
    </row>
    <row r="4" spans="1:7" x14ac:dyDescent="0.2">
      <c r="A4" s="20" t="s">
        <v>200</v>
      </c>
      <c r="B4" s="40">
        <v>46009</v>
      </c>
      <c r="C4" s="22" t="s">
        <v>285</v>
      </c>
      <c r="D4" s="22">
        <v>1</v>
      </c>
      <c r="E4" s="22">
        <v>101</v>
      </c>
      <c r="F4" s="28">
        <f t="shared" ref="F4:F7" si="0">E4/58.933195</f>
        <v>1.7138049277660918</v>
      </c>
    </row>
    <row r="5" spans="1:7" x14ac:dyDescent="0.2">
      <c r="A5" s="20" t="s">
        <v>203</v>
      </c>
      <c r="B5" s="40">
        <v>46009</v>
      </c>
      <c r="C5" s="22" t="s">
        <v>286</v>
      </c>
      <c r="D5" s="22">
        <v>10</v>
      </c>
      <c r="E5" s="22">
        <v>990</v>
      </c>
      <c r="F5" s="28">
        <f t="shared" si="0"/>
        <v>16.798681965231989</v>
      </c>
    </row>
    <row r="6" spans="1:7" x14ac:dyDescent="0.2">
      <c r="A6" s="20" t="s">
        <v>206</v>
      </c>
      <c r="B6" s="40">
        <v>46009</v>
      </c>
      <c r="C6" s="22" t="s">
        <v>287</v>
      </c>
      <c r="D6" s="22">
        <v>20</v>
      </c>
      <c r="E6" s="22">
        <v>9580</v>
      </c>
      <c r="F6" s="28">
        <f t="shared" si="0"/>
        <v>162.55694265345701</v>
      </c>
    </row>
    <row r="7" spans="1:7" x14ac:dyDescent="0.2">
      <c r="A7" s="20" t="s">
        <v>209</v>
      </c>
      <c r="B7" s="40">
        <v>46009</v>
      </c>
      <c r="C7" s="22" t="s">
        <v>288</v>
      </c>
      <c r="D7" s="22">
        <v>20</v>
      </c>
      <c r="E7" s="22">
        <v>102340</v>
      </c>
      <c r="F7" s="28">
        <f t="shared" si="0"/>
        <v>1736.5425376988301</v>
      </c>
    </row>
    <row r="8" spans="1:7" x14ac:dyDescent="0.2">
      <c r="A8" s="16" t="s">
        <v>197</v>
      </c>
      <c r="B8" s="40">
        <v>46149</v>
      </c>
      <c r="C8" s="21" t="s">
        <v>284</v>
      </c>
      <c r="D8" s="21">
        <v>1</v>
      </c>
      <c r="E8" s="6">
        <v>0</v>
      </c>
      <c r="F8" s="6">
        <f>E8/58.933195</f>
        <v>0</v>
      </c>
    </row>
    <row r="9" spans="1:7" x14ac:dyDescent="0.2">
      <c r="A9" s="20" t="s">
        <v>200</v>
      </c>
      <c r="B9" s="40">
        <v>46149</v>
      </c>
      <c r="C9" s="22" t="s">
        <v>285</v>
      </c>
      <c r="D9" s="22">
        <v>1</v>
      </c>
      <c r="E9" s="6">
        <v>94</v>
      </c>
      <c r="F9" s="28">
        <f t="shared" ref="F9:F12" si="1">E9/58.933195</f>
        <v>1.5950263684159667</v>
      </c>
    </row>
    <row r="10" spans="1:7" x14ac:dyDescent="0.2">
      <c r="A10" s="20" t="s">
        <v>203</v>
      </c>
      <c r="B10" s="40">
        <v>46149</v>
      </c>
      <c r="C10" s="22" t="s">
        <v>286</v>
      </c>
      <c r="D10" s="22">
        <v>10</v>
      </c>
      <c r="E10" s="6">
        <v>960</v>
      </c>
      <c r="F10" s="28">
        <f t="shared" si="1"/>
        <v>16.289630996588595</v>
      </c>
    </row>
    <row r="11" spans="1:7" x14ac:dyDescent="0.2">
      <c r="A11" s="20" t="s">
        <v>206</v>
      </c>
      <c r="B11" s="40">
        <v>46149</v>
      </c>
      <c r="C11" s="22" t="s">
        <v>287</v>
      </c>
      <c r="D11" s="22">
        <v>20</v>
      </c>
      <c r="E11" s="6">
        <v>11080.000000000002</v>
      </c>
      <c r="F11" s="28">
        <f t="shared" si="1"/>
        <v>188.00949108562673</v>
      </c>
    </row>
    <row r="12" spans="1:7" x14ac:dyDescent="0.2">
      <c r="A12" s="20" t="s">
        <v>209</v>
      </c>
      <c r="B12" s="40">
        <v>46149</v>
      </c>
      <c r="C12" s="22" t="s">
        <v>288</v>
      </c>
      <c r="D12" s="22">
        <v>20</v>
      </c>
      <c r="E12" s="6">
        <v>108260</v>
      </c>
      <c r="F12" s="28">
        <f t="shared" si="1"/>
        <v>1836.9952621777932</v>
      </c>
    </row>
  </sheetData>
  <mergeCells count="1">
    <mergeCell ref="E1:F1"/>
  </mergeCells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CC3F-3175-6E40-80E2-59B9CE772917}">
  <sheetPr codeName="Sheet6"/>
  <dimension ref="A1:R35"/>
  <sheetViews>
    <sheetView topLeftCell="B1" zoomScale="67" zoomScaleNormal="99" workbookViewId="0">
      <selection activeCell="L45" sqref="L45"/>
    </sheetView>
  </sheetViews>
  <sheetFormatPr baseColWidth="10" defaultRowHeight="16" x14ac:dyDescent="0.2"/>
  <cols>
    <col min="1" max="1" width="17.83203125" bestFit="1" customWidth="1"/>
    <col min="2" max="2" width="47" bestFit="1" customWidth="1"/>
    <col min="4" max="4" width="13.33203125" bestFit="1" customWidth="1"/>
    <col min="5" max="5" width="11" bestFit="1" customWidth="1"/>
    <col min="6" max="9" width="11" customWidth="1"/>
    <col min="10" max="10" width="25.5" bestFit="1" customWidth="1"/>
    <col min="11" max="11" width="25.1640625" bestFit="1" customWidth="1"/>
    <col min="12" max="12" width="30.1640625" bestFit="1" customWidth="1"/>
    <col min="13" max="13" width="24" bestFit="1" customWidth="1"/>
    <col min="15" max="15" width="15.33203125" bestFit="1" customWidth="1"/>
    <col min="16" max="16" width="20.83203125" bestFit="1" customWidth="1"/>
  </cols>
  <sheetData>
    <row r="1" spans="1:18" x14ac:dyDescent="0.2">
      <c r="A1" s="44"/>
      <c r="B1" s="44"/>
      <c r="C1" s="45"/>
      <c r="D1" s="46" t="s">
        <v>290</v>
      </c>
      <c r="E1" s="44"/>
      <c r="F1" s="46" t="s">
        <v>291</v>
      </c>
      <c r="G1" s="44"/>
      <c r="H1" s="47" t="s">
        <v>566</v>
      </c>
      <c r="I1" s="48"/>
      <c r="J1" s="31"/>
      <c r="K1" s="30"/>
      <c r="L1" s="30"/>
      <c r="M1" s="30"/>
      <c r="N1" s="30"/>
      <c r="O1" s="30"/>
      <c r="P1" s="32"/>
      <c r="R1" s="41"/>
    </row>
    <row r="2" spans="1:18" x14ac:dyDescent="0.2">
      <c r="A2" s="14" t="s">
        <v>6</v>
      </c>
      <c r="B2" s="15" t="s">
        <v>226</v>
      </c>
      <c r="C2" s="15" t="s">
        <v>228</v>
      </c>
      <c r="D2" s="15" t="s">
        <v>251</v>
      </c>
      <c r="E2" s="23" t="s">
        <v>289</v>
      </c>
      <c r="F2" s="15" t="s">
        <v>251</v>
      </c>
      <c r="G2" s="23" t="s">
        <v>289</v>
      </c>
      <c r="H2" s="15" t="s">
        <v>251</v>
      </c>
      <c r="I2" s="23" t="s">
        <v>289</v>
      </c>
      <c r="J2" s="29" t="s">
        <v>293</v>
      </c>
      <c r="K2" s="14" t="s">
        <v>292</v>
      </c>
      <c r="L2" s="14" t="s">
        <v>298</v>
      </c>
      <c r="M2" s="14" t="s">
        <v>294</v>
      </c>
      <c r="N2" s="23" t="s">
        <v>295</v>
      </c>
      <c r="O2" s="14" t="s">
        <v>296</v>
      </c>
      <c r="P2" s="23" t="s">
        <v>297</v>
      </c>
      <c r="R2" s="42" t="s">
        <v>567</v>
      </c>
    </row>
    <row r="3" spans="1:18" x14ac:dyDescent="0.2">
      <c r="A3" s="6" t="s">
        <v>81</v>
      </c>
      <c r="B3" s="6" t="s">
        <v>252</v>
      </c>
      <c r="C3" s="6">
        <v>10</v>
      </c>
      <c r="D3" s="6">
        <v>80</v>
      </c>
      <c r="E3" s="28">
        <f t="shared" ref="E3:E34" si="0">D3/58.933195</f>
        <v>1.3574692497157164</v>
      </c>
      <c r="F3" s="6">
        <v>90</v>
      </c>
      <c r="G3" s="28">
        <f t="shared" ref="G3:G31" si="1">F3/58.933195</f>
        <v>1.5271529059301809</v>
      </c>
      <c r="H3" s="28"/>
      <c r="I3" s="28"/>
      <c r="J3" s="27">
        <f t="shared" ref="J3" si="2">E3</f>
        <v>1.3574692497157164</v>
      </c>
    </row>
    <row r="4" spans="1:18" x14ac:dyDescent="0.2">
      <c r="A4" s="6" t="s">
        <v>325</v>
      </c>
      <c r="B4" s="6" t="s">
        <v>514</v>
      </c>
      <c r="C4" s="6">
        <v>10</v>
      </c>
      <c r="D4" s="6">
        <v>80</v>
      </c>
      <c r="E4" s="28">
        <f t="shared" ref="E4:E31" si="3">D4/58.933195</f>
        <v>1.3574692497157164</v>
      </c>
      <c r="F4" s="6">
        <v>80</v>
      </c>
      <c r="G4" s="28">
        <f t="shared" si="1"/>
        <v>1.3574692497157164</v>
      </c>
      <c r="H4" s="6">
        <v>2.5</v>
      </c>
      <c r="I4" s="28">
        <f>H4/58.933195</f>
        <v>4.2420914053616136E-2</v>
      </c>
      <c r="J4" s="27">
        <f t="shared" ref="J4:J34" si="4">E4</f>
        <v>1.3574692497157164</v>
      </c>
    </row>
    <row r="5" spans="1:18" x14ac:dyDescent="0.2">
      <c r="A5" s="6" t="s">
        <v>87</v>
      </c>
      <c r="B5" s="6" t="s">
        <v>278</v>
      </c>
      <c r="C5" s="6">
        <v>10</v>
      </c>
      <c r="D5" s="6">
        <v>80</v>
      </c>
      <c r="E5" s="28">
        <f t="shared" si="3"/>
        <v>1.3574692497157164</v>
      </c>
      <c r="F5" s="6">
        <v>90</v>
      </c>
      <c r="G5" s="28">
        <f t="shared" si="1"/>
        <v>1.5271529059301809</v>
      </c>
      <c r="H5" s="28"/>
      <c r="I5" s="28"/>
      <c r="J5" s="27">
        <f t="shared" si="4"/>
        <v>1.3574692497157164</v>
      </c>
      <c r="K5" s="27">
        <f>J5-G5</f>
        <v>-0.16968365621446457</v>
      </c>
      <c r="L5">
        <f t="shared" ref="L5:L7" si="5">K5/1000</f>
        <v>-1.6968365621446458E-4</v>
      </c>
      <c r="M5">
        <f t="shared" ref="M5:M7" si="6">K5/J5*100</f>
        <v>-12.500000000000004</v>
      </c>
      <c r="N5" s="36">
        <v>4700000000</v>
      </c>
      <c r="O5" s="36">
        <f>L5/N5</f>
        <v>-3.6102905577545655E-14</v>
      </c>
      <c r="P5" t="e">
        <f t="shared" ref="P5:P7" si="7">LOG10(O5)</f>
        <v>#NUM!</v>
      </c>
    </row>
    <row r="6" spans="1:18" x14ac:dyDescent="0.2">
      <c r="A6" s="6" t="s">
        <v>93</v>
      </c>
      <c r="B6" s="6" t="s">
        <v>280</v>
      </c>
      <c r="C6" s="6">
        <v>10</v>
      </c>
      <c r="D6" s="6">
        <v>80</v>
      </c>
      <c r="E6" s="28">
        <f t="shared" si="3"/>
        <v>1.3574692497157164</v>
      </c>
      <c r="F6" s="6">
        <v>80</v>
      </c>
      <c r="G6" s="28">
        <f t="shared" si="1"/>
        <v>1.3574692497157164</v>
      </c>
      <c r="H6" s="28"/>
      <c r="I6" s="28"/>
      <c r="J6" s="33">
        <f t="shared" si="4"/>
        <v>1.3574692497157164</v>
      </c>
      <c r="K6">
        <f t="shared" ref="K6:K7" si="8">J6-G6</f>
        <v>0</v>
      </c>
      <c r="L6">
        <f t="shared" si="5"/>
        <v>0</v>
      </c>
      <c r="M6">
        <f t="shared" si="6"/>
        <v>0</v>
      </c>
      <c r="N6" s="36">
        <v>6500000000</v>
      </c>
      <c r="O6" s="36">
        <f t="shared" ref="O6:O7" si="9">L6/N6</f>
        <v>0</v>
      </c>
      <c r="P6" t="e">
        <f t="shared" si="7"/>
        <v>#NUM!</v>
      </c>
    </row>
    <row r="7" spans="1:18" x14ac:dyDescent="0.2">
      <c r="A7" s="6" t="s">
        <v>99</v>
      </c>
      <c r="B7" s="6" t="s">
        <v>282</v>
      </c>
      <c r="C7" s="6">
        <v>10</v>
      </c>
      <c r="D7" s="6">
        <v>80</v>
      </c>
      <c r="E7" s="28">
        <f t="shared" si="3"/>
        <v>1.3574692497157164</v>
      </c>
      <c r="F7" s="6">
        <v>80</v>
      </c>
      <c r="G7" s="28">
        <f t="shared" si="1"/>
        <v>1.3574692497157164</v>
      </c>
      <c r="H7" s="28"/>
      <c r="I7" s="28"/>
      <c r="J7" s="33">
        <f t="shared" si="4"/>
        <v>1.3574692497157164</v>
      </c>
      <c r="K7">
        <f t="shared" si="8"/>
        <v>0</v>
      </c>
      <c r="L7">
        <f t="shared" si="5"/>
        <v>0</v>
      </c>
      <c r="M7">
        <f t="shared" si="6"/>
        <v>0</v>
      </c>
      <c r="N7" s="36">
        <v>3300000000</v>
      </c>
      <c r="O7" s="36">
        <f t="shared" si="9"/>
        <v>0</v>
      </c>
      <c r="P7" t="e">
        <f t="shared" si="7"/>
        <v>#NUM!</v>
      </c>
    </row>
    <row r="8" spans="1:18" x14ac:dyDescent="0.2">
      <c r="A8" s="6" t="s">
        <v>327</v>
      </c>
      <c r="B8" s="6" t="s">
        <v>515</v>
      </c>
      <c r="C8" s="6">
        <v>10</v>
      </c>
      <c r="D8" s="6">
        <v>80</v>
      </c>
      <c r="E8" s="28">
        <f t="shared" si="3"/>
        <v>1.3574692497157164</v>
      </c>
      <c r="F8" s="6">
        <v>80</v>
      </c>
      <c r="G8" s="28">
        <f t="shared" si="1"/>
        <v>1.3574692497157164</v>
      </c>
      <c r="H8" s="6">
        <v>2.5</v>
      </c>
      <c r="I8" s="28">
        <f>H8/58.933195</f>
        <v>4.2420914053616136E-2</v>
      </c>
      <c r="J8" s="27">
        <f t="shared" si="4"/>
        <v>1.3574692497157164</v>
      </c>
      <c r="K8" s="27">
        <f t="shared" ref="K8:K34" si="10">J8-G8</f>
        <v>0</v>
      </c>
      <c r="L8">
        <f t="shared" ref="L8:L31" si="11">K8/1000</f>
        <v>0</v>
      </c>
      <c r="M8">
        <f t="shared" ref="M8:M31" si="12">K8/J8*100</f>
        <v>0</v>
      </c>
      <c r="N8" s="36">
        <v>3900000000</v>
      </c>
      <c r="O8" s="36">
        <f t="shared" ref="O8:O31" si="13">L8/N8</f>
        <v>0</v>
      </c>
      <c r="P8" t="e">
        <f t="shared" ref="P8:P31" si="14">LOG10(O8)</f>
        <v>#NUM!</v>
      </c>
    </row>
    <row r="9" spans="1:18" x14ac:dyDescent="0.2">
      <c r="A9" s="6" t="s">
        <v>330</v>
      </c>
      <c r="B9" s="6" t="s">
        <v>516</v>
      </c>
      <c r="C9" s="6">
        <v>10</v>
      </c>
      <c r="D9" s="6">
        <v>80</v>
      </c>
      <c r="E9" s="28">
        <f t="shared" si="3"/>
        <v>1.3574692497157164</v>
      </c>
      <c r="F9" s="6">
        <v>90</v>
      </c>
      <c r="G9" s="28">
        <f t="shared" si="1"/>
        <v>1.5271529059301809</v>
      </c>
      <c r="H9" s="6">
        <v>2.5</v>
      </c>
      <c r="I9" s="28">
        <f>H9/58.933195</f>
        <v>4.2420914053616136E-2</v>
      </c>
      <c r="J9" s="33">
        <f t="shared" si="4"/>
        <v>1.3574692497157164</v>
      </c>
      <c r="K9">
        <f t="shared" si="10"/>
        <v>-0.16968365621446457</v>
      </c>
      <c r="L9">
        <f t="shared" si="11"/>
        <v>-1.6968365621446458E-4</v>
      </c>
      <c r="M9">
        <f t="shared" si="12"/>
        <v>-12.500000000000004</v>
      </c>
      <c r="N9" s="36">
        <v>3200000000</v>
      </c>
      <c r="O9" s="36">
        <f t="shared" si="13"/>
        <v>-5.3026142567020183E-14</v>
      </c>
      <c r="P9" t="e">
        <f t="shared" si="14"/>
        <v>#NUM!</v>
      </c>
    </row>
    <row r="10" spans="1:18" x14ac:dyDescent="0.2">
      <c r="A10" s="6" t="s">
        <v>332</v>
      </c>
      <c r="B10" s="6" t="s">
        <v>517</v>
      </c>
      <c r="C10" s="6">
        <v>10</v>
      </c>
      <c r="D10" s="6">
        <v>80</v>
      </c>
      <c r="E10" s="28">
        <f t="shared" si="3"/>
        <v>1.3574692497157164</v>
      </c>
      <c r="F10" s="6">
        <v>90</v>
      </c>
      <c r="G10" s="28">
        <f t="shared" si="1"/>
        <v>1.5271529059301809</v>
      </c>
      <c r="H10" s="6">
        <v>2.5</v>
      </c>
      <c r="I10" s="28">
        <f>H10/58.933195</f>
        <v>4.2420914053616136E-2</v>
      </c>
      <c r="J10" s="33">
        <f t="shared" si="4"/>
        <v>1.3574692497157164</v>
      </c>
      <c r="K10">
        <f t="shared" si="10"/>
        <v>-0.16968365621446457</v>
      </c>
      <c r="L10">
        <f t="shared" si="11"/>
        <v>-1.6968365621446458E-4</v>
      </c>
      <c r="M10">
        <f t="shared" si="12"/>
        <v>-12.500000000000004</v>
      </c>
      <c r="N10" s="36">
        <v>3900000000</v>
      </c>
      <c r="O10" s="36">
        <f t="shared" si="13"/>
        <v>-4.3508629798580665E-14</v>
      </c>
      <c r="P10" t="e">
        <f t="shared" si="14"/>
        <v>#NUM!</v>
      </c>
    </row>
    <row r="11" spans="1:18" x14ac:dyDescent="0.2">
      <c r="A11" s="6" t="s">
        <v>105</v>
      </c>
      <c r="B11" s="6" t="s">
        <v>255</v>
      </c>
      <c r="C11" s="6">
        <v>10</v>
      </c>
      <c r="D11" s="6">
        <v>170</v>
      </c>
      <c r="E11" s="28">
        <f t="shared" si="3"/>
        <v>2.8846221556458973</v>
      </c>
      <c r="F11" s="6">
        <v>170</v>
      </c>
      <c r="G11" s="28">
        <f t="shared" si="1"/>
        <v>2.8846221556458973</v>
      </c>
      <c r="H11" s="28"/>
      <c r="I11" s="28"/>
      <c r="J11" s="33">
        <f t="shared" si="4"/>
        <v>2.8846221556458973</v>
      </c>
      <c r="K11">
        <f t="shared" si="10"/>
        <v>0</v>
      </c>
      <c r="L11">
        <f t="shared" si="11"/>
        <v>0</v>
      </c>
      <c r="M11">
        <f t="shared" si="12"/>
        <v>0</v>
      </c>
      <c r="N11" s="36">
        <v>2500000000</v>
      </c>
      <c r="O11" s="36">
        <f t="shared" si="13"/>
        <v>0</v>
      </c>
      <c r="P11" t="e">
        <f t="shared" si="14"/>
        <v>#NUM!</v>
      </c>
    </row>
    <row r="12" spans="1:18" x14ac:dyDescent="0.2">
      <c r="A12" s="6" t="s">
        <v>112</v>
      </c>
      <c r="B12" s="6" t="s">
        <v>254</v>
      </c>
      <c r="C12" s="6">
        <v>10</v>
      </c>
      <c r="D12" s="6">
        <v>170</v>
      </c>
      <c r="E12" s="28">
        <f t="shared" si="3"/>
        <v>2.8846221556458973</v>
      </c>
      <c r="F12" s="6">
        <v>170</v>
      </c>
      <c r="G12" s="28">
        <f t="shared" si="1"/>
        <v>2.8846221556458973</v>
      </c>
      <c r="H12" s="28"/>
      <c r="I12" s="28"/>
      <c r="J12" s="33">
        <f t="shared" si="4"/>
        <v>2.8846221556458973</v>
      </c>
      <c r="K12">
        <f t="shared" si="10"/>
        <v>0</v>
      </c>
      <c r="L12">
        <f t="shared" si="11"/>
        <v>0</v>
      </c>
      <c r="M12">
        <f t="shared" si="12"/>
        <v>0</v>
      </c>
      <c r="N12" s="36">
        <v>3800000000</v>
      </c>
      <c r="O12" s="36">
        <f t="shared" si="13"/>
        <v>0</v>
      </c>
      <c r="P12" t="e">
        <f t="shared" si="14"/>
        <v>#NUM!</v>
      </c>
    </row>
    <row r="13" spans="1:18" x14ac:dyDescent="0.2">
      <c r="A13" s="6" t="s">
        <v>118</v>
      </c>
      <c r="B13" s="6" t="s">
        <v>258</v>
      </c>
      <c r="C13" s="6">
        <v>10</v>
      </c>
      <c r="D13" s="6">
        <v>170</v>
      </c>
      <c r="E13" s="28">
        <f t="shared" si="3"/>
        <v>2.8846221556458973</v>
      </c>
      <c r="F13" s="6">
        <v>170</v>
      </c>
      <c r="G13" s="28">
        <f t="shared" si="1"/>
        <v>2.8846221556458973</v>
      </c>
      <c r="H13" s="28"/>
      <c r="I13" s="28"/>
      <c r="J13" s="33">
        <f t="shared" si="4"/>
        <v>2.8846221556458973</v>
      </c>
      <c r="K13">
        <f t="shared" si="10"/>
        <v>0</v>
      </c>
      <c r="L13">
        <f t="shared" si="11"/>
        <v>0</v>
      </c>
      <c r="M13">
        <f t="shared" si="12"/>
        <v>0</v>
      </c>
      <c r="N13" s="36">
        <v>5400000000</v>
      </c>
      <c r="O13" s="36">
        <f t="shared" si="13"/>
        <v>0</v>
      </c>
      <c r="P13" t="e">
        <f t="shared" si="14"/>
        <v>#NUM!</v>
      </c>
    </row>
    <row r="14" spans="1:18" x14ac:dyDescent="0.2">
      <c r="A14" s="6" t="s">
        <v>334</v>
      </c>
      <c r="B14" s="6" t="s">
        <v>518</v>
      </c>
      <c r="C14" s="6">
        <v>10</v>
      </c>
      <c r="D14" s="6">
        <v>160</v>
      </c>
      <c r="E14" s="28">
        <f t="shared" si="3"/>
        <v>2.7149384994314327</v>
      </c>
      <c r="F14" s="6">
        <v>160</v>
      </c>
      <c r="G14" s="28">
        <f t="shared" si="1"/>
        <v>2.7149384994314327</v>
      </c>
      <c r="H14" s="6">
        <v>2.5</v>
      </c>
      <c r="I14" s="28">
        <f>H14/58.933195</f>
        <v>4.2420914053616136E-2</v>
      </c>
      <c r="J14" s="33">
        <f t="shared" si="4"/>
        <v>2.7149384994314327</v>
      </c>
      <c r="K14">
        <f t="shared" si="10"/>
        <v>0</v>
      </c>
      <c r="L14">
        <f t="shared" si="11"/>
        <v>0</v>
      </c>
      <c r="M14">
        <f t="shared" si="12"/>
        <v>0</v>
      </c>
      <c r="N14" s="36">
        <v>6000000000</v>
      </c>
      <c r="O14" s="36">
        <f t="shared" si="13"/>
        <v>0</v>
      </c>
      <c r="P14" t="e">
        <f t="shared" si="14"/>
        <v>#NUM!</v>
      </c>
    </row>
    <row r="15" spans="1:18" x14ac:dyDescent="0.2">
      <c r="A15" s="6" t="s">
        <v>336</v>
      </c>
      <c r="B15" s="6" t="s">
        <v>519</v>
      </c>
      <c r="C15" s="6">
        <v>10</v>
      </c>
      <c r="D15" s="6">
        <v>170</v>
      </c>
      <c r="E15" s="28">
        <f t="shared" si="3"/>
        <v>2.8846221556458973</v>
      </c>
      <c r="F15" s="6">
        <v>170</v>
      </c>
      <c r="G15" s="28">
        <f t="shared" si="1"/>
        <v>2.8846221556458973</v>
      </c>
      <c r="H15" s="6">
        <v>2.5</v>
      </c>
      <c r="I15" s="28">
        <f>H15/58.933195</f>
        <v>4.2420914053616136E-2</v>
      </c>
      <c r="J15" s="33">
        <f t="shared" si="4"/>
        <v>2.8846221556458973</v>
      </c>
      <c r="K15">
        <f t="shared" si="10"/>
        <v>0</v>
      </c>
      <c r="L15">
        <f t="shared" si="11"/>
        <v>0</v>
      </c>
      <c r="M15">
        <f t="shared" si="12"/>
        <v>0</v>
      </c>
      <c r="N15" s="36">
        <v>4800000000</v>
      </c>
      <c r="O15" s="36">
        <f t="shared" si="13"/>
        <v>0</v>
      </c>
      <c r="P15" t="e">
        <f t="shared" si="14"/>
        <v>#NUM!</v>
      </c>
    </row>
    <row r="16" spans="1:18" x14ac:dyDescent="0.2">
      <c r="A16" s="6" t="s">
        <v>338</v>
      </c>
      <c r="B16" s="6" t="s">
        <v>520</v>
      </c>
      <c r="C16" s="6">
        <v>10</v>
      </c>
      <c r="D16" s="6">
        <v>170</v>
      </c>
      <c r="E16" s="28">
        <f t="shared" si="3"/>
        <v>2.8846221556458973</v>
      </c>
      <c r="F16" s="6">
        <v>170</v>
      </c>
      <c r="G16" s="28">
        <f t="shared" si="1"/>
        <v>2.8846221556458973</v>
      </c>
      <c r="H16" s="6">
        <v>2.5</v>
      </c>
      <c r="I16" s="28">
        <f>H16/58.933195</f>
        <v>4.2420914053616136E-2</v>
      </c>
      <c r="J16" s="33">
        <f t="shared" si="4"/>
        <v>2.8846221556458973</v>
      </c>
      <c r="K16">
        <f t="shared" si="10"/>
        <v>0</v>
      </c>
      <c r="L16">
        <f t="shared" si="11"/>
        <v>0</v>
      </c>
      <c r="M16">
        <f t="shared" si="12"/>
        <v>0</v>
      </c>
      <c r="N16" s="36">
        <v>3000000000</v>
      </c>
      <c r="O16" s="36">
        <f t="shared" si="13"/>
        <v>0</v>
      </c>
      <c r="P16" t="e">
        <f t="shared" si="14"/>
        <v>#NUM!</v>
      </c>
    </row>
    <row r="17" spans="1:16" x14ac:dyDescent="0.2">
      <c r="A17" s="6" t="s">
        <v>125</v>
      </c>
      <c r="B17" s="6" t="s">
        <v>260</v>
      </c>
      <c r="C17" s="6">
        <v>10</v>
      </c>
      <c r="D17" s="6">
        <v>929.99999999999989</v>
      </c>
      <c r="E17" s="28">
        <f t="shared" si="3"/>
        <v>15.7805800279452</v>
      </c>
      <c r="F17" s="6">
        <v>889.99999999999989</v>
      </c>
      <c r="G17" s="28">
        <f t="shared" si="1"/>
        <v>15.101845403087342</v>
      </c>
      <c r="H17" s="28"/>
      <c r="I17" s="28"/>
      <c r="J17" s="33">
        <f t="shared" si="4"/>
        <v>15.7805800279452</v>
      </c>
      <c r="K17" s="27">
        <f t="shared" si="10"/>
        <v>0.67873462485785829</v>
      </c>
      <c r="L17">
        <f t="shared" si="11"/>
        <v>6.7873462485785834E-4</v>
      </c>
      <c r="M17" s="35">
        <f t="shared" si="12"/>
        <v>4.3010752688172049</v>
      </c>
      <c r="N17" s="36">
        <v>6420000000</v>
      </c>
      <c r="O17" s="36">
        <f t="shared" si="13"/>
        <v>1.0572190418346704E-13</v>
      </c>
      <c r="P17">
        <f t="shared" si="14"/>
        <v>-12.975835023284134</v>
      </c>
    </row>
    <row r="18" spans="1:16" x14ac:dyDescent="0.2">
      <c r="A18" s="6" t="s">
        <v>132</v>
      </c>
      <c r="B18" s="6" t="s">
        <v>262</v>
      </c>
      <c r="C18" s="6">
        <v>10</v>
      </c>
      <c r="D18" s="6">
        <v>960</v>
      </c>
      <c r="E18" s="28">
        <f t="shared" si="3"/>
        <v>16.289630996588595</v>
      </c>
      <c r="F18" s="6">
        <v>909.99999999999989</v>
      </c>
      <c r="G18" s="28">
        <f t="shared" si="1"/>
        <v>15.44121271551627</v>
      </c>
      <c r="H18" s="28"/>
      <c r="I18" s="28"/>
      <c r="J18" s="33">
        <f t="shared" si="4"/>
        <v>16.289630996588595</v>
      </c>
      <c r="K18">
        <f t="shared" si="10"/>
        <v>0.84841828107232509</v>
      </c>
      <c r="L18">
        <f t="shared" si="11"/>
        <v>8.4841828107232512E-4</v>
      </c>
      <c r="M18" s="35">
        <f t="shared" si="12"/>
        <v>5.2083333333333481</v>
      </c>
      <c r="N18" s="36">
        <v>5480000000</v>
      </c>
      <c r="O18" s="36">
        <f t="shared" si="13"/>
        <v>1.5482085421027831E-13</v>
      </c>
      <c r="P18">
        <f t="shared" si="14"/>
        <v>-12.810170540691592</v>
      </c>
    </row>
    <row r="19" spans="1:16" x14ac:dyDescent="0.2">
      <c r="A19" s="6" t="s">
        <v>139</v>
      </c>
      <c r="B19" s="6" t="s">
        <v>264</v>
      </c>
      <c r="C19" s="6">
        <v>10</v>
      </c>
      <c r="D19" s="6">
        <v>950</v>
      </c>
      <c r="E19" s="28">
        <f t="shared" si="3"/>
        <v>16.119947340374132</v>
      </c>
      <c r="F19" s="6">
        <v>850.00000000000011</v>
      </c>
      <c r="G19" s="28">
        <f t="shared" si="1"/>
        <v>14.423110778229487</v>
      </c>
      <c r="H19" s="28"/>
      <c r="I19" s="28"/>
      <c r="J19" s="33">
        <f t="shared" si="4"/>
        <v>16.119947340374132</v>
      </c>
      <c r="K19">
        <f t="shared" si="10"/>
        <v>1.6968365621446448</v>
      </c>
      <c r="L19">
        <f t="shared" si="11"/>
        <v>1.6968365621446448E-3</v>
      </c>
      <c r="M19" s="35">
        <f t="shared" si="12"/>
        <v>10.52631578947368</v>
      </c>
      <c r="N19" s="36">
        <v>5470000000</v>
      </c>
      <c r="O19" s="36">
        <f t="shared" si="13"/>
        <v>3.102077810136462E-13</v>
      </c>
      <c r="P19">
        <f t="shared" si="14"/>
        <v>-12.508347312876674</v>
      </c>
    </row>
    <row r="20" spans="1:16" x14ac:dyDescent="0.2">
      <c r="A20" s="6" t="s">
        <v>340</v>
      </c>
      <c r="B20" s="6" t="s">
        <v>521</v>
      </c>
      <c r="C20" s="6">
        <v>10</v>
      </c>
      <c r="D20" s="6">
        <v>1020</v>
      </c>
      <c r="E20" s="28">
        <f t="shared" si="3"/>
        <v>17.307732933875382</v>
      </c>
      <c r="F20" s="6">
        <v>879.99999999999989</v>
      </c>
      <c r="G20" s="28">
        <f t="shared" si="1"/>
        <v>14.932161746872877</v>
      </c>
      <c r="H20" s="6">
        <v>60</v>
      </c>
      <c r="I20" s="28">
        <f>H20/58.933195</f>
        <v>1.0181019372867872</v>
      </c>
      <c r="J20" s="33">
        <f t="shared" si="4"/>
        <v>17.307732933875382</v>
      </c>
      <c r="K20" s="27">
        <f t="shared" si="10"/>
        <v>2.3755711870025049</v>
      </c>
      <c r="L20">
        <f t="shared" si="11"/>
        <v>2.375571187002505E-3</v>
      </c>
      <c r="M20" s="35">
        <f t="shared" si="12"/>
        <v>13.725490196078441</v>
      </c>
      <c r="N20" s="36">
        <v>4400000000</v>
      </c>
      <c r="O20" s="36">
        <f t="shared" si="13"/>
        <v>5.3990254250056934E-13</v>
      </c>
      <c r="P20">
        <f t="shared" si="14"/>
        <v>-12.267684627351192</v>
      </c>
    </row>
    <row r="21" spans="1:16" x14ac:dyDescent="0.2">
      <c r="A21" s="6" t="s">
        <v>343</v>
      </c>
      <c r="B21" s="6" t="s">
        <v>522</v>
      </c>
      <c r="C21" s="6">
        <v>10</v>
      </c>
      <c r="D21" s="6">
        <v>1030</v>
      </c>
      <c r="E21" s="28">
        <f t="shared" si="3"/>
        <v>17.477416590089849</v>
      </c>
      <c r="F21" s="6">
        <v>869.99999999999989</v>
      </c>
      <c r="G21" s="28">
        <f t="shared" si="1"/>
        <v>14.762478090658412</v>
      </c>
      <c r="H21" s="6">
        <v>60</v>
      </c>
      <c r="I21" s="28">
        <f>H21/58.933195</f>
        <v>1.0181019372867872</v>
      </c>
      <c r="J21" s="33">
        <f t="shared" si="4"/>
        <v>17.477416590089849</v>
      </c>
      <c r="K21">
        <f t="shared" si="10"/>
        <v>2.7149384994314367</v>
      </c>
      <c r="L21">
        <f t="shared" si="11"/>
        <v>2.7149384994314368E-3</v>
      </c>
      <c r="M21" s="35">
        <f t="shared" si="12"/>
        <v>15.533980582524295</v>
      </c>
      <c r="N21" s="36">
        <v>4800000000</v>
      </c>
      <c r="O21" s="36">
        <f t="shared" si="13"/>
        <v>5.6561218738154929E-13</v>
      </c>
      <c r="P21">
        <f t="shared" si="14"/>
        <v>-12.247481241262905</v>
      </c>
    </row>
    <row r="22" spans="1:16" x14ac:dyDescent="0.2">
      <c r="A22" s="6" t="s">
        <v>345</v>
      </c>
      <c r="B22" s="6" t="s">
        <v>523</v>
      </c>
      <c r="C22" s="6">
        <v>10</v>
      </c>
      <c r="D22" s="6">
        <v>1010</v>
      </c>
      <c r="E22" s="28">
        <f t="shared" si="3"/>
        <v>17.138049277660919</v>
      </c>
      <c r="F22" s="6">
        <v>909.99999999999989</v>
      </c>
      <c r="G22" s="28">
        <f t="shared" si="1"/>
        <v>15.44121271551627</v>
      </c>
      <c r="H22" s="6">
        <v>57.499999999999993</v>
      </c>
      <c r="I22" s="28">
        <f>H22/58.933195</f>
        <v>0.97568102323317096</v>
      </c>
      <c r="J22" s="33">
        <f t="shared" si="4"/>
        <v>17.138049277660919</v>
      </c>
      <c r="K22">
        <f t="shared" si="10"/>
        <v>1.6968365621446484</v>
      </c>
      <c r="L22">
        <f t="shared" si="11"/>
        <v>1.6968365621446485E-3</v>
      </c>
      <c r="M22" s="35">
        <f t="shared" si="12"/>
        <v>9.9009900990099187</v>
      </c>
      <c r="N22" s="36">
        <v>6100000000</v>
      </c>
      <c r="O22" s="36">
        <f t="shared" si="13"/>
        <v>2.7816992822043417E-13</v>
      </c>
      <c r="P22">
        <f t="shared" si="14"/>
        <v>-12.55568982155401</v>
      </c>
    </row>
    <row r="23" spans="1:16" x14ac:dyDescent="0.2">
      <c r="A23" s="6" t="s">
        <v>156</v>
      </c>
      <c r="B23" s="6" t="s">
        <v>266</v>
      </c>
      <c r="C23" s="6">
        <v>20</v>
      </c>
      <c r="D23" s="6">
        <v>10060</v>
      </c>
      <c r="E23" s="28">
        <f t="shared" si="3"/>
        <v>170.70175815175133</v>
      </c>
      <c r="F23" s="6">
        <v>8920</v>
      </c>
      <c r="G23" s="28">
        <f t="shared" si="1"/>
        <v>151.35782134330236</v>
      </c>
      <c r="H23" s="28"/>
      <c r="I23" s="28"/>
      <c r="J23" s="33">
        <f t="shared" si="4"/>
        <v>170.70175815175133</v>
      </c>
      <c r="K23">
        <f t="shared" si="10"/>
        <v>19.343936808448973</v>
      </c>
      <c r="L23">
        <f t="shared" si="11"/>
        <v>1.9343936808448974E-2</v>
      </c>
      <c r="M23" s="35">
        <f t="shared" si="12"/>
        <v>11.332007952286292</v>
      </c>
      <c r="N23" s="36">
        <v>6720000</v>
      </c>
      <c r="O23" s="36">
        <f t="shared" si="13"/>
        <v>2.8785620250668116E-9</v>
      </c>
      <c r="P23">
        <f t="shared" si="14"/>
        <v>-8.5408244082605957</v>
      </c>
    </row>
    <row r="24" spans="1:16" x14ac:dyDescent="0.2">
      <c r="A24" s="6" t="s">
        <v>163</v>
      </c>
      <c r="B24" s="6" t="s">
        <v>268</v>
      </c>
      <c r="C24" s="6">
        <v>20</v>
      </c>
      <c r="D24" s="6">
        <v>9600</v>
      </c>
      <c r="E24" s="28">
        <f t="shared" si="3"/>
        <v>162.89630996588596</v>
      </c>
      <c r="F24" s="6">
        <v>9360.0000000000018</v>
      </c>
      <c r="G24" s="28">
        <f t="shared" si="1"/>
        <v>158.82390221673884</v>
      </c>
      <c r="H24" s="28"/>
      <c r="I24" s="28"/>
      <c r="J24" s="33">
        <f t="shared" si="4"/>
        <v>162.89630996588596</v>
      </c>
      <c r="K24">
        <f t="shared" si="10"/>
        <v>4.0724077491471178</v>
      </c>
      <c r="L24">
        <f t="shared" si="11"/>
        <v>4.0724077491471177E-3</v>
      </c>
      <c r="M24">
        <f t="shared" si="12"/>
        <v>2.4999999999999809</v>
      </c>
      <c r="N24" s="36">
        <v>9990000</v>
      </c>
      <c r="O24" s="36">
        <f t="shared" si="13"/>
        <v>4.076484233380498E-10</v>
      </c>
      <c r="P24">
        <f t="shared" si="14"/>
        <v>-9.3897142330576226</v>
      </c>
    </row>
    <row r="25" spans="1:16" x14ac:dyDescent="0.2">
      <c r="A25" s="6" t="s">
        <v>170</v>
      </c>
      <c r="B25" s="6" t="s">
        <v>270</v>
      </c>
      <c r="C25" s="6">
        <v>20</v>
      </c>
      <c r="D25" s="6">
        <v>9379.9999999999982</v>
      </c>
      <c r="E25" s="28">
        <f t="shared" si="3"/>
        <v>159.16326952916771</v>
      </c>
      <c r="F25" s="6">
        <v>9240</v>
      </c>
      <c r="G25" s="28">
        <f t="shared" si="1"/>
        <v>156.78769834216524</v>
      </c>
      <c r="H25" s="28"/>
      <c r="I25" s="28"/>
      <c r="J25" s="33">
        <f t="shared" si="4"/>
        <v>159.16326952916771</v>
      </c>
      <c r="K25">
        <f t="shared" si="10"/>
        <v>2.3755711870024641</v>
      </c>
      <c r="L25">
        <f t="shared" si="11"/>
        <v>2.3755711870024642E-3</v>
      </c>
      <c r="M25" s="35">
        <f t="shared" si="12"/>
        <v>1.4925373134328113</v>
      </c>
      <c r="N25" s="36">
        <v>3950000</v>
      </c>
      <c r="O25" s="36">
        <f t="shared" si="13"/>
        <v>6.014104270892314E-10</v>
      </c>
      <c r="P25">
        <f t="shared" si="14"/>
        <v>-9.2208290464914722</v>
      </c>
    </row>
    <row r="26" spans="1:16" x14ac:dyDescent="0.2">
      <c r="A26" s="6" t="s">
        <v>347</v>
      </c>
      <c r="B26" s="6" t="s">
        <v>524</v>
      </c>
      <c r="C26" s="6">
        <v>20</v>
      </c>
      <c r="D26" s="6">
        <v>10660</v>
      </c>
      <c r="E26" s="28">
        <f t="shared" si="3"/>
        <v>180.8827775246192</v>
      </c>
      <c r="F26" s="6">
        <v>10140</v>
      </c>
      <c r="G26" s="28">
        <f t="shared" si="1"/>
        <v>172.05922740146704</v>
      </c>
      <c r="H26" s="6">
        <v>497.50000000000006</v>
      </c>
      <c r="I26" s="28">
        <f>H26/58.933195</f>
        <v>8.4417618966696111</v>
      </c>
      <c r="J26" s="33">
        <f t="shared" si="4"/>
        <v>180.8827775246192</v>
      </c>
      <c r="K26" s="27">
        <f t="shared" si="10"/>
        <v>8.8235501231521596</v>
      </c>
      <c r="L26">
        <f t="shared" si="11"/>
        <v>8.8235501231521598E-3</v>
      </c>
      <c r="M26" s="35">
        <f t="shared" si="12"/>
        <v>4.8780487804878074</v>
      </c>
      <c r="N26" s="36">
        <v>4700000</v>
      </c>
      <c r="O26" s="36">
        <f t="shared" si="13"/>
        <v>1.8773510900323742E-9</v>
      </c>
      <c r="P26">
        <f t="shared" si="14"/>
        <v>-8.7264545008441612</v>
      </c>
    </row>
    <row r="27" spans="1:16" x14ac:dyDescent="0.2">
      <c r="A27" s="6" t="s">
        <v>356</v>
      </c>
      <c r="B27" s="6" t="s">
        <v>525</v>
      </c>
      <c r="C27" s="6">
        <v>20</v>
      </c>
      <c r="D27" s="6">
        <v>10060</v>
      </c>
      <c r="E27" s="28">
        <f t="shared" si="3"/>
        <v>170.70175815175133</v>
      </c>
      <c r="F27" s="6">
        <v>9520</v>
      </c>
      <c r="G27" s="28">
        <f t="shared" si="1"/>
        <v>161.53884071617023</v>
      </c>
      <c r="H27" s="6">
        <v>464.99999999999994</v>
      </c>
      <c r="I27" s="28">
        <f>H27/58.933195</f>
        <v>7.8902900139726002</v>
      </c>
      <c r="J27" s="33">
        <f t="shared" si="4"/>
        <v>170.70175815175133</v>
      </c>
      <c r="K27">
        <f t="shared" si="10"/>
        <v>9.1629174355811074</v>
      </c>
      <c r="L27">
        <f t="shared" si="11"/>
        <v>9.1629174355811072E-3</v>
      </c>
      <c r="M27">
        <f t="shared" si="12"/>
        <v>5.3677932405566731</v>
      </c>
      <c r="N27" s="36">
        <v>1500000</v>
      </c>
      <c r="O27" s="36">
        <f t="shared" si="13"/>
        <v>6.1086116237207381E-9</v>
      </c>
      <c r="P27">
        <f t="shared" si="14"/>
        <v>-8.214057485775955</v>
      </c>
    </row>
    <row r="28" spans="1:16" x14ac:dyDescent="0.2">
      <c r="A28" s="6" t="s">
        <v>359</v>
      </c>
      <c r="B28" s="6" t="s">
        <v>526</v>
      </c>
      <c r="C28" s="6">
        <v>20</v>
      </c>
      <c r="D28" s="6">
        <v>10500</v>
      </c>
      <c r="E28" s="28">
        <f t="shared" si="3"/>
        <v>178.16783902518776</v>
      </c>
      <c r="F28" s="6">
        <v>10120.000000000002</v>
      </c>
      <c r="G28" s="28">
        <f t="shared" si="1"/>
        <v>171.71986008903815</v>
      </c>
      <c r="H28" s="39">
        <v>432.5</v>
      </c>
      <c r="I28" s="28">
        <f>H28/58.933195</f>
        <v>7.3388181312755911</v>
      </c>
      <c r="J28" s="33">
        <f t="shared" si="4"/>
        <v>178.16783902518776</v>
      </c>
      <c r="K28">
        <f t="shared" si="10"/>
        <v>6.4479789361496103</v>
      </c>
      <c r="L28">
        <f t="shared" si="11"/>
        <v>6.4479789361496101E-3</v>
      </c>
      <c r="M28" s="35">
        <f t="shared" si="12"/>
        <v>3.6190476190475955</v>
      </c>
      <c r="N28" s="36">
        <v>1510000</v>
      </c>
      <c r="O28" s="36">
        <f t="shared" si="13"/>
        <v>4.270184725926894E-9</v>
      </c>
      <c r="P28">
        <f t="shared" si="14"/>
        <v>-8.3695533372196049</v>
      </c>
    </row>
    <row r="29" spans="1:16" x14ac:dyDescent="0.2">
      <c r="A29" s="6" t="s">
        <v>176</v>
      </c>
      <c r="B29" s="6" t="s">
        <v>272</v>
      </c>
      <c r="C29" s="6">
        <v>20</v>
      </c>
      <c r="D29" s="6">
        <v>89780</v>
      </c>
      <c r="E29" s="28">
        <f t="shared" si="3"/>
        <v>1523.4198654934626</v>
      </c>
      <c r="F29" s="6">
        <v>74900</v>
      </c>
      <c r="G29" s="28">
        <f t="shared" si="1"/>
        <v>1270.9305850463393</v>
      </c>
      <c r="H29" s="28"/>
      <c r="I29" s="28"/>
      <c r="J29" s="33">
        <f t="shared" si="4"/>
        <v>1523.4198654934626</v>
      </c>
      <c r="K29">
        <f t="shared" si="10"/>
        <v>252.48928044712329</v>
      </c>
      <c r="L29">
        <f t="shared" si="11"/>
        <v>0.25248928044712327</v>
      </c>
      <c r="M29" s="35">
        <f t="shared" si="12"/>
        <v>16.573847182000449</v>
      </c>
      <c r="N29" s="36">
        <v>97000000</v>
      </c>
      <c r="O29" s="36">
        <f t="shared" si="13"/>
        <v>2.6029822726507553E-9</v>
      </c>
      <c r="P29">
        <f t="shared" si="14"/>
        <v>-8.5845287895996272</v>
      </c>
    </row>
    <row r="30" spans="1:16" x14ac:dyDescent="0.2">
      <c r="A30" s="6" t="s">
        <v>182</v>
      </c>
      <c r="B30" s="6" t="s">
        <v>274</v>
      </c>
      <c r="C30" s="6">
        <v>20</v>
      </c>
      <c r="D30" s="6">
        <v>94100</v>
      </c>
      <c r="E30" s="28">
        <f t="shared" si="3"/>
        <v>1596.7232049781112</v>
      </c>
      <c r="F30" s="6">
        <v>79460</v>
      </c>
      <c r="G30" s="28">
        <f t="shared" si="1"/>
        <v>1348.3063322801352</v>
      </c>
      <c r="H30" s="28"/>
      <c r="I30" s="28"/>
      <c r="J30" s="33">
        <f t="shared" si="4"/>
        <v>1596.7232049781112</v>
      </c>
      <c r="K30">
        <f t="shared" si="10"/>
        <v>248.41687269797603</v>
      </c>
      <c r="L30">
        <f t="shared" si="11"/>
        <v>0.24841687269797602</v>
      </c>
      <c r="M30" s="35">
        <f t="shared" si="12"/>
        <v>15.557917109458023</v>
      </c>
      <c r="N30" s="36">
        <v>19000000</v>
      </c>
      <c r="O30" s="36">
        <f t="shared" si="13"/>
        <v>1.3074572247261896E-8</v>
      </c>
      <c r="P30">
        <f t="shared" si="14"/>
        <v>-7.8835725107736989</v>
      </c>
    </row>
    <row r="31" spans="1:16" x14ac:dyDescent="0.2">
      <c r="A31" s="6" t="s">
        <v>188</v>
      </c>
      <c r="B31" s="6" t="s">
        <v>276</v>
      </c>
      <c r="C31" s="6">
        <v>20</v>
      </c>
      <c r="D31" s="18">
        <v>95700</v>
      </c>
      <c r="E31" s="34">
        <f t="shared" si="3"/>
        <v>1623.8725899724257</v>
      </c>
      <c r="F31" s="6">
        <v>101560</v>
      </c>
      <c r="G31" s="28">
        <f t="shared" si="1"/>
        <v>1723.3072125141018</v>
      </c>
      <c r="H31" s="28"/>
      <c r="I31" s="28"/>
      <c r="J31" s="33">
        <f t="shared" si="4"/>
        <v>1623.8725899724257</v>
      </c>
      <c r="K31">
        <f t="shared" si="10"/>
        <v>-99.434622541676163</v>
      </c>
      <c r="L31">
        <f t="shared" si="11"/>
        <v>-9.9434622541676163E-2</v>
      </c>
      <c r="M31" s="35">
        <f t="shared" si="12"/>
        <v>-6.1233019853709472</v>
      </c>
      <c r="N31" s="36">
        <v>56000000</v>
      </c>
      <c r="O31" s="36">
        <f t="shared" si="13"/>
        <v>-1.7756182596727887E-9</v>
      </c>
      <c r="P31" t="e">
        <f t="shared" si="14"/>
        <v>#NUM!</v>
      </c>
    </row>
    <row r="32" spans="1:16" x14ac:dyDescent="0.2">
      <c r="A32" s="6" t="s">
        <v>361</v>
      </c>
      <c r="B32" s="6" t="s">
        <v>527</v>
      </c>
      <c r="C32" s="6">
        <v>20</v>
      </c>
      <c r="D32" s="6">
        <v>93640.000000000015</v>
      </c>
      <c r="E32" s="28">
        <f t="shared" si="0"/>
        <v>1588.9177567922461</v>
      </c>
      <c r="F32" s="6">
        <v>88880</v>
      </c>
      <c r="G32" s="28">
        <f t="shared" ref="G32:G34" si="15">F32/58.933195</f>
        <v>1508.1483364341609</v>
      </c>
      <c r="H32" s="39">
        <v>1444.9999999999998</v>
      </c>
      <c r="I32" s="28">
        <f t="shared" ref="I32:I34" si="16">H32/58.933195</f>
        <v>24.519288322990121</v>
      </c>
      <c r="J32" s="33">
        <f t="shared" si="4"/>
        <v>1588.9177567922461</v>
      </c>
      <c r="K32">
        <f t="shared" si="10"/>
        <v>80.769420358085199</v>
      </c>
      <c r="L32">
        <f t="shared" ref="L32:L34" si="17">K32/1000</f>
        <v>8.0769420358085195E-2</v>
      </c>
      <c r="M32" s="35">
        <f t="shared" ref="M32:M34" si="18">K32/J32*100</f>
        <v>5.0832977360102571</v>
      </c>
      <c r="N32" s="36">
        <v>100000</v>
      </c>
      <c r="O32" s="36">
        <f t="shared" ref="O32:O34" si="19">L32/N32</f>
        <v>8.0769420358085194E-7</v>
      </c>
      <c r="P32">
        <f t="shared" ref="P32:P34" si="20">LOG10(O32)</f>
        <v>-6.0927530338227491</v>
      </c>
    </row>
    <row r="33" spans="1:16" x14ac:dyDescent="0.2">
      <c r="A33" s="6" t="s">
        <v>363</v>
      </c>
      <c r="B33" s="6" t="s">
        <v>528</v>
      </c>
      <c r="C33" s="6">
        <v>20</v>
      </c>
      <c r="D33" s="6">
        <v>99640</v>
      </c>
      <c r="E33" s="28">
        <f t="shared" si="0"/>
        <v>1690.7279505209247</v>
      </c>
      <c r="F33" s="6">
        <v>95440</v>
      </c>
      <c r="G33" s="28">
        <f t="shared" si="15"/>
        <v>1619.4608149108496</v>
      </c>
      <c r="H33" s="39">
        <v>1642.5</v>
      </c>
      <c r="I33" s="28">
        <f t="shared" si="16"/>
        <v>27.8705405332258</v>
      </c>
      <c r="J33" s="33">
        <f t="shared" si="4"/>
        <v>1690.7279505209247</v>
      </c>
      <c r="K33">
        <f t="shared" si="10"/>
        <v>71.267135610075002</v>
      </c>
      <c r="L33">
        <f t="shared" si="17"/>
        <v>7.1267135610075E-2</v>
      </c>
      <c r="M33" s="35">
        <f t="shared" si="18"/>
        <v>4.2151746286631813</v>
      </c>
      <c r="N33" s="36">
        <v>13400000</v>
      </c>
      <c r="O33" s="36">
        <f>L33/N33</f>
        <v>5.3184429559757461E-9</v>
      </c>
      <c r="P33">
        <f t="shared" si="20"/>
        <v>-8.27421549451015</v>
      </c>
    </row>
    <row r="34" spans="1:16" x14ac:dyDescent="0.2">
      <c r="A34" s="6" t="s">
        <v>365</v>
      </c>
      <c r="B34" s="6" t="s">
        <v>529</v>
      </c>
      <c r="C34" s="6">
        <v>20</v>
      </c>
      <c r="D34" s="6">
        <v>101960</v>
      </c>
      <c r="E34" s="28">
        <f t="shared" si="0"/>
        <v>1730.0945587626804</v>
      </c>
      <c r="F34" s="6">
        <v>89179.999999999985</v>
      </c>
      <c r="G34" s="28">
        <f t="shared" si="15"/>
        <v>1513.2388461205944</v>
      </c>
      <c r="H34" s="39">
        <v>1565</v>
      </c>
      <c r="I34" s="28">
        <f t="shared" si="16"/>
        <v>26.555492197563701</v>
      </c>
      <c r="J34" s="33">
        <f t="shared" si="4"/>
        <v>1730.0945587626804</v>
      </c>
      <c r="K34">
        <f t="shared" si="10"/>
        <v>216.85571264208602</v>
      </c>
      <c r="L34">
        <f t="shared" si="17"/>
        <v>0.21685571264208603</v>
      </c>
      <c r="M34" s="35">
        <f t="shared" si="18"/>
        <v>12.534327187132227</v>
      </c>
      <c r="N34" s="36">
        <v>5500000</v>
      </c>
      <c r="O34" s="36">
        <f t="shared" si="19"/>
        <v>3.9428311389470187E-8</v>
      </c>
      <c r="P34">
        <f t="shared" si="20"/>
        <v>-7.4041918222151049</v>
      </c>
    </row>
    <row r="35" spans="1:16" x14ac:dyDescent="0.2">
      <c r="C35" s="17"/>
      <c r="D35" s="17"/>
      <c r="J35" s="27"/>
    </row>
  </sheetData>
  <mergeCells count="4">
    <mergeCell ref="A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C845-A138-9442-B0C4-E2A7B6396634}">
  <sheetPr codeName="Sheet7"/>
  <dimension ref="A1:I20"/>
  <sheetViews>
    <sheetView tabSelected="1" zoomScale="93" zoomScaleNormal="99" workbookViewId="0">
      <selection activeCell="J35" sqref="J35"/>
    </sheetView>
  </sheetViews>
  <sheetFormatPr baseColWidth="10" defaultRowHeight="16" x14ac:dyDescent="0.2"/>
  <cols>
    <col min="1" max="1" width="17.83203125" bestFit="1" customWidth="1"/>
    <col min="2" max="2" width="47" bestFit="1" customWidth="1"/>
    <col min="4" max="4" width="13.33203125" bestFit="1" customWidth="1"/>
    <col min="5" max="5" width="11" bestFit="1" customWidth="1"/>
    <col min="6" max="7" width="11" customWidth="1"/>
    <col min="8" max="8" width="25.5" bestFit="1" customWidth="1"/>
    <col min="9" max="9" width="20.83203125" bestFit="1" customWidth="1"/>
  </cols>
  <sheetData>
    <row r="1" spans="1:9" x14ac:dyDescent="0.2">
      <c r="A1" s="44"/>
      <c r="B1" s="44"/>
      <c r="C1" s="45"/>
      <c r="D1" s="46" t="s">
        <v>290</v>
      </c>
      <c r="E1" s="44"/>
      <c r="F1" s="46" t="s">
        <v>291</v>
      </c>
      <c r="G1" s="44"/>
      <c r="H1" s="31"/>
      <c r="I1" s="32"/>
    </row>
    <row r="2" spans="1:9" x14ac:dyDescent="0.2">
      <c r="A2" s="14" t="s">
        <v>6</v>
      </c>
      <c r="B2" s="15" t="s">
        <v>226</v>
      </c>
      <c r="C2" s="15" t="s">
        <v>228</v>
      </c>
      <c r="D2" s="15" t="s">
        <v>251</v>
      </c>
      <c r="E2" s="23" t="s">
        <v>289</v>
      </c>
      <c r="F2" s="15" t="s">
        <v>251</v>
      </c>
      <c r="G2" s="23" t="s">
        <v>289</v>
      </c>
      <c r="H2" s="29" t="s">
        <v>293</v>
      </c>
      <c r="I2" s="23" t="s">
        <v>297</v>
      </c>
    </row>
    <row r="3" spans="1:9" x14ac:dyDescent="0.2">
      <c r="A3" s="6" t="s">
        <v>125</v>
      </c>
      <c r="B3" s="6" t="s">
        <v>260</v>
      </c>
      <c r="C3" s="6">
        <v>10</v>
      </c>
      <c r="D3" s="6">
        <v>929.99999999999989</v>
      </c>
      <c r="E3" s="28">
        <f t="shared" ref="E3:E16" si="0">D3/58.933195</f>
        <v>15.7805800279452</v>
      </c>
      <c r="F3" s="6">
        <v>889.99999999999989</v>
      </c>
      <c r="G3" s="28">
        <f t="shared" ref="G3:G16" si="1">F3/58.933195</f>
        <v>15.101845403087342</v>
      </c>
      <c r="H3" s="33">
        <f t="shared" ref="H3:H19" si="2">E3</f>
        <v>15.7805800279452</v>
      </c>
      <c r="I3">
        <v>-12.975835023284134</v>
      </c>
    </row>
    <row r="4" spans="1:9" x14ac:dyDescent="0.2">
      <c r="A4" s="6" t="s">
        <v>132</v>
      </c>
      <c r="B4" s="6" t="s">
        <v>262</v>
      </c>
      <c r="C4" s="6">
        <v>10</v>
      </c>
      <c r="D4" s="6">
        <v>960</v>
      </c>
      <c r="E4" s="28">
        <f t="shared" si="0"/>
        <v>16.289630996588595</v>
      </c>
      <c r="F4" s="6">
        <v>909.99999999999989</v>
      </c>
      <c r="G4" s="28">
        <f t="shared" si="1"/>
        <v>15.44121271551627</v>
      </c>
      <c r="H4" s="33">
        <f t="shared" si="2"/>
        <v>16.289630996588595</v>
      </c>
      <c r="I4">
        <v>-12.810170540691592</v>
      </c>
    </row>
    <row r="5" spans="1:9" x14ac:dyDescent="0.2">
      <c r="A5" s="6" t="s">
        <v>139</v>
      </c>
      <c r="B5" s="6" t="s">
        <v>264</v>
      </c>
      <c r="C5" s="6">
        <v>10</v>
      </c>
      <c r="D5" s="6">
        <v>950</v>
      </c>
      <c r="E5" s="28">
        <f t="shared" si="0"/>
        <v>16.119947340374132</v>
      </c>
      <c r="F5" s="6">
        <v>850.00000000000011</v>
      </c>
      <c r="G5" s="28">
        <f t="shared" si="1"/>
        <v>14.423110778229487</v>
      </c>
      <c r="H5" s="33">
        <f t="shared" si="2"/>
        <v>16.119947340374132</v>
      </c>
      <c r="I5">
        <v>-12.508347312876674</v>
      </c>
    </row>
    <row r="6" spans="1:9" x14ac:dyDescent="0.2">
      <c r="A6" s="6" t="s">
        <v>340</v>
      </c>
      <c r="B6" s="6" t="s">
        <v>521</v>
      </c>
      <c r="C6" s="6">
        <v>10</v>
      </c>
      <c r="D6" s="6">
        <v>1020</v>
      </c>
      <c r="E6" s="28">
        <f t="shared" si="0"/>
        <v>17.307732933875382</v>
      </c>
      <c r="F6" s="6">
        <v>879.99999999999989</v>
      </c>
      <c r="G6" s="28">
        <f t="shared" si="1"/>
        <v>14.932161746872877</v>
      </c>
      <c r="H6" s="33">
        <f t="shared" si="2"/>
        <v>17.307732933875382</v>
      </c>
      <c r="I6">
        <v>-12.267684627351192</v>
      </c>
    </row>
    <row r="7" spans="1:9" x14ac:dyDescent="0.2">
      <c r="A7" s="6" t="s">
        <v>343</v>
      </c>
      <c r="B7" s="6" t="s">
        <v>522</v>
      </c>
      <c r="C7" s="6">
        <v>10</v>
      </c>
      <c r="D7" s="6">
        <v>1030</v>
      </c>
      <c r="E7" s="28">
        <f t="shared" si="0"/>
        <v>17.477416590089849</v>
      </c>
      <c r="F7" s="6">
        <v>869.99999999999989</v>
      </c>
      <c r="G7" s="28">
        <f t="shared" si="1"/>
        <v>14.762478090658412</v>
      </c>
      <c r="H7" s="33">
        <f t="shared" si="2"/>
        <v>17.477416590089849</v>
      </c>
      <c r="I7">
        <v>-12.247481241262905</v>
      </c>
    </row>
    <row r="8" spans="1:9" x14ac:dyDescent="0.2">
      <c r="A8" s="6" t="s">
        <v>345</v>
      </c>
      <c r="B8" s="6" t="s">
        <v>523</v>
      </c>
      <c r="C8" s="6">
        <v>10</v>
      </c>
      <c r="D8" s="6">
        <v>1010</v>
      </c>
      <c r="E8" s="28">
        <f t="shared" si="0"/>
        <v>17.138049277660919</v>
      </c>
      <c r="F8" s="6">
        <v>909.99999999999989</v>
      </c>
      <c r="G8" s="28">
        <f t="shared" si="1"/>
        <v>15.44121271551627</v>
      </c>
      <c r="H8" s="33">
        <f t="shared" si="2"/>
        <v>17.138049277660919</v>
      </c>
      <c r="I8">
        <v>-12.55568982155401</v>
      </c>
    </row>
    <row r="9" spans="1:9" x14ac:dyDescent="0.2">
      <c r="A9" s="6" t="s">
        <v>156</v>
      </c>
      <c r="B9" s="6" t="s">
        <v>266</v>
      </c>
      <c r="C9" s="6">
        <v>20</v>
      </c>
      <c r="D9" s="6">
        <v>10060</v>
      </c>
      <c r="E9" s="28">
        <f t="shared" si="0"/>
        <v>170.70175815175133</v>
      </c>
      <c r="F9" s="6">
        <v>8920</v>
      </c>
      <c r="G9" s="28">
        <f t="shared" si="1"/>
        <v>151.35782134330236</v>
      </c>
      <c r="H9" s="33">
        <f t="shared" si="2"/>
        <v>170.70175815175133</v>
      </c>
      <c r="I9">
        <v>-8.5408244082605957</v>
      </c>
    </row>
    <row r="10" spans="1:9" x14ac:dyDescent="0.2">
      <c r="A10" s="6" t="s">
        <v>163</v>
      </c>
      <c r="B10" s="6" t="s">
        <v>268</v>
      </c>
      <c r="C10" s="6">
        <v>20</v>
      </c>
      <c r="D10" s="6">
        <v>9600</v>
      </c>
      <c r="E10" s="28">
        <f t="shared" si="0"/>
        <v>162.89630996588596</v>
      </c>
      <c r="F10" s="6">
        <v>9360.0000000000018</v>
      </c>
      <c r="G10" s="28">
        <f t="shared" si="1"/>
        <v>158.82390221673884</v>
      </c>
      <c r="H10" s="33">
        <f t="shared" si="2"/>
        <v>162.89630996588596</v>
      </c>
      <c r="I10">
        <v>-9.3897142330576226</v>
      </c>
    </row>
    <row r="11" spans="1:9" x14ac:dyDescent="0.2">
      <c r="A11" s="6" t="s">
        <v>170</v>
      </c>
      <c r="B11" s="6" t="s">
        <v>270</v>
      </c>
      <c r="C11" s="6">
        <v>20</v>
      </c>
      <c r="D11" s="6">
        <v>9379.9999999999982</v>
      </c>
      <c r="E11" s="28">
        <f t="shared" si="0"/>
        <v>159.16326952916771</v>
      </c>
      <c r="F11" s="6">
        <v>9240</v>
      </c>
      <c r="G11" s="28">
        <f t="shared" si="1"/>
        <v>156.78769834216524</v>
      </c>
      <c r="H11" s="33">
        <f t="shared" si="2"/>
        <v>159.16326952916771</v>
      </c>
      <c r="I11">
        <v>-9.2208290464914722</v>
      </c>
    </row>
    <row r="12" spans="1:9" x14ac:dyDescent="0.2">
      <c r="A12" s="6" t="s">
        <v>347</v>
      </c>
      <c r="B12" s="6" t="s">
        <v>524</v>
      </c>
      <c r="C12" s="6">
        <v>20</v>
      </c>
      <c r="D12" s="6">
        <v>10660</v>
      </c>
      <c r="E12" s="28">
        <f t="shared" si="0"/>
        <v>180.8827775246192</v>
      </c>
      <c r="F12" s="6">
        <v>10140</v>
      </c>
      <c r="G12" s="28">
        <f t="shared" si="1"/>
        <v>172.05922740146704</v>
      </c>
      <c r="H12" s="33">
        <f t="shared" si="2"/>
        <v>180.8827775246192</v>
      </c>
      <c r="I12">
        <v>-8.7264545008441612</v>
      </c>
    </row>
    <row r="13" spans="1:9" x14ac:dyDescent="0.2">
      <c r="A13" s="6" t="s">
        <v>356</v>
      </c>
      <c r="B13" s="6" t="s">
        <v>525</v>
      </c>
      <c r="C13" s="6">
        <v>20</v>
      </c>
      <c r="D13" s="6">
        <v>10060</v>
      </c>
      <c r="E13" s="28">
        <f t="shared" si="0"/>
        <v>170.70175815175133</v>
      </c>
      <c r="F13" s="6">
        <v>9520</v>
      </c>
      <c r="G13" s="28">
        <f t="shared" si="1"/>
        <v>161.53884071617023</v>
      </c>
      <c r="H13" s="33">
        <f t="shared" si="2"/>
        <v>170.70175815175133</v>
      </c>
      <c r="I13">
        <v>-8.214057485775955</v>
      </c>
    </row>
    <row r="14" spans="1:9" x14ac:dyDescent="0.2">
      <c r="A14" s="6" t="s">
        <v>359</v>
      </c>
      <c r="B14" s="6" t="s">
        <v>526</v>
      </c>
      <c r="C14" s="6">
        <v>20</v>
      </c>
      <c r="D14" s="6">
        <v>10500</v>
      </c>
      <c r="E14" s="28">
        <f t="shared" si="0"/>
        <v>178.16783902518776</v>
      </c>
      <c r="F14" s="6">
        <v>10120.000000000002</v>
      </c>
      <c r="G14" s="28">
        <f t="shared" si="1"/>
        <v>171.71986008903815</v>
      </c>
      <c r="H14" s="33">
        <f t="shared" si="2"/>
        <v>178.16783902518776</v>
      </c>
      <c r="I14">
        <v>-8.3695533372196049</v>
      </c>
    </row>
    <row r="15" spans="1:9" x14ac:dyDescent="0.2">
      <c r="A15" s="6" t="s">
        <v>176</v>
      </c>
      <c r="B15" s="6" t="s">
        <v>272</v>
      </c>
      <c r="C15" s="6">
        <v>20</v>
      </c>
      <c r="D15" s="6">
        <v>89780</v>
      </c>
      <c r="E15" s="28">
        <f t="shared" si="0"/>
        <v>1523.4198654934626</v>
      </c>
      <c r="F15" s="6">
        <v>74900</v>
      </c>
      <c r="G15" s="28">
        <f t="shared" si="1"/>
        <v>1270.9305850463393</v>
      </c>
      <c r="H15" s="33">
        <f t="shared" si="2"/>
        <v>1523.4198654934626</v>
      </c>
      <c r="I15">
        <v>-8.5845287895996272</v>
      </c>
    </row>
    <row r="16" spans="1:9" x14ac:dyDescent="0.2">
      <c r="A16" s="6" t="s">
        <v>182</v>
      </c>
      <c r="B16" s="6" t="s">
        <v>274</v>
      </c>
      <c r="C16" s="6">
        <v>20</v>
      </c>
      <c r="D16" s="6">
        <v>94100</v>
      </c>
      <c r="E16" s="28">
        <f t="shared" si="0"/>
        <v>1596.7232049781112</v>
      </c>
      <c r="F16" s="6">
        <v>79460</v>
      </c>
      <c r="G16" s="28">
        <f t="shared" si="1"/>
        <v>1348.3063322801352</v>
      </c>
      <c r="H16" s="33">
        <f t="shared" si="2"/>
        <v>1596.7232049781112</v>
      </c>
      <c r="I16">
        <v>-7.8835725107736989</v>
      </c>
    </row>
    <row r="17" spans="1:9" x14ac:dyDescent="0.2">
      <c r="A17" s="6" t="s">
        <v>361</v>
      </c>
      <c r="B17" s="6" t="s">
        <v>527</v>
      </c>
      <c r="C17" s="6">
        <v>20</v>
      </c>
      <c r="D17" s="6">
        <v>93640.000000000015</v>
      </c>
      <c r="E17" s="28">
        <f t="shared" ref="E17:E19" si="3">D17/58.933195</f>
        <v>1588.9177567922461</v>
      </c>
      <c r="F17" s="6">
        <v>88880</v>
      </c>
      <c r="G17" s="28">
        <f t="shared" ref="G17:G19" si="4">F17/58.933195</f>
        <v>1508.1483364341609</v>
      </c>
      <c r="H17" s="33">
        <f t="shared" si="2"/>
        <v>1588.9177567922461</v>
      </c>
      <c r="I17">
        <v>-6.0927530338227491</v>
      </c>
    </row>
    <row r="18" spans="1:9" x14ac:dyDescent="0.2">
      <c r="A18" s="6" t="s">
        <v>363</v>
      </c>
      <c r="B18" s="6" t="s">
        <v>528</v>
      </c>
      <c r="C18" s="6">
        <v>20</v>
      </c>
      <c r="D18" s="6">
        <v>99640</v>
      </c>
      <c r="E18" s="28">
        <f t="shared" si="3"/>
        <v>1690.7279505209247</v>
      </c>
      <c r="F18" s="6">
        <v>95440</v>
      </c>
      <c r="G18" s="28">
        <f t="shared" si="4"/>
        <v>1619.4608149108496</v>
      </c>
      <c r="H18" s="33">
        <f t="shared" si="2"/>
        <v>1690.7279505209247</v>
      </c>
      <c r="I18">
        <v>-8.27421549451015</v>
      </c>
    </row>
    <row r="19" spans="1:9" x14ac:dyDescent="0.2">
      <c r="A19" s="6" t="s">
        <v>365</v>
      </c>
      <c r="B19" s="6" t="s">
        <v>529</v>
      </c>
      <c r="C19" s="6">
        <v>20</v>
      </c>
      <c r="D19" s="6">
        <v>101960</v>
      </c>
      <c r="E19" s="28">
        <f t="shared" si="3"/>
        <v>1730.0945587626804</v>
      </c>
      <c r="F19" s="6">
        <v>89179.999999999985</v>
      </c>
      <c r="G19" s="28">
        <f t="shared" si="4"/>
        <v>1513.2388461205944</v>
      </c>
      <c r="H19" s="33">
        <f t="shared" si="2"/>
        <v>1730.0945587626804</v>
      </c>
      <c r="I19">
        <v>-7.4041918222151049</v>
      </c>
    </row>
    <row r="20" spans="1:9" x14ac:dyDescent="0.2">
      <c r="C20" s="17"/>
      <c r="D20" s="17"/>
      <c r="H20" s="27"/>
    </row>
  </sheetData>
  <mergeCells count="3">
    <mergeCell ref="A1:C1"/>
    <mergeCell ref="D1:E1"/>
    <mergeCell ref="F1:G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143F-834B-614B-888A-9EF02348F681}">
  <sheetPr codeName="Sheet9"/>
  <dimension ref="A1:T27"/>
  <sheetViews>
    <sheetView zoomScale="90" workbookViewId="0">
      <selection activeCell="R29" sqref="R29"/>
    </sheetView>
  </sheetViews>
  <sheetFormatPr baseColWidth="10" defaultRowHeight="16" x14ac:dyDescent="0.2"/>
  <cols>
    <col min="1" max="1" width="17.83203125" bestFit="1" customWidth="1"/>
    <col min="2" max="2" width="47" bestFit="1" customWidth="1"/>
    <col min="4" max="4" width="13.33203125" bestFit="1" customWidth="1"/>
    <col min="5" max="5" width="11" bestFit="1" customWidth="1"/>
    <col min="6" max="9" width="11" customWidth="1"/>
    <col min="10" max="10" width="25.5" bestFit="1" customWidth="1"/>
    <col min="11" max="11" width="25.5" customWidth="1"/>
    <col min="12" max="12" width="30.5" bestFit="1" customWidth="1"/>
    <col min="13" max="13" width="25.1640625" bestFit="1" customWidth="1"/>
    <col min="14" max="14" width="30.83203125" bestFit="1" customWidth="1"/>
    <col min="15" max="15" width="25.5" customWidth="1"/>
    <col min="16" max="16" width="30" bestFit="1" customWidth="1"/>
    <col min="17" max="17" width="38.33203125" bestFit="1" customWidth="1"/>
    <col min="18" max="18" width="25.5" customWidth="1"/>
    <col min="19" max="19" width="30" bestFit="1" customWidth="1"/>
    <col min="20" max="20" width="38.33203125" bestFit="1" customWidth="1"/>
  </cols>
  <sheetData>
    <row r="1" spans="1:20" x14ac:dyDescent="0.2">
      <c r="A1" s="44"/>
      <c r="B1" s="44"/>
      <c r="C1" s="45"/>
      <c r="D1" s="46" t="s">
        <v>290</v>
      </c>
      <c r="E1" s="44"/>
      <c r="F1" s="46" t="s">
        <v>291</v>
      </c>
      <c r="G1" s="44"/>
      <c r="H1" s="47" t="s">
        <v>566</v>
      </c>
      <c r="I1" s="48"/>
      <c r="J1" s="31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x14ac:dyDescent="0.2">
      <c r="A2" s="14" t="s">
        <v>6</v>
      </c>
      <c r="B2" s="15" t="s">
        <v>226</v>
      </c>
      <c r="C2" s="15" t="s">
        <v>228</v>
      </c>
      <c r="D2" s="15" t="s">
        <v>251</v>
      </c>
      <c r="E2" s="23" t="s">
        <v>289</v>
      </c>
      <c r="F2" s="15" t="s">
        <v>251</v>
      </c>
      <c r="G2" s="23" t="s">
        <v>289</v>
      </c>
      <c r="H2" s="15" t="s">
        <v>251</v>
      </c>
      <c r="I2" s="23" t="s">
        <v>289</v>
      </c>
      <c r="J2" s="29" t="s">
        <v>293</v>
      </c>
      <c r="K2" s="29" t="s">
        <v>568</v>
      </c>
      <c r="L2" s="29" t="s">
        <v>573</v>
      </c>
      <c r="M2" s="14" t="s">
        <v>292</v>
      </c>
      <c r="N2" s="14" t="s">
        <v>574</v>
      </c>
      <c r="O2" s="14" t="s">
        <v>569</v>
      </c>
      <c r="P2" s="14" t="s">
        <v>571</v>
      </c>
      <c r="Q2" s="14" t="s">
        <v>572</v>
      </c>
      <c r="R2" s="14" t="s">
        <v>570</v>
      </c>
      <c r="S2" s="14" t="s">
        <v>575</v>
      </c>
      <c r="T2" s="14" t="s">
        <v>576</v>
      </c>
    </row>
    <row r="3" spans="1:20" x14ac:dyDescent="0.2">
      <c r="A3" s="6" t="s">
        <v>325</v>
      </c>
      <c r="B3" s="6" t="s">
        <v>514</v>
      </c>
      <c r="C3" s="6">
        <v>10</v>
      </c>
      <c r="D3" s="6">
        <v>80</v>
      </c>
      <c r="E3" s="28">
        <f t="shared" ref="E3:E15" si="0">D3/58.933195</f>
        <v>1.3574692497157164</v>
      </c>
      <c r="F3" s="6">
        <v>80</v>
      </c>
      <c r="G3" s="28">
        <f t="shared" ref="G3:G15" si="1">F3/58.933195</f>
        <v>1.3574692497157164</v>
      </c>
      <c r="H3" s="6">
        <v>2.5</v>
      </c>
      <c r="I3" s="28">
        <f t="shared" ref="I3:I15" si="2">H3/58.933195</f>
        <v>4.2420914053616136E-2</v>
      </c>
      <c r="J3" s="27">
        <f t="shared" ref="J3:J18" si="3">E3</f>
        <v>1.3574692497157164</v>
      </c>
      <c r="K3" s="27">
        <f>G3</f>
        <v>1.3574692497157164</v>
      </c>
      <c r="L3" s="35">
        <f>K3/J3*100</f>
        <v>100</v>
      </c>
      <c r="M3" s="27">
        <f t="shared" ref="M3:M18" si="4">J3-K3</f>
        <v>0</v>
      </c>
      <c r="N3" s="35">
        <f>M3/J3*100</f>
        <v>0</v>
      </c>
      <c r="O3" s="27">
        <f t="shared" ref="O3:O18" si="5">I3</f>
        <v>4.2420914053616136E-2</v>
      </c>
      <c r="P3" s="27">
        <f>O3/J3*100</f>
        <v>3.125</v>
      </c>
      <c r="Q3" s="27" t="e">
        <f>O3/M3*100</f>
        <v>#DIV/0!</v>
      </c>
      <c r="R3" s="27">
        <f t="shared" ref="R3:R18" si="6">M3-O3</f>
        <v>-4.2420914053616136E-2</v>
      </c>
      <c r="S3" s="27">
        <f>R3/J3*100</f>
        <v>-3.125</v>
      </c>
      <c r="T3" s="27" t="e">
        <f>100-Q3</f>
        <v>#DIV/0!</v>
      </c>
    </row>
    <row r="4" spans="1:20" x14ac:dyDescent="0.2">
      <c r="A4" s="6" t="s">
        <v>327</v>
      </c>
      <c r="B4" s="6" t="s">
        <v>515</v>
      </c>
      <c r="C4" s="6">
        <v>10</v>
      </c>
      <c r="D4" s="6">
        <v>80</v>
      </c>
      <c r="E4" s="28">
        <f t="shared" si="0"/>
        <v>1.3574692497157164</v>
      </c>
      <c r="F4" s="6">
        <v>80</v>
      </c>
      <c r="G4" s="28">
        <f t="shared" si="1"/>
        <v>1.3574692497157164</v>
      </c>
      <c r="H4" s="6">
        <v>2.5</v>
      </c>
      <c r="I4" s="28">
        <f t="shared" si="2"/>
        <v>4.2420914053616136E-2</v>
      </c>
      <c r="J4" s="27">
        <f t="shared" si="3"/>
        <v>1.3574692497157164</v>
      </c>
      <c r="K4" s="27">
        <f t="shared" ref="K4:K18" si="7">G4</f>
        <v>1.3574692497157164</v>
      </c>
      <c r="L4" s="35">
        <f t="shared" ref="L4:L18" si="8">K4/J4*100</f>
        <v>100</v>
      </c>
      <c r="M4" s="27">
        <f t="shared" si="4"/>
        <v>0</v>
      </c>
      <c r="N4" s="35">
        <f t="shared" ref="N4:N18" si="9">M4/J4*100</f>
        <v>0</v>
      </c>
      <c r="O4" s="27">
        <f t="shared" si="5"/>
        <v>4.2420914053616136E-2</v>
      </c>
      <c r="P4" s="27">
        <f t="shared" ref="P4:P18" si="10">O4/J4*100</f>
        <v>3.125</v>
      </c>
      <c r="Q4" s="27" t="e">
        <f t="shared" ref="Q4:Q18" si="11">O4/M4*100</f>
        <v>#DIV/0!</v>
      </c>
      <c r="R4" s="27">
        <f t="shared" si="6"/>
        <v>-4.2420914053616136E-2</v>
      </c>
      <c r="S4" s="27">
        <f t="shared" ref="S4:S18" si="12">R4/J4*100</f>
        <v>-3.125</v>
      </c>
      <c r="T4" s="27" t="e">
        <f t="shared" ref="T4:T18" si="13">100-Q4</f>
        <v>#DIV/0!</v>
      </c>
    </row>
    <row r="5" spans="1:20" x14ac:dyDescent="0.2">
      <c r="A5" s="6" t="s">
        <v>330</v>
      </c>
      <c r="B5" s="6" t="s">
        <v>516</v>
      </c>
      <c r="C5" s="6">
        <v>10</v>
      </c>
      <c r="D5" s="6">
        <v>80</v>
      </c>
      <c r="E5" s="28">
        <f t="shared" si="0"/>
        <v>1.3574692497157164</v>
      </c>
      <c r="F5" s="6">
        <v>90</v>
      </c>
      <c r="G5" s="28">
        <f t="shared" si="1"/>
        <v>1.5271529059301809</v>
      </c>
      <c r="H5" s="6">
        <v>2.5</v>
      </c>
      <c r="I5" s="28">
        <f t="shared" si="2"/>
        <v>4.2420914053616136E-2</v>
      </c>
      <c r="J5" s="33">
        <f t="shared" si="3"/>
        <v>1.3574692497157164</v>
      </c>
      <c r="K5" s="27">
        <f t="shared" si="7"/>
        <v>1.5271529059301809</v>
      </c>
      <c r="L5" s="35">
        <f t="shared" si="8"/>
        <v>112.5</v>
      </c>
      <c r="M5" s="27">
        <f>J5-K5</f>
        <v>-0.16968365621446457</v>
      </c>
      <c r="N5" s="35">
        <f t="shared" si="9"/>
        <v>-12.500000000000004</v>
      </c>
      <c r="O5" s="27">
        <f t="shared" si="5"/>
        <v>4.2420914053616136E-2</v>
      </c>
      <c r="P5" s="27">
        <f t="shared" si="10"/>
        <v>3.125</v>
      </c>
      <c r="Q5" s="27">
        <f t="shared" si="11"/>
        <v>-24.999999999999996</v>
      </c>
      <c r="R5" s="27">
        <f t="shared" si="6"/>
        <v>-0.21210457026808072</v>
      </c>
      <c r="S5" s="27">
        <f t="shared" si="12"/>
        <v>-15.625000000000004</v>
      </c>
      <c r="T5" s="27">
        <f t="shared" si="13"/>
        <v>125</v>
      </c>
    </row>
    <row r="6" spans="1:20" x14ac:dyDescent="0.2">
      <c r="A6" s="6" t="s">
        <v>332</v>
      </c>
      <c r="B6" s="6" t="s">
        <v>517</v>
      </c>
      <c r="C6" s="6">
        <v>10</v>
      </c>
      <c r="D6" s="6">
        <v>80</v>
      </c>
      <c r="E6" s="28">
        <f t="shared" si="0"/>
        <v>1.3574692497157164</v>
      </c>
      <c r="F6" s="6">
        <v>90</v>
      </c>
      <c r="G6" s="28">
        <f t="shared" si="1"/>
        <v>1.5271529059301809</v>
      </c>
      <c r="H6" s="6">
        <v>2.5</v>
      </c>
      <c r="I6" s="28">
        <f t="shared" si="2"/>
        <v>4.2420914053616136E-2</v>
      </c>
      <c r="J6" s="33">
        <f t="shared" si="3"/>
        <v>1.3574692497157164</v>
      </c>
      <c r="K6" s="27">
        <f t="shared" si="7"/>
        <v>1.5271529059301809</v>
      </c>
      <c r="L6" s="35">
        <f t="shared" si="8"/>
        <v>112.5</v>
      </c>
      <c r="M6" s="27">
        <f t="shared" si="4"/>
        <v>-0.16968365621446457</v>
      </c>
      <c r="N6" s="35">
        <f t="shared" si="9"/>
        <v>-12.500000000000004</v>
      </c>
      <c r="O6" s="27">
        <f t="shared" si="5"/>
        <v>4.2420914053616136E-2</v>
      </c>
      <c r="P6" s="27">
        <f t="shared" si="10"/>
        <v>3.125</v>
      </c>
      <c r="Q6" s="27">
        <f t="shared" si="11"/>
        <v>-24.999999999999996</v>
      </c>
      <c r="R6" s="27">
        <f t="shared" si="6"/>
        <v>-0.21210457026808072</v>
      </c>
      <c r="S6" s="27">
        <f t="shared" si="12"/>
        <v>-15.625000000000004</v>
      </c>
      <c r="T6" s="27">
        <f t="shared" si="13"/>
        <v>125</v>
      </c>
    </row>
    <row r="7" spans="1:20" x14ac:dyDescent="0.2">
      <c r="A7" s="6" t="s">
        <v>334</v>
      </c>
      <c r="B7" s="6" t="s">
        <v>518</v>
      </c>
      <c r="C7" s="6">
        <v>10</v>
      </c>
      <c r="D7" s="6">
        <v>160</v>
      </c>
      <c r="E7" s="28">
        <f t="shared" si="0"/>
        <v>2.7149384994314327</v>
      </c>
      <c r="F7" s="6">
        <v>160</v>
      </c>
      <c r="G7" s="28">
        <f t="shared" si="1"/>
        <v>2.7149384994314327</v>
      </c>
      <c r="H7" s="6">
        <v>2.5</v>
      </c>
      <c r="I7" s="28">
        <f t="shared" si="2"/>
        <v>4.2420914053616136E-2</v>
      </c>
      <c r="J7" s="33">
        <f t="shared" si="3"/>
        <v>2.7149384994314327</v>
      </c>
      <c r="K7" s="27">
        <f t="shared" si="7"/>
        <v>2.7149384994314327</v>
      </c>
      <c r="L7" s="35">
        <f t="shared" si="8"/>
        <v>100</v>
      </c>
      <c r="M7" s="27">
        <f t="shared" si="4"/>
        <v>0</v>
      </c>
      <c r="N7" s="35">
        <f t="shared" si="9"/>
        <v>0</v>
      </c>
      <c r="O7" s="27">
        <f t="shared" si="5"/>
        <v>4.2420914053616136E-2</v>
      </c>
      <c r="P7" s="27">
        <f t="shared" si="10"/>
        <v>1.5625</v>
      </c>
      <c r="Q7" s="27" t="e">
        <f t="shared" si="11"/>
        <v>#DIV/0!</v>
      </c>
      <c r="R7" s="27">
        <f t="shared" si="6"/>
        <v>-4.2420914053616136E-2</v>
      </c>
      <c r="S7" s="27">
        <f t="shared" si="12"/>
        <v>-1.5625</v>
      </c>
      <c r="T7" s="27" t="e">
        <f t="shared" si="13"/>
        <v>#DIV/0!</v>
      </c>
    </row>
    <row r="8" spans="1:20" x14ac:dyDescent="0.2">
      <c r="A8" s="6" t="s">
        <v>336</v>
      </c>
      <c r="B8" s="6" t="s">
        <v>519</v>
      </c>
      <c r="C8" s="6">
        <v>10</v>
      </c>
      <c r="D8" s="6">
        <v>170</v>
      </c>
      <c r="E8" s="28">
        <f t="shared" si="0"/>
        <v>2.8846221556458973</v>
      </c>
      <c r="F8" s="6">
        <v>170</v>
      </c>
      <c r="G8" s="28">
        <f t="shared" si="1"/>
        <v>2.8846221556458973</v>
      </c>
      <c r="H8" s="6">
        <v>2.5</v>
      </c>
      <c r="I8" s="28">
        <f t="shared" si="2"/>
        <v>4.2420914053616136E-2</v>
      </c>
      <c r="J8" s="33">
        <f t="shared" si="3"/>
        <v>2.8846221556458973</v>
      </c>
      <c r="K8" s="27">
        <f t="shared" si="7"/>
        <v>2.8846221556458973</v>
      </c>
      <c r="L8" s="35">
        <f t="shared" si="8"/>
        <v>100</v>
      </c>
      <c r="M8" s="27">
        <f t="shared" si="4"/>
        <v>0</v>
      </c>
      <c r="N8" s="35">
        <f t="shared" si="9"/>
        <v>0</v>
      </c>
      <c r="O8" s="27">
        <f t="shared" si="5"/>
        <v>4.2420914053616136E-2</v>
      </c>
      <c r="P8" s="27">
        <f t="shared" si="10"/>
        <v>1.4705882352941175</v>
      </c>
      <c r="Q8" s="27" t="e">
        <f t="shared" si="11"/>
        <v>#DIV/0!</v>
      </c>
      <c r="R8" s="27">
        <f t="shared" si="6"/>
        <v>-4.2420914053616136E-2</v>
      </c>
      <c r="S8" s="27">
        <f t="shared" si="12"/>
        <v>-1.4705882352941175</v>
      </c>
      <c r="T8" s="27" t="e">
        <f t="shared" si="13"/>
        <v>#DIV/0!</v>
      </c>
    </row>
    <row r="9" spans="1:20" x14ac:dyDescent="0.2">
      <c r="A9" s="6" t="s">
        <v>338</v>
      </c>
      <c r="B9" s="6" t="s">
        <v>520</v>
      </c>
      <c r="C9" s="6">
        <v>10</v>
      </c>
      <c r="D9" s="6">
        <v>170</v>
      </c>
      <c r="E9" s="28">
        <f t="shared" si="0"/>
        <v>2.8846221556458973</v>
      </c>
      <c r="F9" s="6">
        <v>170</v>
      </c>
      <c r="G9" s="28">
        <f t="shared" si="1"/>
        <v>2.8846221556458973</v>
      </c>
      <c r="H9" s="6">
        <v>2.5</v>
      </c>
      <c r="I9" s="28">
        <f t="shared" si="2"/>
        <v>4.2420914053616136E-2</v>
      </c>
      <c r="J9" s="33">
        <f t="shared" si="3"/>
        <v>2.8846221556458973</v>
      </c>
      <c r="K9" s="27">
        <f>G9</f>
        <v>2.8846221556458973</v>
      </c>
      <c r="L9" s="35">
        <f>K9/J9*100</f>
        <v>100</v>
      </c>
      <c r="M9" s="27">
        <f t="shared" si="4"/>
        <v>0</v>
      </c>
      <c r="N9" s="35">
        <f t="shared" si="9"/>
        <v>0</v>
      </c>
      <c r="O9" s="27">
        <f t="shared" si="5"/>
        <v>4.2420914053616136E-2</v>
      </c>
      <c r="P9" s="27">
        <f t="shared" si="10"/>
        <v>1.4705882352941175</v>
      </c>
      <c r="Q9" s="27" t="e">
        <f t="shared" si="11"/>
        <v>#DIV/0!</v>
      </c>
      <c r="R9" s="27">
        <f t="shared" si="6"/>
        <v>-4.2420914053616136E-2</v>
      </c>
      <c r="S9" s="27">
        <f t="shared" si="12"/>
        <v>-1.4705882352941175</v>
      </c>
      <c r="T9" s="27" t="e">
        <f t="shared" si="13"/>
        <v>#DIV/0!</v>
      </c>
    </row>
    <row r="10" spans="1:20" x14ac:dyDescent="0.2">
      <c r="A10" s="6" t="s">
        <v>340</v>
      </c>
      <c r="B10" s="6" t="s">
        <v>521</v>
      </c>
      <c r="C10" s="6">
        <v>10</v>
      </c>
      <c r="D10" s="6">
        <v>1020</v>
      </c>
      <c r="E10" s="28">
        <f t="shared" si="0"/>
        <v>17.307732933875382</v>
      </c>
      <c r="F10" s="6">
        <v>879.99999999999989</v>
      </c>
      <c r="G10" s="28">
        <f t="shared" si="1"/>
        <v>14.932161746872877</v>
      </c>
      <c r="H10" s="6">
        <v>60</v>
      </c>
      <c r="I10" s="28">
        <f t="shared" si="2"/>
        <v>1.0181019372867872</v>
      </c>
      <c r="J10" s="33">
        <f t="shared" si="3"/>
        <v>17.307732933875382</v>
      </c>
      <c r="K10" s="27">
        <f t="shared" si="7"/>
        <v>14.932161746872877</v>
      </c>
      <c r="L10" s="35">
        <f t="shared" si="8"/>
        <v>86.274509803921561</v>
      </c>
      <c r="M10" s="27">
        <f t="shared" si="4"/>
        <v>2.3755711870025049</v>
      </c>
      <c r="N10" s="35">
        <f t="shared" si="9"/>
        <v>13.725490196078441</v>
      </c>
      <c r="O10" s="27">
        <f t="shared" si="5"/>
        <v>1.0181019372867872</v>
      </c>
      <c r="P10" s="27">
        <f t="shared" si="10"/>
        <v>5.8823529411764701</v>
      </c>
      <c r="Q10" s="27">
        <f t="shared" si="11"/>
        <v>42.857142857142833</v>
      </c>
      <c r="R10" s="27">
        <f t="shared" si="6"/>
        <v>1.3574692497157177</v>
      </c>
      <c r="S10" s="27">
        <f t="shared" si="12"/>
        <v>7.8431372549019693</v>
      </c>
      <c r="T10" s="27">
        <f t="shared" si="13"/>
        <v>57.142857142857167</v>
      </c>
    </row>
    <row r="11" spans="1:20" x14ac:dyDescent="0.2">
      <c r="A11" s="6" t="s">
        <v>343</v>
      </c>
      <c r="B11" s="6" t="s">
        <v>522</v>
      </c>
      <c r="C11" s="6">
        <v>10</v>
      </c>
      <c r="D11" s="6">
        <v>1030</v>
      </c>
      <c r="E11" s="28">
        <f t="shared" si="0"/>
        <v>17.477416590089849</v>
      </c>
      <c r="F11" s="6">
        <v>869.99999999999989</v>
      </c>
      <c r="G11" s="28">
        <f t="shared" si="1"/>
        <v>14.762478090658412</v>
      </c>
      <c r="H11" s="6">
        <v>60</v>
      </c>
      <c r="I11" s="28">
        <f t="shared" si="2"/>
        <v>1.0181019372867872</v>
      </c>
      <c r="J11" s="33">
        <f t="shared" si="3"/>
        <v>17.477416590089849</v>
      </c>
      <c r="K11" s="27">
        <f t="shared" si="7"/>
        <v>14.762478090658412</v>
      </c>
      <c r="L11" s="35">
        <f t="shared" si="8"/>
        <v>84.466019417475707</v>
      </c>
      <c r="M11" s="27">
        <f t="shared" si="4"/>
        <v>2.7149384994314367</v>
      </c>
      <c r="N11" s="35">
        <f t="shared" si="9"/>
        <v>15.533980582524295</v>
      </c>
      <c r="O11" s="27">
        <f t="shared" si="5"/>
        <v>1.0181019372867872</v>
      </c>
      <c r="P11" s="27">
        <f t="shared" si="10"/>
        <v>5.8252427184466011</v>
      </c>
      <c r="Q11" s="27">
        <f t="shared" si="11"/>
        <v>37.499999999999943</v>
      </c>
      <c r="R11" s="27">
        <f t="shared" si="6"/>
        <v>1.6968365621446495</v>
      </c>
      <c r="S11" s="27">
        <f t="shared" si="12"/>
        <v>9.708737864077694</v>
      </c>
      <c r="T11" s="27">
        <f t="shared" si="13"/>
        <v>62.500000000000057</v>
      </c>
    </row>
    <row r="12" spans="1:20" x14ac:dyDescent="0.2">
      <c r="A12" s="6" t="s">
        <v>345</v>
      </c>
      <c r="B12" s="6" t="s">
        <v>523</v>
      </c>
      <c r="C12" s="6">
        <v>10</v>
      </c>
      <c r="D12" s="6">
        <v>1010</v>
      </c>
      <c r="E12" s="28">
        <f t="shared" si="0"/>
        <v>17.138049277660919</v>
      </c>
      <c r="F12" s="6">
        <v>909.99999999999989</v>
      </c>
      <c r="G12" s="28">
        <f t="shared" si="1"/>
        <v>15.44121271551627</v>
      </c>
      <c r="H12" s="6">
        <v>57.499999999999993</v>
      </c>
      <c r="I12" s="28">
        <f t="shared" si="2"/>
        <v>0.97568102323317096</v>
      </c>
      <c r="J12" s="33">
        <f t="shared" si="3"/>
        <v>17.138049277660919</v>
      </c>
      <c r="K12" s="27">
        <f t="shared" si="7"/>
        <v>15.44121271551627</v>
      </c>
      <c r="L12" s="35">
        <f>K12/J12*100</f>
        <v>90.099009900990083</v>
      </c>
      <c r="M12" s="27">
        <f>J12-K12</f>
        <v>1.6968365621446484</v>
      </c>
      <c r="N12" s="35">
        <f t="shared" si="9"/>
        <v>9.9009900990099187</v>
      </c>
      <c r="O12" s="27">
        <f t="shared" si="5"/>
        <v>0.97568102323317096</v>
      </c>
      <c r="P12" s="27">
        <f t="shared" si="10"/>
        <v>5.6930693069306919</v>
      </c>
      <c r="Q12" s="27">
        <f t="shared" si="11"/>
        <v>57.499999999999886</v>
      </c>
      <c r="R12" s="27">
        <f t="shared" si="6"/>
        <v>0.72115553891147743</v>
      </c>
      <c r="S12" s="27">
        <f t="shared" si="12"/>
        <v>4.2079207920792259</v>
      </c>
      <c r="T12" s="27">
        <f t="shared" si="13"/>
        <v>42.500000000000114</v>
      </c>
    </row>
    <row r="13" spans="1:20" x14ac:dyDescent="0.2">
      <c r="A13" s="6" t="s">
        <v>347</v>
      </c>
      <c r="B13" s="6" t="s">
        <v>524</v>
      </c>
      <c r="C13" s="6">
        <v>20</v>
      </c>
      <c r="D13" s="6">
        <v>10660</v>
      </c>
      <c r="E13" s="28">
        <f t="shared" si="0"/>
        <v>180.8827775246192</v>
      </c>
      <c r="F13" s="6">
        <v>10140</v>
      </c>
      <c r="G13" s="28">
        <f t="shared" si="1"/>
        <v>172.05922740146704</v>
      </c>
      <c r="H13" s="6">
        <v>497.50000000000006</v>
      </c>
      <c r="I13" s="28">
        <f t="shared" si="2"/>
        <v>8.4417618966696111</v>
      </c>
      <c r="J13" s="33">
        <f t="shared" si="3"/>
        <v>180.8827775246192</v>
      </c>
      <c r="K13" s="27">
        <f t="shared" si="7"/>
        <v>172.05922740146704</v>
      </c>
      <c r="L13" s="35">
        <f t="shared" si="8"/>
        <v>95.121951219512198</v>
      </c>
      <c r="M13" s="27">
        <f t="shared" si="4"/>
        <v>8.8235501231521596</v>
      </c>
      <c r="N13" s="35">
        <f t="shared" si="9"/>
        <v>4.8780487804878074</v>
      </c>
      <c r="O13" s="27">
        <f t="shared" si="5"/>
        <v>8.4417618966696111</v>
      </c>
      <c r="P13" s="27">
        <f t="shared" si="10"/>
        <v>4.6669793621013129</v>
      </c>
      <c r="Q13" s="27">
        <f t="shared" si="11"/>
        <v>95.673076923076877</v>
      </c>
      <c r="R13" s="27">
        <f t="shared" si="6"/>
        <v>0.38178822648254851</v>
      </c>
      <c r="S13" s="27">
        <f t="shared" si="12"/>
        <v>0.2110694183864934</v>
      </c>
      <c r="T13" s="27">
        <f t="shared" si="13"/>
        <v>4.3269230769231228</v>
      </c>
    </row>
    <row r="14" spans="1:20" x14ac:dyDescent="0.2">
      <c r="A14" s="6" t="s">
        <v>356</v>
      </c>
      <c r="B14" s="6" t="s">
        <v>525</v>
      </c>
      <c r="C14" s="6">
        <v>20</v>
      </c>
      <c r="D14" s="6">
        <v>10060</v>
      </c>
      <c r="E14" s="28">
        <f t="shared" si="0"/>
        <v>170.70175815175133</v>
      </c>
      <c r="F14" s="6">
        <v>9520</v>
      </c>
      <c r="G14" s="28">
        <f t="shared" si="1"/>
        <v>161.53884071617023</v>
      </c>
      <c r="H14" s="6">
        <v>464.99999999999994</v>
      </c>
      <c r="I14" s="28">
        <f t="shared" si="2"/>
        <v>7.8902900139726002</v>
      </c>
      <c r="J14" s="33">
        <f t="shared" si="3"/>
        <v>170.70175815175133</v>
      </c>
      <c r="K14" s="27">
        <f t="shared" si="7"/>
        <v>161.53884071617023</v>
      </c>
      <c r="L14" s="35">
        <f t="shared" si="8"/>
        <v>94.632206759443321</v>
      </c>
      <c r="M14" s="27">
        <f t="shared" si="4"/>
        <v>9.1629174355811074</v>
      </c>
      <c r="N14" s="35">
        <f t="shared" si="9"/>
        <v>5.3677932405566731</v>
      </c>
      <c r="O14" s="27">
        <f t="shared" si="5"/>
        <v>7.8902900139726002</v>
      </c>
      <c r="P14" s="27">
        <f t="shared" si="10"/>
        <v>4.6222664015904567</v>
      </c>
      <c r="Q14" s="27">
        <f t="shared" si="11"/>
        <v>86.111111111110887</v>
      </c>
      <c r="R14" s="27">
        <f t="shared" si="6"/>
        <v>1.2726274216085072</v>
      </c>
      <c r="S14" s="27">
        <f t="shared" si="12"/>
        <v>0.7455268389662163</v>
      </c>
      <c r="T14" s="27">
        <f t="shared" si="13"/>
        <v>13.888888888889113</v>
      </c>
    </row>
    <row r="15" spans="1:20" x14ac:dyDescent="0.2">
      <c r="A15" s="6" t="s">
        <v>359</v>
      </c>
      <c r="B15" s="6" t="s">
        <v>526</v>
      </c>
      <c r="C15" s="6">
        <v>20</v>
      </c>
      <c r="D15" s="6">
        <v>10500</v>
      </c>
      <c r="E15" s="28">
        <f t="shared" si="0"/>
        <v>178.16783902518776</v>
      </c>
      <c r="F15" s="6">
        <v>10120.000000000002</v>
      </c>
      <c r="G15" s="28">
        <f t="shared" si="1"/>
        <v>171.71986008903815</v>
      </c>
      <c r="H15" s="39">
        <v>432.5</v>
      </c>
      <c r="I15" s="28">
        <f t="shared" si="2"/>
        <v>7.3388181312755911</v>
      </c>
      <c r="J15" s="33">
        <f t="shared" si="3"/>
        <v>178.16783902518776</v>
      </c>
      <c r="K15" s="27">
        <f t="shared" si="7"/>
        <v>171.71986008903815</v>
      </c>
      <c r="L15" s="35">
        <f t="shared" si="8"/>
        <v>96.380952380952394</v>
      </c>
      <c r="M15" s="27">
        <f t="shared" si="4"/>
        <v>6.4479789361496103</v>
      </c>
      <c r="N15" s="35">
        <f t="shared" si="9"/>
        <v>3.6190476190475955</v>
      </c>
      <c r="O15" s="27">
        <f t="shared" si="5"/>
        <v>7.3388181312755911</v>
      </c>
      <c r="P15" s="27">
        <f t="shared" si="10"/>
        <v>4.1190476190476195</v>
      </c>
      <c r="Q15" s="27">
        <f t="shared" si="11"/>
        <v>113.81578947368496</v>
      </c>
      <c r="R15" s="27">
        <f t="shared" si="6"/>
        <v>-0.89083919512598086</v>
      </c>
      <c r="S15" s="27">
        <f t="shared" si="12"/>
        <v>-0.50000000000002365</v>
      </c>
      <c r="T15" s="27">
        <f t="shared" si="13"/>
        <v>-13.815789473684958</v>
      </c>
    </row>
    <row r="16" spans="1:20" x14ac:dyDescent="0.2">
      <c r="A16" s="6" t="s">
        <v>361</v>
      </c>
      <c r="B16" s="6" t="s">
        <v>527</v>
      </c>
      <c r="C16" s="6">
        <v>20</v>
      </c>
      <c r="D16" s="6">
        <v>93640.000000000015</v>
      </c>
      <c r="E16" s="28">
        <f t="shared" ref="E16:E18" si="14">D16/58.933195</f>
        <v>1588.9177567922461</v>
      </c>
      <c r="F16" s="6">
        <v>88880</v>
      </c>
      <c r="G16" s="28">
        <f t="shared" ref="G16:G18" si="15">F16/58.933195</f>
        <v>1508.1483364341609</v>
      </c>
      <c r="H16" s="39">
        <v>1444.9999999999998</v>
      </c>
      <c r="I16" s="28">
        <f t="shared" ref="I16:I18" si="16">H16/58.933195</f>
        <v>24.519288322990121</v>
      </c>
      <c r="J16" s="33">
        <f t="shared" si="3"/>
        <v>1588.9177567922461</v>
      </c>
      <c r="K16" s="27">
        <f t="shared" si="7"/>
        <v>1508.1483364341609</v>
      </c>
      <c r="L16" s="35">
        <f t="shared" si="8"/>
        <v>94.916702263989734</v>
      </c>
      <c r="M16" s="27">
        <f t="shared" si="4"/>
        <v>80.769420358085199</v>
      </c>
      <c r="N16" s="35">
        <f t="shared" si="9"/>
        <v>5.0832977360102571</v>
      </c>
      <c r="O16" s="27">
        <f t="shared" si="5"/>
        <v>24.519288322990121</v>
      </c>
      <c r="P16" s="27">
        <f t="shared" si="10"/>
        <v>1.5431439555745403</v>
      </c>
      <c r="Q16" s="27">
        <f t="shared" si="11"/>
        <v>30.357142857142822</v>
      </c>
      <c r="R16" s="27">
        <f t="shared" si="6"/>
        <v>56.250132035095078</v>
      </c>
      <c r="S16" s="27">
        <f t="shared" si="12"/>
        <v>3.5401537804357162</v>
      </c>
      <c r="T16" s="27">
        <f t="shared" si="13"/>
        <v>69.642857142857181</v>
      </c>
    </row>
    <row r="17" spans="1:20" x14ac:dyDescent="0.2">
      <c r="A17" s="6" t="s">
        <v>363</v>
      </c>
      <c r="B17" s="6" t="s">
        <v>528</v>
      </c>
      <c r="C17" s="6">
        <v>20</v>
      </c>
      <c r="D17" s="6">
        <v>99640</v>
      </c>
      <c r="E17" s="28">
        <f t="shared" si="14"/>
        <v>1690.7279505209247</v>
      </c>
      <c r="F17" s="6">
        <v>95440</v>
      </c>
      <c r="G17" s="28">
        <f t="shared" si="15"/>
        <v>1619.4608149108496</v>
      </c>
      <c r="H17" s="39">
        <v>1642.5</v>
      </c>
      <c r="I17" s="28">
        <f t="shared" si="16"/>
        <v>27.8705405332258</v>
      </c>
      <c r="J17" s="33">
        <f t="shared" si="3"/>
        <v>1690.7279505209247</v>
      </c>
      <c r="K17" s="27">
        <f t="shared" si="7"/>
        <v>1619.4608149108496</v>
      </c>
      <c r="L17" s="35">
        <f t="shared" si="8"/>
        <v>95.784825371336822</v>
      </c>
      <c r="M17" s="27">
        <f t="shared" si="4"/>
        <v>71.267135610075002</v>
      </c>
      <c r="N17" s="35">
        <f t="shared" si="9"/>
        <v>4.2151746286631813</v>
      </c>
      <c r="O17" s="27">
        <f t="shared" si="5"/>
        <v>27.8705405332258</v>
      </c>
      <c r="P17" s="27">
        <f t="shared" si="10"/>
        <v>1.6484343637093537</v>
      </c>
      <c r="Q17" s="27">
        <f t="shared" si="11"/>
        <v>39.107142857142911</v>
      </c>
      <c r="R17" s="27">
        <f t="shared" si="6"/>
        <v>43.396595076849202</v>
      </c>
      <c r="S17" s="27">
        <f t="shared" si="12"/>
        <v>2.5667402649538276</v>
      </c>
      <c r="T17" s="27">
        <f t="shared" si="13"/>
        <v>60.892857142857089</v>
      </c>
    </row>
    <row r="18" spans="1:20" x14ac:dyDescent="0.2">
      <c r="A18" s="6" t="s">
        <v>365</v>
      </c>
      <c r="B18" s="6" t="s">
        <v>529</v>
      </c>
      <c r="C18" s="6">
        <v>20</v>
      </c>
      <c r="D18" s="6">
        <v>101960</v>
      </c>
      <c r="E18" s="28">
        <f t="shared" si="14"/>
        <v>1730.0945587626804</v>
      </c>
      <c r="F18" s="6">
        <v>89179.999999999985</v>
      </c>
      <c r="G18" s="28">
        <f t="shared" si="15"/>
        <v>1513.2388461205944</v>
      </c>
      <c r="H18" s="39">
        <v>1565</v>
      </c>
      <c r="I18" s="28">
        <f t="shared" si="16"/>
        <v>26.555492197563701</v>
      </c>
      <c r="J18" s="33">
        <f t="shared" si="3"/>
        <v>1730.0945587626804</v>
      </c>
      <c r="K18" s="27">
        <f t="shared" si="7"/>
        <v>1513.2388461205944</v>
      </c>
      <c r="L18" s="35">
        <f t="shared" si="8"/>
        <v>87.465672812867766</v>
      </c>
      <c r="M18" s="27">
        <f t="shared" si="4"/>
        <v>216.85571264208602</v>
      </c>
      <c r="N18" s="35">
        <f t="shared" si="9"/>
        <v>12.534327187132227</v>
      </c>
      <c r="O18" s="27">
        <f t="shared" si="5"/>
        <v>26.555492197563701</v>
      </c>
      <c r="P18" s="27">
        <f t="shared" si="10"/>
        <v>1.5349156531973325</v>
      </c>
      <c r="Q18" s="27">
        <f t="shared" si="11"/>
        <v>12.24569640062596</v>
      </c>
      <c r="R18" s="27">
        <f t="shared" si="6"/>
        <v>190.30022044452232</v>
      </c>
      <c r="S18" s="27">
        <f t="shared" si="12"/>
        <v>10.999411533934897</v>
      </c>
      <c r="T18" s="27">
        <f t="shared" si="13"/>
        <v>87.75430359937404</v>
      </c>
    </row>
    <row r="19" spans="1:20" x14ac:dyDescent="0.2">
      <c r="C19" s="17"/>
      <c r="D19" s="17"/>
      <c r="J19" s="27"/>
      <c r="K19" s="27"/>
      <c r="L19" s="27"/>
      <c r="O19" s="27"/>
      <c r="P19" s="27"/>
      <c r="Q19" s="27"/>
      <c r="R19" s="27"/>
      <c r="S19" s="27"/>
      <c r="T19" s="27"/>
    </row>
    <row r="20" spans="1:20" x14ac:dyDescent="0.2">
      <c r="L20" s="35"/>
    </row>
    <row r="21" spans="1:20" x14ac:dyDescent="0.2">
      <c r="L21" s="35"/>
      <c r="Q21" s="43"/>
      <c r="R21" s="43"/>
      <c r="T21" s="43"/>
    </row>
    <row r="22" spans="1:20" x14ac:dyDescent="0.2">
      <c r="Q22" s="43"/>
      <c r="T22" s="43"/>
    </row>
    <row r="23" spans="1:20" x14ac:dyDescent="0.2">
      <c r="Q23" s="43"/>
      <c r="T23" s="43"/>
    </row>
    <row r="25" spans="1:20" x14ac:dyDescent="0.2">
      <c r="M25" s="35"/>
      <c r="N25" s="35"/>
      <c r="O25" s="35"/>
      <c r="P25" s="35"/>
      <c r="Q25" s="35"/>
    </row>
    <row r="26" spans="1:20" x14ac:dyDescent="0.2">
      <c r="M26" s="35"/>
      <c r="N26" s="35"/>
      <c r="O26" s="35"/>
      <c r="P26" s="35"/>
      <c r="Q26" s="35"/>
    </row>
    <row r="27" spans="1:20" x14ac:dyDescent="0.2">
      <c r="M27" s="35"/>
      <c r="N27" s="35"/>
      <c r="O27" s="35"/>
      <c r="P27" s="35"/>
    </row>
  </sheetData>
  <mergeCells count="4">
    <mergeCell ref="A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txt data</vt:lpstr>
      <vt:lpstr>Consolidated Raw data</vt:lpstr>
      <vt:lpstr>Summary</vt:lpstr>
      <vt:lpstr>Check QC</vt:lpstr>
      <vt:lpstr>Check Co(2+) stocks</vt:lpstr>
      <vt:lpstr>Analyses for Fig S9B</vt:lpstr>
      <vt:lpstr>Figure S9B</vt:lpstr>
      <vt:lpstr>Analyses for Figure 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Dejager</cp:lastModifiedBy>
  <dcterms:created xsi:type="dcterms:W3CDTF">2025-12-19T17:50:48Z</dcterms:created>
  <dcterms:modified xsi:type="dcterms:W3CDTF">2026-08-17T15:31:50Z</dcterms:modified>
</cp:coreProperties>
</file>